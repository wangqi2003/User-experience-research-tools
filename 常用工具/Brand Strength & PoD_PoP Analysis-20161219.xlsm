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quanti\常用工具\"/>
    </mc:Choice>
  </mc:AlternateContent>
  <workbookProtection workbookPassword="850B" lockStructure="1"/>
  <bookViews>
    <workbookView xWindow="-15" yWindow="4860" windowWidth="15480" windowHeight="6870" tabRatio="906" activeTab="8"/>
  </bookViews>
  <sheets>
    <sheet name="Raw counts" sheetId="23" r:id="rId1"/>
    <sheet name="2" sheetId="24" state="hidden" r:id="rId2"/>
    <sheet name="3" sheetId="25" state="hidden" r:id="rId3"/>
    <sheet name="4" sheetId="30" state="hidden" r:id="rId4"/>
    <sheet name="5" sheetId="28" state="hidden" r:id="rId5"/>
    <sheet name="6" sheetId="29" state="hidden" r:id="rId6"/>
    <sheet name="7" sheetId="33" state="hidden" r:id="rId7"/>
    <sheet name="8" sheetId="32" state="hidden" r:id="rId8"/>
    <sheet name="Brand_Strength" sheetId="36" r:id="rId9"/>
    <sheet name="PoD_PoP" sheetId="35" r:id="rId10"/>
  </sheets>
  <definedNames>
    <definedName name="_xlnm._FilterDatabase" localSheetId="7" hidden="1">'8'!$V$3:$V$63</definedName>
    <definedName name="_xlnm.Print_Area" localSheetId="9">PoD_PoP!$A$2:$U$64</definedName>
    <definedName name="_xlnm.Print_Area" localSheetId="0">'Raw counts'!$A$1:$U$64</definedName>
    <definedName name="_xlnm.Print_Titles" localSheetId="8">Brand_Strength!$1:$4</definedName>
    <definedName name="_xlnm.Print_Titles" localSheetId="9">PoD_PoP!$1:$4</definedName>
    <definedName name="_xlnm.Print_Titles" localSheetId="0">'Raw counts'!$A:$A,'Raw counts'!$2:$4</definedName>
  </definedNames>
  <calcPr calcId="171027"/>
</workbook>
</file>

<file path=xl/calcChain.xml><?xml version="1.0" encoding="utf-8"?>
<calcChain xmlns="http://schemas.openxmlformats.org/spreadsheetml/2006/main">
  <c r="A4" i="36" l="1"/>
  <c r="C3" i="23"/>
  <c r="D3" i="23"/>
  <c r="E3" i="23"/>
  <c r="F3" i="23"/>
  <c r="G3" i="23"/>
  <c r="H3" i="23"/>
  <c r="I3" i="23"/>
  <c r="J3" i="23"/>
  <c r="K3" i="23"/>
  <c r="L3" i="23"/>
  <c r="AP29" i="36" l="1"/>
  <c r="U29" i="36" s="1"/>
  <c r="AP5" i="36" l="1"/>
  <c r="W6" i="36"/>
  <c r="X6" i="36"/>
  <c r="Y6" i="36"/>
  <c r="Z6" i="36"/>
  <c r="AA6" i="36"/>
  <c r="AB6" i="36"/>
  <c r="AC6" i="36"/>
  <c r="AD6" i="36"/>
  <c r="AE6" i="36"/>
  <c r="AF6" i="36"/>
  <c r="AG6" i="36"/>
  <c r="AH6" i="36"/>
  <c r="AI6" i="36"/>
  <c r="AJ6" i="36"/>
  <c r="AK6" i="36"/>
  <c r="AL6" i="36"/>
  <c r="AM6" i="36"/>
  <c r="AN6" i="36"/>
  <c r="AO6" i="36"/>
  <c r="AP6" i="36"/>
  <c r="W7" i="36"/>
  <c r="X7" i="36"/>
  <c r="Y7" i="36"/>
  <c r="Z7" i="36"/>
  <c r="AA7" i="36"/>
  <c r="AB7" i="36"/>
  <c r="AC7" i="36"/>
  <c r="AD7" i="36"/>
  <c r="AE7" i="36"/>
  <c r="AF7" i="36"/>
  <c r="AG7" i="36"/>
  <c r="AH7" i="36"/>
  <c r="AI7" i="36"/>
  <c r="AJ7" i="36"/>
  <c r="AK7" i="36"/>
  <c r="AL7" i="36"/>
  <c r="AM7" i="36"/>
  <c r="AN7" i="36"/>
  <c r="AO7" i="36"/>
  <c r="AP7" i="36"/>
  <c r="W8" i="36"/>
  <c r="X8" i="36"/>
  <c r="Y8" i="36"/>
  <c r="Z8" i="36"/>
  <c r="AA8" i="36"/>
  <c r="AB8" i="36"/>
  <c r="AC8" i="36"/>
  <c r="AD8" i="36"/>
  <c r="AE8" i="36"/>
  <c r="AF8" i="36"/>
  <c r="AG8" i="36"/>
  <c r="AH8" i="36"/>
  <c r="AI8" i="36"/>
  <c r="AJ8" i="36"/>
  <c r="AK8" i="36"/>
  <c r="AL8" i="36"/>
  <c r="AM8" i="36"/>
  <c r="AN8" i="36"/>
  <c r="AO8" i="36"/>
  <c r="AP8" i="36"/>
  <c r="W9" i="36"/>
  <c r="X9" i="36"/>
  <c r="Y9" i="36"/>
  <c r="Z9" i="36"/>
  <c r="AA9" i="36"/>
  <c r="AB9" i="36"/>
  <c r="AC9" i="36"/>
  <c r="AD9" i="36"/>
  <c r="AE9" i="36"/>
  <c r="AF9" i="36"/>
  <c r="AG9" i="36"/>
  <c r="AH9" i="36"/>
  <c r="AI9" i="36"/>
  <c r="AJ9" i="36"/>
  <c r="AK9" i="36"/>
  <c r="AL9" i="36"/>
  <c r="AM9" i="36"/>
  <c r="AN9" i="36"/>
  <c r="AO9" i="36"/>
  <c r="AP9" i="36"/>
  <c r="W10" i="36"/>
  <c r="X10" i="36"/>
  <c r="Y10" i="36"/>
  <c r="Z10" i="36"/>
  <c r="AA10" i="36"/>
  <c r="AB10" i="36"/>
  <c r="AC10" i="36"/>
  <c r="AD10" i="36"/>
  <c r="AE10" i="36"/>
  <c r="AF10" i="36"/>
  <c r="AG10" i="36"/>
  <c r="AH10" i="36"/>
  <c r="AI10" i="36"/>
  <c r="AJ10" i="36"/>
  <c r="AK10" i="36"/>
  <c r="AL10" i="36"/>
  <c r="AM10" i="36"/>
  <c r="AN10" i="36"/>
  <c r="AO10" i="36"/>
  <c r="AP10" i="36"/>
  <c r="W11" i="36"/>
  <c r="X11" i="36"/>
  <c r="Y11" i="36"/>
  <c r="Z11" i="36"/>
  <c r="AA11" i="36"/>
  <c r="AB11" i="36"/>
  <c r="AC11" i="36"/>
  <c r="AD11" i="36"/>
  <c r="AE11" i="36"/>
  <c r="AF11" i="36"/>
  <c r="AG11" i="36"/>
  <c r="AH11" i="36"/>
  <c r="AI11" i="36"/>
  <c r="AJ11" i="36"/>
  <c r="AK11" i="36"/>
  <c r="AL11" i="36"/>
  <c r="AM11" i="36"/>
  <c r="AN11" i="36"/>
  <c r="AO11" i="36"/>
  <c r="AP11" i="36"/>
  <c r="W12" i="36"/>
  <c r="X12" i="36"/>
  <c r="Y12" i="36"/>
  <c r="Z12" i="36"/>
  <c r="AA12" i="36"/>
  <c r="AB12" i="36"/>
  <c r="AC12" i="36"/>
  <c r="AD12" i="36"/>
  <c r="AE12" i="36"/>
  <c r="AF12" i="36"/>
  <c r="AG12" i="36"/>
  <c r="AH12" i="36"/>
  <c r="AI12" i="36"/>
  <c r="AJ12" i="36"/>
  <c r="AK12" i="36"/>
  <c r="AL12" i="36"/>
  <c r="AM12" i="36"/>
  <c r="AN12" i="36"/>
  <c r="AO12" i="36"/>
  <c r="AP12" i="36"/>
  <c r="W13" i="36"/>
  <c r="X13" i="36"/>
  <c r="Y13" i="36"/>
  <c r="Z13" i="36"/>
  <c r="AA13" i="36"/>
  <c r="AB13" i="36"/>
  <c r="AC13" i="36"/>
  <c r="AD13" i="36"/>
  <c r="AE13" i="36"/>
  <c r="AF13" i="36"/>
  <c r="AG13" i="36"/>
  <c r="AH13" i="36"/>
  <c r="AI13" i="36"/>
  <c r="AJ13" i="36"/>
  <c r="AK13" i="36"/>
  <c r="AL13" i="36"/>
  <c r="AM13" i="36"/>
  <c r="AN13" i="36"/>
  <c r="AO13" i="36"/>
  <c r="AP13" i="36"/>
  <c r="W14" i="36"/>
  <c r="X14" i="36"/>
  <c r="Y14" i="36"/>
  <c r="Z14" i="36"/>
  <c r="AA14" i="36"/>
  <c r="AB14" i="36"/>
  <c r="AC14" i="36"/>
  <c r="AD14" i="36"/>
  <c r="AE14" i="36"/>
  <c r="AF14" i="36"/>
  <c r="AG14" i="36"/>
  <c r="AH14" i="36"/>
  <c r="AI14" i="36"/>
  <c r="AJ14" i="36"/>
  <c r="AK14" i="36"/>
  <c r="AL14" i="36"/>
  <c r="AM14" i="36"/>
  <c r="AN14" i="36"/>
  <c r="AO14" i="36"/>
  <c r="AP14" i="36"/>
  <c r="W15" i="36"/>
  <c r="X15" i="36"/>
  <c r="Y15" i="36"/>
  <c r="Z15" i="36"/>
  <c r="AA15" i="36"/>
  <c r="AB15" i="36"/>
  <c r="AC15" i="36"/>
  <c r="AD15" i="36"/>
  <c r="AE15" i="36"/>
  <c r="AF15" i="36"/>
  <c r="AG15" i="36"/>
  <c r="AH15" i="36"/>
  <c r="AI15" i="36"/>
  <c r="AJ15" i="36"/>
  <c r="AK15" i="36"/>
  <c r="AL15" i="36"/>
  <c r="AM15" i="36"/>
  <c r="AN15" i="36"/>
  <c r="AO15" i="36"/>
  <c r="AP15" i="36"/>
  <c r="W16" i="36"/>
  <c r="X16" i="36"/>
  <c r="Y16" i="36"/>
  <c r="Z16" i="36"/>
  <c r="AA16" i="36"/>
  <c r="AB16" i="36"/>
  <c r="AC16" i="36"/>
  <c r="AD16" i="36"/>
  <c r="AE16" i="36"/>
  <c r="AF16" i="36"/>
  <c r="AG16" i="36"/>
  <c r="AH16" i="36"/>
  <c r="AI16" i="36"/>
  <c r="AJ16" i="36"/>
  <c r="AK16" i="36"/>
  <c r="AL16" i="36"/>
  <c r="AM16" i="36"/>
  <c r="AN16" i="36"/>
  <c r="AO16" i="36"/>
  <c r="AP16" i="36"/>
  <c r="W17" i="36"/>
  <c r="X17" i="36"/>
  <c r="Y17" i="36"/>
  <c r="Z17" i="36"/>
  <c r="AA17" i="36"/>
  <c r="AB17" i="36"/>
  <c r="AC17" i="36"/>
  <c r="AD17" i="36"/>
  <c r="AE17" i="36"/>
  <c r="AF17" i="36"/>
  <c r="AG17" i="36"/>
  <c r="AH17" i="36"/>
  <c r="AI17" i="36"/>
  <c r="AJ17" i="36"/>
  <c r="AK17" i="36"/>
  <c r="AL17" i="36"/>
  <c r="AM17" i="36"/>
  <c r="AN17" i="36"/>
  <c r="AO17" i="36"/>
  <c r="AP17" i="36"/>
  <c r="W18" i="36"/>
  <c r="X18" i="36"/>
  <c r="Y18" i="36"/>
  <c r="Z18" i="36"/>
  <c r="AA18" i="36"/>
  <c r="AB18" i="36"/>
  <c r="AC18" i="36"/>
  <c r="AD18" i="36"/>
  <c r="AE18" i="36"/>
  <c r="AF18" i="36"/>
  <c r="AG18" i="36"/>
  <c r="AH18" i="36"/>
  <c r="AI18" i="36"/>
  <c r="AJ18" i="36"/>
  <c r="AK18" i="36"/>
  <c r="AL18" i="36"/>
  <c r="AM18" i="36"/>
  <c r="AN18" i="36"/>
  <c r="AO18" i="36"/>
  <c r="AP18" i="36"/>
  <c r="W19" i="36"/>
  <c r="X19" i="36"/>
  <c r="Y19" i="36"/>
  <c r="Z19" i="36"/>
  <c r="AA19" i="36"/>
  <c r="AB19" i="36"/>
  <c r="AC19" i="36"/>
  <c r="AD19" i="36"/>
  <c r="AE19" i="36"/>
  <c r="AF19" i="36"/>
  <c r="AG19" i="36"/>
  <c r="AH19" i="36"/>
  <c r="AI19" i="36"/>
  <c r="AJ19" i="36"/>
  <c r="AK19" i="36"/>
  <c r="AL19" i="36"/>
  <c r="AM19" i="36"/>
  <c r="AN19" i="36"/>
  <c r="AO19" i="36"/>
  <c r="AP19" i="36"/>
  <c r="W20" i="36"/>
  <c r="X20" i="36"/>
  <c r="Y20" i="36"/>
  <c r="Z20" i="36"/>
  <c r="AA20" i="36"/>
  <c r="AB20" i="36"/>
  <c r="AC20" i="36"/>
  <c r="AD20" i="36"/>
  <c r="AE20" i="36"/>
  <c r="AF20" i="36"/>
  <c r="AG20" i="36"/>
  <c r="AH20" i="36"/>
  <c r="AI20" i="36"/>
  <c r="AJ20" i="36"/>
  <c r="AK20" i="36"/>
  <c r="AL20" i="36"/>
  <c r="AM20" i="36"/>
  <c r="AN20" i="36"/>
  <c r="AO20" i="36"/>
  <c r="AP20" i="36"/>
  <c r="W21" i="36"/>
  <c r="X21" i="36"/>
  <c r="Y21" i="36"/>
  <c r="Z21" i="36"/>
  <c r="AA21" i="36"/>
  <c r="AB21" i="36"/>
  <c r="AC21" i="36"/>
  <c r="AD21" i="36"/>
  <c r="AE21" i="36"/>
  <c r="AF21" i="36"/>
  <c r="AG21" i="36"/>
  <c r="AH21" i="36"/>
  <c r="AI21" i="36"/>
  <c r="AJ21" i="36"/>
  <c r="AK21" i="36"/>
  <c r="AL21" i="36"/>
  <c r="AM21" i="36"/>
  <c r="AN21" i="36"/>
  <c r="AO21" i="36"/>
  <c r="AP21" i="36"/>
  <c r="W22" i="36"/>
  <c r="X22" i="36"/>
  <c r="Y22" i="36"/>
  <c r="Z22" i="36"/>
  <c r="AA22" i="36"/>
  <c r="AB22" i="36"/>
  <c r="AC22" i="36"/>
  <c r="AD22" i="36"/>
  <c r="AE22" i="36"/>
  <c r="AF22" i="36"/>
  <c r="AG22" i="36"/>
  <c r="AH22" i="36"/>
  <c r="AI22" i="36"/>
  <c r="AJ22" i="36"/>
  <c r="AK22" i="36"/>
  <c r="AL22" i="36"/>
  <c r="AM22" i="36"/>
  <c r="AN22" i="36"/>
  <c r="AO22" i="36"/>
  <c r="AP22" i="36"/>
  <c r="W23" i="36"/>
  <c r="X23" i="36"/>
  <c r="Y23" i="36"/>
  <c r="Z23" i="36"/>
  <c r="AA23" i="36"/>
  <c r="AB23" i="36"/>
  <c r="AC23" i="36"/>
  <c r="AD23" i="36"/>
  <c r="AE23" i="36"/>
  <c r="AF23" i="36"/>
  <c r="AG23" i="36"/>
  <c r="AH23" i="36"/>
  <c r="AI23" i="36"/>
  <c r="AJ23" i="36"/>
  <c r="AK23" i="36"/>
  <c r="AL23" i="36"/>
  <c r="AM23" i="36"/>
  <c r="AN23" i="36"/>
  <c r="AO23" i="36"/>
  <c r="AP23" i="36"/>
  <c r="W24" i="36"/>
  <c r="X24" i="36"/>
  <c r="Y24" i="36"/>
  <c r="Z24" i="36"/>
  <c r="AA24" i="36"/>
  <c r="AB24" i="36"/>
  <c r="AC24" i="36"/>
  <c r="AD24" i="36"/>
  <c r="AE24" i="36"/>
  <c r="AF24" i="36"/>
  <c r="AG24" i="36"/>
  <c r="AH24" i="36"/>
  <c r="AI24" i="36"/>
  <c r="AJ24" i="36"/>
  <c r="AK24" i="36"/>
  <c r="AL24" i="36"/>
  <c r="AM24" i="36"/>
  <c r="AN24" i="36"/>
  <c r="AO24" i="36"/>
  <c r="AP24" i="36"/>
  <c r="W25" i="36"/>
  <c r="X25" i="36"/>
  <c r="Y25" i="36"/>
  <c r="Z25" i="36"/>
  <c r="AA25" i="36"/>
  <c r="AB25" i="36"/>
  <c r="AC25" i="36"/>
  <c r="AD25" i="36"/>
  <c r="AE25" i="36"/>
  <c r="AF25" i="36"/>
  <c r="AG25" i="36"/>
  <c r="AH25" i="36"/>
  <c r="AI25" i="36"/>
  <c r="AJ25" i="36"/>
  <c r="AK25" i="36"/>
  <c r="AL25" i="36"/>
  <c r="AM25" i="36"/>
  <c r="AN25" i="36"/>
  <c r="AO25" i="36"/>
  <c r="AP25" i="36"/>
  <c r="W26" i="36"/>
  <c r="X26" i="36"/>
  <c r="Y26" i="36"/>
  <c r="Z26" i="36"/>
  <c r="AA26" i="36"/>
  <c r="AB26" i="36"/>
  <c r="AC26" i="36"/>
  <c r="AD26" i="36"/>
  <c r="AE26" i="36"/>
  <c r="AF26" i="36"/>
  <c r="AG26" i="36"/>
  <c r="AH26" i="36"/>
  <c r="AI26" i="36"/>
  <c r="AJ26" i="36"/>
  <c r="AK26" i="36"/>
  <c r="AL26" i="36"/>
  <c r="AM26" i="36"/>
  <c r="AN26" i="36"/>
  <c r="AO26" i="36"/>
  <c r="AP26" i="36"/>
  <c r="W27" i="36"/>
  <c r="X27" i="36"/>
  <c r="Y27" i="36"/>
  <c r="Z27" i="36"/>
  <c r="AA27" i="36"/>
  <c r="AB27" i="36"/>
  <c r="AC27" i="36"/>
  <c r="AD27" i="36"/>
  <c r="AE27" i="36"/>
  <c r="AF27" i="36"/>
  <c r="AG27" i="36"/>
  <c r="AH27" i="36"/>
  <c r="AI27" i="36"/>
  <c r="AJ27" i="36"/>
  <c r="AK27" i="36"/>
  <c r="AL27" i="36"/>
  <c r="AM27" i="36"/>
  <c r="AN27" i="36"/>
  <c r="AO27" i="36"/>
  <c r="AP27" i="36"/>
  <c r="W28" i="36"/>
  <c r="X28" i="36"/>
  <c r="Y28" i="36"/>
  <c r="Z28" i="36"/>
  <c r="AA28" i="36"/>
  <c r="AB28" i="36"/>
  <c r="AC28" i="36"/>
  <c r="AD28" i="36"/>
  <c r="AE28" i="36"/>
  <c r="AF28" i="36"/>
  <c r="AG28" i="36"/>
  <c r="AH28" i="36"/>
  <c r="AI28" i="36"/>
  <c r="AJ28" i="36"/>
  <c r="AK28" i="36"/>
  <c r="AL28" i="36"/>
  <c r="AM28" i="36"/>
  <c r="AN28" i="36"/>
  <c r="AO28" i="36"/>
  <c r="AP28" i="36"/>
  <c r="W29" i="36"/>
  <c r="X29" i="36"/>
  <c r="Y29" i="36"/>
  <c r="Z29" i="36"/>
  <c r="AA29" i="36"/>
  <c r="AB29" i="36"/>
  <c r="AC29" i="36"/>
  <c r="AD29" i="36"/>
  <c r="AE29" i="36"/>
  <c r="AF29" i="36"/>
  <c r="AG29" i="36"/>
  <c r="AH29" i="36"/>
  <c r="AI29" i="36"/>
  <c r="N29" i="36" s="1"/>
  <c r="AJ29" i="36"/>
  <c r="O29" i="36" s="1"/>
  <c r="AK29" i="36"/>
  <c r="P29" i="36" s="1"/>
  <c r="AL29" i="36"/>
  <c r="Q29" i="36" s="1"/>
  <c r="AM29" i="36"/>
  <c r="R29" i="36" s="1"/>
  <c r="AN29" i="36"/>
  <c r="S29" i="36" s="1"/>
  <c r="AO29" i="36"/>
  <c r="T29" i="36" s="1"/>
  <c r="W30" i="36"/>
  <c r="X30" i="36"/>
  <c r="Y30" i="36"/>
  <c r="Z30" i="36"/>
  <c r="AA30" i="36"/>
  <c r="AB30" i="36"/>
  <c r="AC30" i="36"/>
  <c r="AD30" i="36"/>
  <c r="AE30" i="36"/>
  <c r="AF30" i="36"/>
  <c r="AG30" i="36"/>
  <c r="AH30" i="36"/>
  <c r="AI30" i="36"/>
  <c r="N30" i="36" s="1"/>
  <c r="AJ30" i="36"/>
  <c r="O30" i="36" s="1"/>
  <c r="AK30" i="36"/>
  <c r="P30" i="36" s="1"/>
  <c r="AL30" i="36"/>
  <c r="Q30" i="36" s="1"/>
  <c r="AM30" i="36"/>
  <c r="R30" i="36" s="1"/>
  <c r="AN30" i="36"/>
  <c r="S30" i="36" s="1"/>
  <c r="AO30" i="36"/>
  <c r="T30" i="36" s="1"/>
  <c r="AP30" i="36"/>
  <c r="U30" i="36" s="1"/>
  <c r="W31" i="36"/>
  <c r="X31" i="36"/>
  <c r="Y31" i="36"/>
  <c r="Z31" i="36"/>
  <c r="AA31" i="36"/>
  <c r="AB31" i="36"/>
  <c r="AC31" i="36"/>
  <c r="AD31" i="36"/>
  <c r="AE31" i="36"/>
  <c r="AF31" i="36"/>
  <c r="AG31" i="36"/>
  <c r="AH31" i="36"/>
  <c r="AI31" i="36"/>
  <c r="N31" i="36" s="1"/>
  <c r="AJ31" i="36"/>
  <c r="O31" i="36" s="1"/>
  <c r="AK31" i="36"/>
  <c r="P31" i="36" s="1"/>
  <c r="AL31" i="36"/>
  <c r="Q31" i="36" s="1"/>
  <c r="AM31" i="36"/>
  <c r="R31" i="36" s="1"/>
  <c r="AN31" i="36"/>
  <c r="S31" i="36" s="1"/>
  <c r="AO31" i="36"/>
  <c r="T31" i="36" s="1"/>
  <c r="AP31" i="36"/>
  <c r="U31" i="36" s="1"/>
  <c r="W32" i="36"/>
  <c r="X32" i="36"/>
  <c r="Y32" i="36"/>
  <c r="Z32" i="36"/>
  <c r="AA32" i="36"/>
  <c r="AB32" i="36"/>
  <c r="AC32" i="36"/>
  <c r="AD32" i="36"/>
  <c r="AE32" i="36"/>
  <c r="AF32" i="36"/>
  <c r="AG32" i="36"/>
  <c r="AH32" i="36"/>
  <c r="AI32" i="36"/>
  <c r="N32" i="36" s="1"/>
  <c r="AJ32" i="36"/>
  <c r="O32" i="36" s="1"/>
  <c r="AK32" i="36"/>
  <c r="P32" i="36" s="1"/>
  <c r="AL32" i="36"/>
  <c r="Q32" i="36" s="1"/>
  <c r="AM32" i="36"/>
  <c r="R32" i="36" s="1"/>
  <c r="AN32" i="36"/>
  <c r="S32" i="36" s="1"/>
  <c r="AO32" i="36"/>
  <c r="T32" i="36" s="1"/>
  <c r="AP32" i="36"/>
  <c r="U32" i="36" s="1"/>
  <c r="W33" i="36"/>
  <c r="X33" i="36"/>
  <c r="Y33" i="36"/>
  <c r="Z33" i="36"/>
  <c r="AA33" i="36"/>
  <c r="AB33" i="36"/>
  <c r="AC33" i="36"/>
  <c r="AD33" i="36"/>
  <c r="AE33" i="36"/>
  <c r="AF33" i="36"/>
  <c r="AG33" i="36"/>
  <c r="AH33" i="36"/>
  <c r="AI33" i="36"/>
  <c r="N33" i="36" s="1"/>
  <c r="AJ33" i="36"/>
  <c r="O33" i="36" s="1"/>
  <c r="AK33" i="36"/>
  <c r="P33" i="36" s="1"/>
  <c r="AL33" i="36"/>
  <c r="Q33" i="36" s="1"/>
  <c r="AM33" i="36"/>
  <c r="R33" i="36" s="1"/>
  <c r="AN33" i="36"/>
  <c r="S33" i="36" s="1"/>
  <c r="AO33" i="36"/>
  <c r="T33" i="36" s="1"/>
  <c r="AP33" i="36"/>
  <c r="U33" i="36" s="1"/>
  <c r="W34" i="36"/>
  <c r="B34" i="36" s="1"/>
  <c r="X34" i="36"/>
  <c r="C34" i="36" s="1"/>
  <c r="Y34" i="36"/>
  <c r="D34" i="36" s="1"/>
  <c r="Z34" i="36"/>
  <c r="E34" i="36" s="1"/>
  <c r="AA34" i="36"/>
  <c r="F34" i="36" s="1"/>
  <c r="AB34" i="36"/>
  <c r="G34" i="36" s="1"/>
  <c r="AC34" i="36"/>
  <c r="H34" i="36" s="1"/>
  <c r="AD34" i="36"/>
  <c r="I34" i="36" s="1"/>
  <c r="AE34" i="36"/>
  <c r="J34" i="36" s="1"/>
  <c r="AF34" i="36"/>
  <c r="K34" i="36" s="1"/>
  <c r="AG34" i="36"/>
  <c r="L34" i="36" s="1"/>
  <c r="AH34" i="36"/>
  <c r="M34" i="36" s="1"/>
  <c r="AI34" i="36"/>
  <c r="N34" i="36" s="1"/>
  <c r="AJ34" i="36"/>
  <c r="O34" i="36" s="1"/>
  <c r="AK34" i="36"/>
  <c r="P34" i="36" s="1"/>
  <c r="AL34" i="36"/>
  <c r="Q34" i="36" s="1"/>
  <c r="AM34" i="36"/>
  <c r="R34" i="36" s="1"/>
  <c r="AN34" i="36"/>
  <c r="S34" i="36" s="1"/>
  <c r="AO34" i="36"/>
  <c r="T34" i="36" s="1"/>
  <c r="AP34" i="36"/>
  <c r="U34" i="36" s="1"/>
  <c r="W35" i="36"/>
  <c r="B35" i="36" s="1"/>
  <c r="X35" i="36"/>
  <c r="C35" i="36" s="1"/>
  <c r="Y35" i="36"/>
  <c r="D35" i="36" s="1"/>
  <c r="Z35" i="36"/>
  <c r="E35" i="36" s="1"/>
  <c r="AA35" i="36"/>
  <c r="F35" i="36" s="1"/>
  <c r="AB35" i="36"/>
  <c r="G35" i="36" s="1"/>
  <c r="AC35" i="36"/>
  <c r="H35" i="36" s="1"/>
  <c r="AD35" i="36"/>
  <c r="I35" i="36" s="1"/>
  <c r="AE35" i="36"/>
  <c r="J35" i="36" s="1"/>
  <c r="AF35" i="36"/>
  <c r="K35" i="36" s="1"/>
  <c r="AG35" i="36"/>
  <c r="L35" i="36" s="1"/>
  <c r="AH35" i="36"/>
  <c r="M35" i="36" s="1"/>
  <c r="AI35" i="36"/>
  <c r="N35" i="36" s="1"/>
  <c r="AJ35" i="36"/>
  <c r="O35" i="36" s="1"/>
  <c r="AK35" i="36"/>
  <c r="P35" i="36" s="1"/>
  <c r="AL35" i="36"/>
  <c r="Q35" i="36" s="1"/>
  <c r="AM35" i="36"/>
  <c r="R35" i="36" s="1"/>
  <c r="AN35" i="36"/>
  <c r="S35" i="36" s="1"/>
  <c r="AO35" i="36"/>
  <c r="T35" i="36" s="1"/>
  <c r="AP35" i="36"/>
  <c r="U35" i="36" s="1"/>
  <c r="W36" i="36"/>
  <c r="B36" i="36" s="1"/>
  <c r="X36" i="36"/>
  <c r="C36" i="36" s="1"/>
  <c r="Y36" i="36"/>
  <c r="D36" i="36" s="1"/>
  <c r="Z36" i="36"/>
  <c r="E36" i="36" s="1"/>
  <c r="AA36" i="36"/>
  <c r="F36" i="36" s="1"/>
  <c r="AB36" i="36"/>
  <c r="G36" i="36" s="1"/>
  <c r="AC36" i="36"/>
  <c r="H36" i="36" s="1"/>
  <c r="AD36" i="36"/>
  <c r="I36" i="36" s="1"/>
  <c r="AE36" i="36"/>
  <c r="J36" i="36" s="1"/>
  <c r="AF36" i="36"/>
  <c r="K36" i="36" s="1"/>
  <c r="AG36" i="36"/>
  <c r="L36" i="36" s="1"/>
  <c r="AH36" i="36"/>
  <c r="M36" i="36" s="1"/>
  <c r="AI36" i="36"/>
  <c r="N36" i="36" s="1"/>
  <c r="AJ36" i="36"/>
  <c r="O36" i="36" s="1"/>
  <c r="AK36" i="36"/>
  <c r="P36" i="36" s="1"/>
  <c r="AL36" i="36"/>
  <c r="Q36" i="36" s="1"/>
  <c r="AM36" i="36"/>
  <c r="R36" i="36" s="1"/>
  <c r="AN36" i="36"/>
  <c r="S36" i="36" s="1"/>
  <c r="AO36" i="36"/>
  <c r="T36" i="36" s="1"/>
  <c r="AP36" i="36"/>
  <c r="U36" i="36" s="1"/>
  <c r="W37" i="36"/>
  <c r="B37" i="36" s="1"/>
  <c r="X37" i="36"/>
  <c r="C37" i="36" s="1"/>
  <c r="Y37" i="36"/>
  <c r="D37" i="36" s="1"/>
  <c r="Z37" i="36"/>
  <c r="E37" i="36" s="1"/>
  <c r="AA37" i="36"/>
  <c r="F37" i="36" s="1"/>
  <c r="AB37" i="36"/>
  <c r="G37" i="36" s="1"/>
  <c r="AC37" i="36"/>
  <c r="H37" i="36" s="1"/>
  <c r="AD37" i="36"/>
  <c r="I37" i="36" s="1"/>
  <c r="AE37" i="36"/>
  <c r="J37" i="36" s="1"/>
  <c r="AF37" i="36"/>
  <c r="K37" i="36" s="1"/>
  <c r="AG37" i="36"/>
  <c r="L37" i="36" s="1"/>
  <c r="AH37" i="36"/>
  <c r="M37" i="36" s="1"/>
  <c r="AI37" i="36"/>
  <c r="N37" i="36" s="1"/>
  <c r="AJ37" i="36"/>
  <c r="O37" i="36" s="1"/>
  <c r="AK37" i="36"/>
  <c r="P37" i="36" s="1"/>
  <c r="AL37" i="36"/>
  <c r="Q37" i="36" s="1"/>
  <c r="AM37" i="36"/>
  <c r="R37" i="36" s="1"/>
  <c r="AN37" i="36"/>
  <c r="S37" i="36" s="1"/>
  <c r="AO37" i="36"/>
  <c r="T37" i="36" s="1"/>
  <c r="AP37" i="36"/>
  <c r="U37" i="36" s="1"/>
  <c r="W38" i="36"/>
  <c r="B38" i="36" s="1"/>
  <c r="X38" i="36"/>
  <c r="C38" i="36" s="1"/>
  <c r="Y38" i="36"/>
  <c r="D38" i="36" s="1"/>
  <c r="Z38" i="36"/>
  <c r="E38" i="36" s="1"/>
  <c r="AA38" i="36"/>
  <c r="F38" i="36" s="1"/>
  <c r="AB38" i="36"/>
  <c r="G38" i="36" s="1"/>
  <c r="AC38" i="36"/>
  <c r="H38" i="36" s="1"/>
  <c r="AD38" i="36"/>
  <c r="I38" i="36" s="1"/>
  <c r="AE38" i="36"/>
  <c r="J38" i="36" s="1"/>
  <c r="AF38" i="36"/>
  <c r="K38" i="36" s="1"/>
  <c r="AG38" i="36"/>
  <c r="L38" i="36" s="1"/>
  <c r="AH38" i="36"/>
  <c r="M38" i="36" s="1"/>
  <c r="AI38" i="36"/>
  <c r="N38" i="36" s="1"/>
  <c r="AJ38" i="36"/>
  <c r="O38" i="36" s="1"/>
  <c r="AK38" i="36"/>
  <c r="P38" i="36" s="1"/>
  <c r="AL38" i="36"/>
  <c r="Q38" i="36" s="1"/>
  <c r="AM38" i="36"/>
  <c r="R38" i="36" s="1"/>
  <c r="AN38" i="36"/>
  <c r="S38" i="36" s="1"/>
  <c r="AO38" i="36"/>
  <c r="T38" i="36" s="1"/>
  <c r="AP38" i="36"/>
  <c r="U38" i="36" s="1"/>
  <c r="W39" i="36"/>
  <c r="B39" i="36" s="1"/>
  <c r="X39" i="36"/>
  <c r="C39" i="36" s="1"/>
  <c r="Y39" i="36"/>
  <c r="D39" i="36" s="1"/>
  <c r="Z39" i="36"/>
  <c r="E39" i="36" s="1"/>
  <c r="AA39" i="36"/>
  <c r="F39" i="36" s="1"/>
  <c r="AB39" i="36"/>
  <c r="G39" i="36" s="1"/>
  <c r="AC39" i="36"/>
  <c r="H39" i="36" s="1"/>
  <c r="AD39" i="36"/>
  <c r="I39" i="36" s="1"/>
  <c r="AE39" i="36"/>
  <c r="J39" i="36" s="1"/>
  <c r="AF39" i="36"/>
  <c r="K39" i="36" s="1"/>
  <c r="AG39" i="36"/>
  <c r="L39" i="36" s="1"/>
  <c r="AH39" i="36"/>
  <c r="M39" i="36" s="1"/>
  <c r="AI39" i="36"/>
  <c r="N39" i="36" s="1"/>
  <c r="AJ39" i="36"/>
  <c r="O39" i="36" s="1"/>
  <c r="AK39" i="36"/>
  <c r="P39" i="36" s="1"/>
  <c r="AL39" i="36"/>
  <c r="Q39" i="36" s="1"/>
  <c r="AM39" i="36"/>
  <c r="R39" i="36" s="1"/>
  <c r="AN39" i="36"/>
  <c r="S39" i="36" s="1"/>
  <c r="AO39" i="36"/>
  <c r="T39" i="36" s="1"/>
  <c r="AP39" i="36"/>
  <c r="U39" i="36" s="1"/>
  <c r="W40" i="36"/>
  <c r="B40" i="36" s="1"/>
  <c r="X40" i="36"/>
  <c r="C40" i="36" s="1"/>
  <c r="Y40" i="36"/>
  <c r="D40" i="36" s="1"/>
  <c r="Z40" i="36"/>
  <c r="E40" i="36" s="1"/>
  <c r="AA40" i="36"/>
  <c r="F40" i="36" s="1"/>
  <c r="AB40" i="36"/>
  <c r="G40" i="36" s="1"/>
  <c r="AC40" i="36"/>
  <c r="H40" i="36" s="1"/>
  <c r="AD40" i="36"/>
  <c r="I40" i="36" s="1"/>
  <c r="AE40" i="36"/>
  <c r="J40" i="36" s="1"/>
  <c r="AF40" i="36"/>
  <c r="K40" i="36" s="1"/>
  <c r="AG40" i="36"/>
  <c r="L40" i="36" s="1"/>
  <c r="AH40" i="36"/>
  <c r="M40" i="36" s="1"/>
  <c r="AI40" i="36"/>
  <c r="N40" i="36" s="1"/>
  <c r="AJ40" i="36"/>
  <c r="O40" i="36" s="1"/>
  <c r="AK40" i="36"/>
  <c r="P40" i="36" s="1"/>
  <c r="AL40" i="36"/>
  <c r="Q40" i="36" s="1"/>
  <c r="AM40" i="36"/>
  <c r="R40" i="36" s="1"/>
  <c r="AN40" i="36"/>
  <c r="S40" i="36" s="1"/>
  <c r="AO40" i="36"/>
  <c r="T40" i="36" s="1"/>
  <c r="AP40" i="36"/>
  <c r="U40" i="36" s="1"/>
  <c r="W41" i="36"/>
  <c r="B41" i="36" s="1"/>
  <c r="X41" i="36"/>
  <c r="C41" i="36" s="1"/>
  <c r="Y41" i="36"/>
  <c r="D41" i="36" s="1"/>
  <c r="Z41" i="36"/>
  <c r="E41" i="36" s="1"/>
  <c r="AA41" i="36"/>
  <c r="F41" i="36" s="1"/>
  <c r="AB41" i="36"/>
  <c r="G41" i="36" s="1"/>
  <c r="AC41" i="36"/>
  <c r="H41" i="36" s="1"/>
  <c r="AD41" i="36"/>
  <c r="I41" i="36" s="1"/>
  <c r="AE41" i="36"/>
  <c r="J41" i="36" s="1"/>
  <c r="AF41" i="36"/>
  <c r="K41" i="36" s="1"/>
  <c r="AG41" i="36"/>
  <c r="L41" i="36" s="1"/>
  <c r="AH41" i="36"/>
  <c r="M41" i="36" s="1"/>
  <c r="AI41" i="36"/>
  <c r="N41" i="36" s="1"/>
  <c r="AJ41" i="36"/>
  <c r="O41" i="36" s="1"/>
  <c r="AK41" i="36"/>
  <c r="P41" i="36" s="1"/>
  <c r="AL41" i="36"/>
  <c r="Q41" i="36" s="1"/>
  <c r="AM41" i="36"/>
  <c r="R41" i="36" s="1"/>
  <c r="AN41" i="36"/>
  <c r="S41" i="36" s="1"/>
  <c r="AO41" i="36"/>
  <c r="T41" i="36" s="1"/>
  <c r="AP41" i="36"/>
  <c r="U41" i="36" s="1"/>
  <c r="W42" i="36"/>
  <c r="B42" i="36" s="1"/>
  <c r="X42" i="36"/>
  <c r="C42" i="36" s="1"/>
  <c r="Y42" i="36"/>
  <c r="D42" i="36" s="1"/>
  <c r="Z42" i="36"/>
  <c r="E42" i="36" s="1"/>
  <c r="AA42" i="36"/>
  <c r="F42" i="36" s="1"/>
  <c r="AB42" i="36"/>
  <c r="G42" i="36" s="1"/>
  <c r="AC42" i="36"/>
  <c r="H42" i="36" s="1"/>
  <c r="AD42" i="36"/>
  <c r="I42" i="36" s="1"/>
  <c r="AE42" i="36"/>
  <c r="J42" i="36" s="1"/>
  <c r="AF42" i="36"/>
  <c r="K42" i="36" s="1"/>
  <c r="AG42" i="36"/>
  <c r="L42" i="36" s="1"/>
  <c r="AH42" i="36"/>
  <c r="M42" i="36" s="1"/>
  <c r="AI42" i="36"/>
  <c r="N42" i="36" s="1"/>
  <c r="AJ42" i="36"/>
  <c r="O42" i="36" s="1"/>
  <c r="AK42" i="36"/>
  <c r="P42" i="36" s="1"/>
  <c r="AL42" i="36"/>
  <c r="Q42" i="36" s="1"/>
  <c r="AM42" i="36"/>
  <c r="R42" i="36" s="1"/>
  <c r="AN42" i="36"/>
  <c r="S42" i="36" s="1"/>
  <c r="AO42" i="36"/>
  <c r="T42" i="36" s="1"/>
  <c r="AP42" i="36"/>
  <c r="U42" i="36" s="1"/>
  <c r="W43" i="36"/>
  <c r="B43" i="36" s="1"/>
  <c r="X43" i="36"/>
  <c r="C43" i="36" s="1"/>
  <c r="Y43" i="36"/>
  <c r="D43" i="36" s="1"/>
  <c r="Z43" i="36"/>
  <c r="E43" i="36" s="1"/>
  <c r="AA43" i="36"/>
  <c r="F43" i="36" s="1"/>
  <c r="AB43" i="36"/>
  <c r="G43" i="36" s="1"/>
  <c r="AC43" i="36"/>
  <c r="H43" i="36" s="1"/>
  <c r="AD43" i="36"/>
  <c r="I43" i="36" s="1"/>
  <c r="AE43" i="36"/>
  <c r="J43" i="36" s="1"/>
  <c r="AF43" i="36"/>
  <c r="K43" i="36" s="1"/>
  <c r="AG43" i="36"/>
  <c r="L43" i="36" s="1"/>
  <c r="AH43" i="36"/>
  <c r="M43" i="36" s="1"/>
  <c r="AI43" i="36"/>
  <c r="N43" i="36" s="1"/>
  <c r="AJ43" i="36"/>
  <c r="O43" i="36" s="1"/>
  <c r="AK43" i="36"/>
  <c r="P43" i="36" s="1"/>
  <c r="AL43" i="36"/>
  <c r="Q43" i="36" s="1"/>
  <c r="AM43" i="36"/>
  <c r="R43" i="36" s="1"/>
  <c r="AN43" i="36"/>
  <c r="S43" i="36" s="1"/>
  <c r="AO43" i="36"/>
  <c r="T43" i="36" s="1"/>
  <c r="AP43" i="36"/>
  <c r="U43" i="36" s="1"/>
  <c r="W44" i="36"/>
  <c r="B44" i="36" s="1"/>
  <c r="X44" i="36"/>
  <c r="C44" i="36" s="1"/>
  <c r="Y44" i="36"/>
  <c r="D44" i="36" s="1"/>
  <c r="Z44" i="36"/>
  <c r="E44" i="36" s="1"/>
  <c r="AA44" i="36"/>
  <c r="F44" i="36" s="1"/>
  <c r="AB44" i="36"/>
  <c r="G44" i="36" s="1"/>
  <c r="AC44" i="36"/>
  <c r="H44" i="36" s="1"/>
  <c r="AD44" i="36"/>
  <c r="I44" i="36" s="1"/>
  <c r="AE44" i="36"/>
  <c r="J44" i="36" s="1"/>
  <c r="AF44" i="36"/>
  <c r="K44" i="36" s="1"/>
  <c r="AG44" i="36"/>
  <c r="L44" i="36" s="1"/>
  <c r="AH44" i="36"/>
  <c r="M44" i="36" s="1"/>
  <c r="AI44" i="36"/>
  <c r="N44" i="36" s="1"/>
  <c r="AJ44" i="36"/>
  <c r="O44" i="36" s="1"/>
  <c r="AK44" i="36"/>
  <c r="P44" i="36" s="1"/>
  <c r="AL44" i="36"/>
  <c r="Q44" i="36" s="1"/>
  <c r="AM44" i="36"/>
  <c r="R44" i="36" s="1"/>
  <c r="AN44" i="36"/>
  <c r="S44" i="36" s="1"/>
  <c r="AO44" i="36"/>
  <c r="T44" i="36" s="1"/>
  <c r="AP44" i="36"/>
  <c r="U44" i="36" s="1"/>
  <c r="W45" i="36"/>
  <c r="B45" i="36" s="1"/>
  <c r="X45" i="36"/>
  <c r="C45" i="36" s="1"/>
  <c r="Y45" i="36"/>
  <c r="D45" i="36" s="1"/>
  <c r="Z45" i="36"/>
  <c r="E45" i="36" s="1"/>
  <c r="AA45" i="36"/>
  <c r="F45" i="36" s="1"/>
  <c r="AB45" i="36"/>
  <c r="G45" i="36" s="1"/>
  <c r="AC45" i="36"/>
  <c r="H45" i="36" s="1"/>
  <c r="AD45" i="36"/>
  <c r="I45" i="36" s="1"/>
  <c r="AE45" i="36"/>
  <c r="J45" i="36" s="1"/>
  <c r="AF45" i="36"/>
  <c r="K45" i="36" s="1"/>
  <c r="AG45" i="36"/>
  <c r="L45" i="36" s="1"/>
  <c r="AH45" i="36"/>
  <c r="M45" i="36" s="1"/>
  <c r="AI45" i="36"/>
  <c r="N45" i="36" s="1"/>
  <c r="AJ45" i="36"/>
  <c r="O45" i="36" s="1"/>
  <c r="AK45" i="36"/>
  <c r="P45" i="36" s="1"/>
  <c r="AL45" i="36"/>
  <c r="Q45" i="36" s="1"/>
  <c r="AM45" i="36"/>
  <c r="R45" i="36" s="1"/>
  <c r="AN45" i="36"/>
  <c r="S45" i="36" s="1"/>
  <c r="AO45" i="36"/>
  <c r="T45" i="36" s="1"/>
  <c r="AP45" i="36"/>
  <c r="U45" i="36" s="1"/>
  <c r="W46" i="36"/>
  <c r="B46" i="36" s="1"/>
  <c r="X46" i="36"/>
  <c r="C46" i="36" s="1"/>
  <c r="Y46" i="36"/>
  <c r="D46" i="36" s="1"/>
  <c r="Z46" i="36"/>
  <c r="E46" i="36" s="1"/>
  <c r="AA46" i="36"/>
  <c r="F46" i="36" s="1"/>
  <c r="AB46" i="36"/>
  <c r="G46" i="36" s="1"/>
  <c r="AC46" i="36"/>
  <c r="H46" i="36" s="1"/>
  <c r="AD46" i="36"/>
  <c r="I46" i="36" s="1"/>
  <c r="AE46" i="36"/>
  <c r="J46" i="36" s="1"/>
  <c r="AF46" i="36"/>
  <c r="K46" i="36" s="1"/>
  <c r="AG46" i="36"/>
  <c r="L46" i="36" s="1"/>
  <c r="AH46" i="36"/>
  <c r="M46" i="36" s="1"/>
  <c r="AI46" i="36"/>
  <c r="N46" i="36" s="1"/>
  <c r="AJ46" i="36"/>
  <c r="O46" i="36" s="1"/>
  <c r="AK46" i="36"/>
  <c r="P46" i="36" s="1"/>
  <c r="AL46" i="36"/>
  <c r="Q46" i="36" s="1"/>
  <c r="AM46" i="36"/>
  <c r="R46" i="36" s="1"/>
  <c r="AN46" i="36"/>
  <c r="S46" i="36" s="1"/>
  <c r="AO46" i="36"/>
  <c r="T46" i="36" s="1"/>
  <c r="AP46" i="36"/>
  <c r="U46" i="36" s="1"/>
  <c r="W47" i="36"/>
  <c r="B47" i="36" s="1"/>
  <c r="X47" i="36"/>
  <c r="C47" i="36" s="1"/>
  <c r="Y47" i="36"/>
  <c r="D47" i="36" s="1"/>
  <c r="Z47" i="36"/>
  <c r="E47" i="36" s="1"/>
  <c r="AA47" i="36"/>
  <c r="F47" i="36" s="1"/>
  <c r="AB47" i="36"/>
  <c r="G47" i="36" s="1"/>
  <c r="AC47" i="36"/>
  <c r="H47" i="36" s="1"/>
  <c r="AD47" i="36"/>
  <c r="I47" i="36" s="1"/>
  <c r="AE47" i="36"/>
  <c r="J47" i="36" s="1"/>
  <c r="AF47" i="36"/>
  <c r="K47" i="36" s="1"/>
  <c r="AG47" i="36"/>
  <c r="L47" i="36" s="1"/>
  <c r="AH47" i="36"/>
  <c r="M47" i="36" s="1"/>
  <c r="AI47" i="36"/>
  <c r="N47" i="36" s="1"/>
  <c r="AJ47" i="36"/>
  <c r="O47" i="36" s="1"/>
  <c r="AK47" i="36"/>
  <c r="P47" i="36" s="1"/>
  <c r="AL47" i="36"/>
  <c r="Q47" i="36" s="1"/>
  <c r="AM47" i="36"/>
  <c r="R47" i="36" s="1"/>
  <c r="AN47" i="36"/>
  <c r="S47" i="36" s="1"/>
  <c r="AO47" i="36"/>
  <c r="T47" i="36" s="1"/>
  <c r="AP47" i="36"/>
  <c r="U47" i="36" s="1"/>
  <c r="W48" i="36"/>
  <c r="B48" i="36" s="1"/>
  <c r="X48" i="36"/>
  <c r="C48" i="36" s="1"/>
  <c r="Y48" i="36"/>
  <c r="D48" i="36" s="1"/>
  <c r="Z48" i="36"/>
  <c r="E48" i="36" s="1"/>
  <c r="AA48" i="36"/>
  <c r="F48" i="36" s="1"/>
  <c r="AB48" i="36"/>
  <c r="G48" i="36" s="1"/>
  <c r="AC48" i="36"/>
  <c r="H48" i="36" s="1"/>
  <c r="AD48" i="36"/>
  <c r="I48" i="36" s="1"/>
  <c r="AE48" i="36"/>
  <c r="J48" i="36" s="1"/>
  <c r="AF48" i="36"/>
  <c r="K48" i="36" s="1"/>
  <c r="AG48" i="36"/>
  <c r="L48" i="36" s="1"/>
  <c r="AH48" i="36"/>
  <c r="M48" i="36" s="1"/>
  <c r="AI48" i="36"/>
  <c r="N48" i="36" s="1"/>
  <c r="AJ48" i="36"/>
  <c r="O48" i="36" s="1"/>
  <c r="AK48" i="36"/>
  <c r="P48" i="36" s="1"/>
  <c r="AL48" i="36"/>
  <c r="Q48" i="36" s="1"/>
  <c r="AM48" i="36"/>
  <c r="R48" i="36" s="1"/>
  <c r="AN48" i="36"/>
  <c r="S48" i="36" s="1"/>
  <c r="AO48" i="36"/>
  <c r="T48" i="36" s="1"/>
  <c r="AP48" i="36"/>
  <c r="U48" i="36" s="1"/>
  <c r="W49" i="36"/>
  <c r="B49" i="36" s="1"/>
  <c r="X49" i="36"/>
  <c r="C49" i="36" s="1"/>
  <c r="Y49" i="36"/>
  <c r="D49" i="36" s="1"/>
  <c r="Z49" i="36"/>
  <c r="E49" i="36" s="1"/>
  <c r="AA49" i="36"/>
  <c r="F49" i="36" s="1"/>
  <c r="AB49" i="36"/>
  <c r="G49" i="36" s="1"/>
  <c r="AC49" i="36"/>
  <c r="H49" i="36" s="1"/>
  <c r="AD49" i="36"/>
  <c r="I49" i="36" s="1"/>
  <c r="AE49" i="36"/>
  <c r="J49" i="36" s="1"/>
  <c r="AF49" i="36"/>
  <c r="K49" i="36" s="1"/>
  <c r="AG49" i="36"/>
  <c r="L49" i="36" s="1"/>
  <c r="AH49" i="36"/>
  <c r="M49" i="36" s="1"/>
  <c r="AI49" i="36"/>
  <c r="N49" i="36" s="1"/>
  <c r="AJ49" i="36"/>
  <c r="O49" i="36" s="1"/>
  <c r="AK49" i="36"/>
  <c r="P49" i="36" s="1"/>
  <c r="AL49" i="36"/>
  <c r="Q49" i="36" s="1"/>
  <c r="AM49" i="36"/>
  <c r="R49" i="36" s="1"/>
  <c r="AN49" i="36"/>
  <c r="S49" i="36" s="1"/>
  <c r="AO49" i="36"/>
  <c r="T49" i="36" s="1"/>
  <c r="AP49" i="36"/>
  <c r="U49" i="36" s="1"/>
  <c r="W50" i="36"/>
  <c r="B50" i="36" s="1"/>
  <c r="X50" i="36"/>
  <c r="C50" i="36" s="1"/>
  <c r="Y50" i="36"/>
  <c r="D50" i="36" s="1"/>
  <c r="Z50" i="36"/>
  <c r="E50" i="36" s="1"/>
  <c r="AA50" i="36"/>
  <c r="F50" i="36" s="1"/>
  <c r="AB50" i="36"/>
  <c r="G50" i="36" s="1"/>
  <c r="AC50" i="36"/>
  <c r="H50" i="36" s="1"/>
  <c r="AD50" i="36"/>
  <c r="I50" i="36" s="1"/>
  <c r="AE50" i="36"/>
  <c r="J50" i="36" s="1"/>
  <c r="AF50" i="36"/>
  <c r="K50" i="36" s="1"/>
  <c r="AG50" i="36"/>
  <c r="L50" i="36" s="1"/>
  <c r="AH50" i="36"/>
  <c r="M50" i="36" s="1"/>
  <c r="AI50" i="36"/>
  <c r="N50" i="36" s="1"/>
  <c r="AJ50" i="36"/>
  <c r="O50" i="36" s="1"/>
  <c r="AK50" i="36"/>
  <c r="P50" i="36" s="1"/>
  <c r="AL50" i="36"/>
  <c r="Q50" i="36" s="1"/>
  <c r="AM50" i="36"/>
  <c r="R50" i="36" s="1"/>
  <c r="AN50" i="36"/>
  <c r="S50" i="36" s="1"/>
  <c r="AO50" i="36"/>
  <c r="T50" i="36" s="1"/>
  <c r="AP50" i="36"/>
  <c r="U50" i="36" s="1"/>
  <c r="W51" i="36"/>
  <c r="B51" i="36" s="1"/>
  <c r="X51" i="36"/>
  <c r="C51" i="36" s="1"/>
  <c r="Y51" i="36"/>
  <c r="D51" i="36" s="1"/>
  <c r="Z51" i="36"/>
  <c r="E51" i="36" s="1"/>
  <c r="AA51" i="36"/>
  <c r="F51" i="36" s="1"/>
  <c r="AB51" i="36"/>
  <c r="G51" i="36" s="1"/>
  <c r="AC51" i="36"/>
  <c r="H51" i="36" s="1"/>
  <c r="AD51" i="36"/>
  <c r="I51" i="36" s="1"/>
  <c r="AE51" i="36"/>
  <c r="J51" i="36" s="1"/>
  <c r="AF51" i="36"/>
  <c r="K51" i="36" s="1"/>
  <c r="AG51" i="36"/>
  <c r="L51" i="36" s="1"/>
  <c r="AH51" i="36"/>
  <c r="M51" i="36" s="1"/>
  <c r="AI51" i="36"/>
  <c r="N51" i="36" s="1"/>
  <c r="AJ51" i="36"/>
  <c r="O51" i="36" s="1"/>
  <c r="AK51" i="36"/>
  <c r="P51" i="36" s="1"/>
  <c r="AL51" i="36"/>
  <c r="Q51" i="36" s="1"/>
  <c r="AM51" i="36"/>
  <c r="R51" i="36" s="1"/>
  <c r="AN51" i="36"/>
  <c r="S51" i="36" s="1"/>
  <c r="AO51" i="36"/>
  <c r="T51" i="36" s="1"/>
  <c r="AP51" i="36"/>
  <c r="U51" i="36" s="1"/>
  <c r="W52" i="36"/>
  <c r="B52" i="36" s="1"/>
  <c r="X52" i="36"/>
  <c r="C52" i="36" s="1"/>
  <c r="Y52" i="36"/>
  <c r="D52" i="36" s="1"/>
  <c r="Z52" i="36"/>
  <c r="E52" i="36" s="1"/>
  <c r="AA52" i="36"/>
  <c r="F52" i="36" s="1"/>
  <c r="AB52" i="36"/>
  <c r="G52" i="36" s="1"/>
  <c r="AC52" i="36"/>
  <c r="H52" i="36" s="1"/>
  <c r="AD52" i="36"/>
  <c r="I52" i="36" s="1"/>
  <c r="AE52" i="36"/>
  <c r="J52" i="36" s="1"/>
  <c r="AF52" i="36"/>
  <c r="K52" i="36" s="1"/>
  <c r="AG52" i="36"/>
  <c r="L52" i="36" s="1"/>
  <c r="AH52" i="36"/>
  <c r="M52" i="36" s="1"/>
  <c r="AI52" i="36"/>
  <c r="N52" i="36" s="1"/>
  <c r="AJ52" i="36"/>
  <c r="O52" i="36" s="1"/>
  <c r="AK52" i="36"/>
  <c r="P52" i="36" s="1"/>
  <c r="AL52" i="36"/>
  <c r="Q52" i="36" s="1"/>
  <c r="AM52" i="36"/>
  <c r="R52" i="36" s="1"/>
  <c r="AN52" i="36"/>
  <c r="S52" i="36" s="1"/>
  <c r="AO52" i="36"/>
  <c r="T52" i="36" s="1"/>
  <c r="AP52" i="36"/>
  <c r="U52" i="36" s="1"/>
  <c r="W53" i="36"/>
  <c r="B53" i="36" s="1"/>
  <c r="X53" i="36"/>
  <c r="C53" i="36" s="1"/>
  <c r="Y53" i="36"/>
  <c r="D53" i="36" s="1"/>
  <c r="Z53" i="36"/>
  <c r="E53" i="36" s="1"/>
  <c r="AA53" i="36"/>
  <c r="F53" i="36" s="1"/>
  <c r="AB53" i="36"/>
  <c r="G53" i="36" s="1"/>
  <c r="AC53" i="36"/>
  <c r="H53" i="36" s="1"/>
  <c r="AD53" i="36"/>
  <c r="I53" i="36" s="1"/>
  <c r="AE53" i="36"/>
  <c r="J53" i="36" s="1"/>
  <c r="AF53" i="36"/>
  <c r="K53" i="36" s="1"/>
  <c r="AG53" i="36"/>
  <c r="L53" i="36" s="1"/>
  <c r="AH53" i="36"/>
  <c r="M53" i="36" s="1"/>
  <c r="AI53" i="36"/>
  <c r="N53" i="36" s="1"/>
  <c r="AJ53" i="36"/>
  <c r="O53" i="36" s="1"/>
  <c r="AK53" i="36"/>
  <c r="P53" i="36" s="1"/>
  <c r="AL53" i="36"/>
  <c r="Q53" i="36" s="1"/>
  <c r="AM53" i="36"/>
  <c r="R53" i="36" s="1"/>
  <c r="AN53" i="36"/>
  <c r="S53" i="36" s="1"/>
  <c r="AO53" i="36"/>
  <c r="T53" i="36" s="1"/>
  <c r="AP53" i="36"/>
  <c r="U53" i="36" s="1"/>
  <c r="W54" i="36"/>
  <c r="B54" i="36" s="1"/>
  <c r="X54" i="36"/>
  <c r="C54" i="36" s="1"/>
  <c r="Y54" i="36"/>
  <c r="D54" i="36" s="1"/>
  <c r="Z54" i="36"/>
  <c r="E54" i="36" s="1"/>
  <c r="AA54" i="36"/>
  <c r="F54" i="36" s="1"/>
  <c r="AB54" i="36"/>
  <c r="G54" i="36" s="1"/>
  <c r="AC54" i="36"/>
  <c r="H54" i="36" s="1"/>
  <c r="AD54" i="36"/>
  <c r="I54" i="36" s="1"/>
  <c r="AE54" i="36"/>
  <c r="J54" i="36" s="1"/>
  <c r="AF54" i="36"/>
  <c r="K54" i="36" s="1"/>
  <c r="AG54" i="36"/>
  <c r="L54" i="36" s="1"/>
  <c r="AH54" i="36"/>
  <c r="M54" i="36" s="1"/>
  <c r="AI54" i="36"/>
  <c r="N54" i="36" s="1"/>
  <c r="AJ54" i="36"/>
  <c r="O54" i="36" s="1"/>
  <c r="AK54" i="36"/>
  <c r="P54" i="36" s="1"/>
  <c r="AL54" i="36"/>
  <c r="Q54" i="36" s="1"/>
  <c r="AM54" i="36"/>
  <c r="R54" i="36" s="1"/>
  <c r="AN54" i="36"/>
  <c r="S54" i="36" s="1"/>
  <c r="AO54" i="36"/>
  <c r="T54" i="36" s="1"/>
  <c r="AP54" i="36"/>
  <c r="U54" i="36" s="1"/>
  <c r="W55" i="36"/>
  <c r="B55" i="36" s="1"/>
  <c r="X55" i="36"/>
  <c r="C55" i="36" s="1"/>
  <c r="Y55" i="36"/>
  <c r="D55" i="36" s="1"/>
  <c r="Z55" i="36"/>
  <c r="E55" i="36" s="1"/>
  <c r="AA55" i="36"/>
  <c r="F55" i="36" s="1"/>
  <c r="AB55" i="36"/>
  <c r="G55" i="36" s="1"/>
  <c r="AC55" i="36"/>
  <c r="H55" i="36" s="1"/>
  <c r="AD55" i="36"/>
  <c r="I55" i="36" s="1"/>
  <c r="AE55" i="36"/>
  <c r="J55" i="36" s="1"/>
  <c r="AF55" i="36"/>
  <c r="K55" i="36" s="1"/>
  <c r="AG55" i="36"/>
  <c r="L55" i="36" s="1"/>
  <c r="AH55" i="36"/>
  <c r="M55" i="36" s="1"/>
  <c r="AI55" i="36"/>
  <c r="N55" i="36" s="1"/>
  <c r="AJ55" i="36"/>
  <c r="O55" i="36" s="1"/>
  <c r="AK55" i="36"/>
  <c r="P55" i="36" s="1"/>
  <c r="AL55" i="36"/>
  <c r="Q55" i="36" s="1"/>
  <c r="AM55" i="36"/>
  <c r="R55" i="36" s="1"/>
  <c r="AN55" i="36"/>
  <c r="S55" i="36" s="1"/>
  <c r="AO55" i="36"/>
  <c r="T55" i="36" s="1"/>
  <c r="AP55" i="36"/>
  <c r="U55" i="36" s="1"/>
  <c r="W56" i="36"/>
  <c r="B56" i="36" s="1"/>
  <c r="X56" i="36"/>
  <c r="C56" i="36" s="1"/>
  <c r="Y56" i="36"/>
  <c r="D56" i="36" s="1"/>
  <c r="Z56" i="36"/>
  <c r="E56" i="36" s="1"/>
  <c r="AA56" i="36"/>
  <c r="F56" i="36" s="1"/>
  <c r="AB56" i="36"/>
  <c r="G56" i="36" s="1"/>
  <c r="AC56" i="36"/>
  <c r="H56" i="36" s="1"/>
  <c r="AD56" i="36"/>
  <c r="I56" i="36" s="1"/>
  <c r="AE56" i="36"/>
  <c r="J56" i="36" s="1"/>
  <c r="AF56" i="36"/>
  <c r="K56" i="36" s="1"/>
  <c r="AG56" i="36"/>
  <c r="L56" i="36" s="1"/>
  <c r="AH56" i="36"/>
  <c r="M56" i="36" s="1"/>
  <c r="AI56" i="36"/>
  <c r="N56" i="36" s="1"/>
  <c r="AJ56" i="36"/>
  <c r="O56" i="36" s="1"/>
  <c r="AK56" i="36"/>
  <c r="P56" i="36" s="1"/>
  <c r="AL56" i="36"/>
  <c r="Q56" i="36" s="1"/>
  <c r="AM56" i="36"/>
  <c r="R56" i="36" s="1"/>
  <c r="AN56" i="36"/>
  <c r="S56" i="36" s="1"/>
  <c r="AO56" i="36"/>
  <c r="T56" i="36" s="1"/>
  <c r="AP56" i="36"/>
  <c r="U56" i="36" s="1"/>
  <c r="W57" i="36"/>
  <c r="B57" i="36" s="1"/>
  <c r="X57" i="36"/>
  <c r="C57" i="36" s="1"/>
  <c r="Y57" i="36"/>
  <c r="D57" i="36" s="1"/>
  <c r="Z57" i="36"/>
  <c r="E57" i="36" s="1"/>
  <c r="AA57" i="36"/>
  <c r="F57" i="36" s="1"/>
  <c r="AB57" i="36"/>
  <c r="G57" i="36" s="1"/>
  <c r="AC57" i="36"/>
  <c r="H57" i="36" s="1"/>
  <c r="AD57" i="36"/>
  <c r="I57" i="36" s="1"/>
  <c r="AE57" i="36"/>
  <c r="J57" i="36" s="1"/>
  <c r="AF57" i="36"/>
  <c r="K57" i="36" s="1"/>
  <c r="AG57" i="36"/>
  <c r="L57" i="36" s="1"/>
  <c r="AH57" i="36"/>
  <c r="M57" i="36" s="1"/>
  <c r="AI57" i="36"/>
  <c r="N57" i="36" s="1"/>
  <c r="AJ57" i="36"/>
  <c r="O57" i="36" s="1"/>
  <c r="AK57" i="36"/>
  <c r="P57" i="36" s="1"/>
  <c r="AL57" i="36"/>
  <c r="Q57" i="36" s="1"/>
  <c r="AM57" i="36"/>
  <c r="R57" i="36" s="1"/>
  <c r="AN57" i="36"/>
  <c r="S57" i="36" s="1"/>
  <c r="AO57" i="36"/>
  <c r="T57" i="36" s="1"/>
  <c r="AP57" i="36"/>
  <c r="U57" i="36" s="1"/>
  <c r="W58" i="36"/>
  <c r="B58" i="36" s="1"/>
  <c r="X58" i="36"/>
  <c r="C58" i="36" s="1"/>
  <c r="Y58" i="36"/>
  <c r="D58" i="36" s="1"/>
  <c r="Z58" i="36"/>
  <c r="E58" i="36" s="1"/>
  <c r="AA58" i="36"/>
  <c r="F58" i="36" s="1"/>
  <c r="AB58" i="36"/>
  <c r="G58" i="36" s="1"/>
  <c r="AC58" i="36"/>
  <c r="H58" i="36" s="1"/>
  <c r="AD58" i="36"/>
  <c r="I58" i="36" s="1"/>
  <c r="AE58" i="36"/>
  <c r="J58" i="36" s="1"/>
  <c r="AF58" i="36"/>
  <c r="K58" i="36" s="1"/>
  <c r="AG58" i="36"/>
  <c r="L58" i="36" s="1"/>
  <c r="AH58" i="36"/>
  <c r="M58" i="36" s="1"/>
  <c r="AI58" i="36"/>
  <c r="N58" i="36" s="1"/>
  <c r="AJ58" i="36"/>
  <c r="O58" i="36" s="1"/>
  <c r="AK58" i="36"/>
  <c r="P58" i="36" s="1"/>
  <c r="AL58" i="36"/>
  <c r="Q58" i="36" s="1"/>
  <c r="AM58" i="36"/>
  <c r="R58" i="36" s="1"/>
  <c r="AN58" i="36"/>
  <c r="S58" i="36" s="1"/>
  <c r="AO58" i="36"/>
  <c r="T58" i="36" s="1"/>
  <c r="AP58" i="36"/>
  <c r="U58" i="36" s="1"/>
  <c r="W59" i="36"/>
  <c r="B59" i="36" s="1"/>
  <c r="X59" i="36"/>
  <c r="C59" i="36" s="1"/>
  <c r="Y59" i="36"/>
  <c r="D59" i="36" s="1"/>
  <c r="Z59" i="36"/>
  <c r="E59" i="36" s="1"/>
  <c r="AA59" i="36"/>
  <c r="F59" i="36" s="1"/>
  <c r="AB59" i="36"/>
  <c r="G59" i="36" s="1"/>
  <c r="AC59" i="36"/>
  <c r="H59" i="36" s="1"/>
  <c r="AD59" i="36"/>
  <c r="I59" i="36" s="1"/>
  <c r="AE59" i="36"/>
  <c r="J59" i="36" s="1"/>
  <c r="AF59" i="36"/>
  <c r="K59" i="36" s="1"/>
  <c r="AG59" i="36"/>
  <c r="L59" i="36" s="1"/>
  <c r="AH59" i="36"/>
  <c r="M59" i="36" s="1"/>
  <c r="AI59" i="36"/>
  <c r="N59" i="36" s="1"/>
  <c r="AJ59" i="36"/>
  <c r="O59" i="36" s="1"/>
  <c r="AK59" i="36"/>
  <c r="P59" i="36" s="1"/>
  <c r="AL59" i="36"/>
  <c r="Q59" i="36" s="1"/>
  <c r="AM59" i="36"/>
  <c r="R59" i="36" s="1"/>
  <c r="AN59" i="36"/>
  <c r="S59" i="36" s="1"/>
  <c r="AO59" i="36"/>
  <c r="T59" i="36" s="1"/>
  <c r="AP59" i="36"/>
  <c r="U59" i="36" s="1"/>
  <c r="W60" i="36"/>
  <c r="B60" i="36" s="1"/>
  <c r="X60" i="36"/>
  <c r="C60" i="36" s="1"/>
  <c r="Y60" i="36"/>
  <c r="D60" i="36" s="1"/>
  <c r="Z60" i="36"/>
  <c r="E60" i="36" s="1"/>
  <c r="AA60" i="36"/>
  <c r="F60" i="36" s="1"/>
  <c r="AB60" i="36"/>
  <c r="G60" i="36" s="1"/>
  <c r="AC60" i="36"/>
  <c r="H60" i="36" s="1"/>
  <c r="AD60" i="36"/>
  <c r="I60" i="36" s="1"/>
  <c r="AE60" i="36"/>
  <c r="J60" i="36" s="1"/>
  <c r="AF60" i="36"/>
  <c r="K60" i="36" s="1"/>
  <c r="AG60" i="36"/>
  <c r="L60" i="36" s="1"/>
  <c r="AH60" i="36"/>
  <c r="M60" i="36" s="1"/>
  <c r="AI60" i="36"/>
  <c r="N60" i="36" s="1"/>
  <c r="AJ60" i="36"/>
  <c r="O60" i="36" s="1"/>
  <c r="AK60" i="36"/>
  <c r="P60" i="36" s="1"/>
  <c r="AL60" i="36"/>
  <c r="Q60" i="36" s="1"/>
  <c r="AM60" i="36"/>
  <c r="R60" i="36" s="1"/>
  <c r="AN60" i="36"/>
  <c r="S60" i="36" s="1"/>
  <c r="AO60" i="36"/>
  <c r="T60" i="36" s="1"/>
  <c r="AP60" i="36"/>
  <c r="U60" i="36" s="1"/>
  <c r="W61" i="36"/>
  <c r="B61" i="36" s="1"/>
  <c r="X61" i="36"/>
  <c r="C61" i="36" s="1"/>
  <c r="Y61" i="36"/>
  <c r="D61" i="36" s="1"/>
  <c r="Z61" i="36"/>
  <c r="E61" i="36" s="1"/>
  <c r="AA61" i="36"/>
  <c r="F61" i="36" s="1"/>
  <c r="AB61" i="36"/>
  <c r="G61" i="36" s="1"/>
  <c r="AC61" i="36"/>
  <c r="H61" i="36" s="1"/>
  <c r="AD61" i="36"/>
  <c r="I61" i="36" s="1"/>
  <c r="AE61" i="36"/>
  <c r="J61" i="36" s="1"/>
  <c r="AF61" i="36"/>
  <c r="K61" i="36" s="1"/>
  <c r="AG61" i="36"/>
  <c r="L61" i="36" s="1"/>
  <c r="AH61" i="36"/>
  <c r="M61" i="36" s="1"/>
  <c r="AI61" i="36"/>
  <c r="N61" i="36" s="1"/>
  <c r="AJ61" i="36"/>
  <c r="O61" i="36" s="1"/>
  <c r="AK61" i="36"/>
  <c r="P61" i="36" s="1"/>
  <c r="AL61" i="36"/>
  <c r="Q61" i="36" s="1"/>
  <c r="AM61" i="36"/>
  <c r="R61" i="36" s="1"/>
  <c r="AN61" i="36"/>
  <c r="S61" i="36" s="1"/>
  <c r="AO61" i="36"/>
  <c r="T61" i="36" s="1"/>
  <c r="AP61" i="36"/>
  <c r="U61" i="36" s="1"/>
  <c r="W62" i="36"/>
  <c r="B62" i="36" s="1"/>
  <c r="X62" i="36"/>
  <c r="C62" i="36" s="1"/>
  <c r="Y62" i="36"/>
  <c r="D62" i="36" s="1"/>
  <c r="Z62" i="36"/>
  <c r="E62" i="36" s="1"/>
  <c r="AA62" i="36"/>
  <c r="F62" i="36" s="1"/>
  <c r="AB62" i="36"/>
  <c r="G62" i="36" s="1"/>
  <c r="AC62" i="36"/>
  <c r="H62" i="36" s="1"/>
  <c r="AD62" i="36"/>
  <c r="I62" i="36" s="1"/>
  <c r="AE62" i="36"/>
  <c r="J62" i="36" s="1"/>
  <c r="AF62" i="36"/>
  <c r="K62" i="36" s="1"/>
  <c r="AG62" i="36"/>
  <c r="L62" i="36" s="1"/>
  <c r="AH62" i="36"/>
  <c r="M62" i="36" s="1"/>
  <c r="AI62" i="36"/>
  <c r="N62" i="36" s="1"/>
  <c r="AJ62" i="36"/>
  <c r="O62" i="36" s="1"/>
  <c r="AK62" i="36"/>
  <c r="P62" i="36" s="1"/>
  <c r="AL62" i="36"/>
  <c r="Q62" i="36" s="1"/>
  <c r="AM62" i="36"/>
  <c r="R62" i="36" s="1"/>
  <c r="AN62" i="36"/>
  <c r="S62" i="36" s="1"/>
  <c r="AO62" i="36"/>
  <c r="T62" i="36" s="1"/>
  <c r="AP62" i="36"/>
  <c r="U62" i="36" s="1"/>
  <c r="W63" i="36"/>
  <c r="B63" i="36" s="1"/>
  <c r="X63" i="36"/>
  <c r="C63" i="36" s="1"/>
  <c r="Y63" i="36"/>
  <c r="D63" i="36" s="1"/>
  <c r="Z63" i="36"/>
  <c r="E63" i="36" s="1"/>
  <c r="AA63" i="36"/>
  <c r="F63" i="36" s="1"/>
  <c r="AB63" i="36"/>
  <c r="G63" i="36" s="1"/>
  <c r="AC63" i="36"/>
  <c r="H63" i="36" s="1"/>
  <c r="AD63" i="36"/>
  <c r="I63" i="36" s="1"/>
  <c r="AE63" i="36"/>
  <c r="J63" i="36" s="1"/>
  <c r="AF63" i="36"/>
  <c r="K63" i="36" s="1"/>
  <c r="AG63" i="36"/>
  <c r="L63" i="36" s="1"/>
  <c r="AH63" i="36"/>
  <c r="M63" i="36" s="1"/>
  <c r="AI63" i="36"/>
  <c r="N63" i="36" s="1"/>
  <c r="AJ63" i="36"/>
  <c r="O63" i="36" s="1"/>
  <c r="AK63" i="36"/>
  <c r="P63" i="36" s="1"/>
  <c r="AL63" i="36"/>
  <c r="Q63" i="36" s="1"/>
  <c r="AM63" i="36"/>
  <c r="R63" i="36" s="1"/>
  <c r="AN63" i="36"/>
  <c r="S63" i="36" s="1"/>
  <c r="AO63" i="36"/>
  <c r="T63" i="36" s="1"/>
  <c r="AP63" i="36"/>
  <c r="U63" i="36" s="1"/>
  <c r="W64" i="36"/>
  <c r="B64" i="36" s="1"/>
  <c r="X64" i="36"/>
  <c r="C64" i="36" s="1"/>
  <c r="Y64" i="36"/>
  <c r="D64" i="36" s="1"/>
  <c r="Z64" i="36"/>
  <c r="E64" i="36" s="1"/>
  <c r="AA64" i="36"/>
  <c r="F64" i="36" s="1"/>
  <c r="AB64" i="36"/>
  <c r="G64" i="36" s="1"/>
  <c r="AC64" i="36"/>
  <c r="H64" i="36" s="1"/>
  <c r="AD64" i="36"/>
  <c r="I64" i="36" s="1"/>
  <c r="AE64" i="36"/>
  <c r="J64" i="36" s="1"/>
  <c r="AF64" i="36"/>
  <c r="K64" i="36" s="1"/>
  <c r="AG64" i="36"/>
  <c r="L64" i="36" s="1"/>
  <c r="AH64" i="36"/>
  <c r="M64" i="36" s="1"/>
  <c r="AI64" i="36"/>
  <c r="N64" i="36" s="1"/>
  <c r="AJ64" i="36"/>
  <c r="O64" i="36" s="1"/>
  <c r="AK64" i="36"/>
  <c r="P64" i="36" s="1"/>
  <c r="AL64" i="36"/>
  <c r="Q64" i="36" s="1"/>
  <c r="AM64" i="36"/>
  <c r="R64" i="36" s="1"/>
  <c r="AN64" i="36"/>
  <c r="S64" i="36" s="1"/>
  <c r="AO64" i="36"/>
  <c r="T64" i="36" s="1"/>
  <c r="AP64" i="36"/>
  <c r="U64" i="36" s="1"/>
  <c r="X5" i="36"/>
  <c r="Y5" i="36"/>
  <c r="Z5" i="36"/>
  <c r="AA5" i="36"/>
  <c r="AB5" i="36"/>
  <c r="AC5" i="36"/>
  <c r="AD5" i="36"/>
  <c r="AE5" i="36"/>
  <c r="AF5" i="36"/>
  <c r="AG5" i="36"/>
  <c r="AH5" i="36"/>
  <c r="AI5" i="36"/>
  <c r="AJ5" i="36"/>
  <c r="AK5" i="36"/>
  <c r="AL5" i="36"/>
  <c r="AM5" i="36"/>
  <c r="AN5" i="36"/>
  <c r="AO5" i="36"/>
  <c r="W5" i="36"/>
  <c r="F24" i="36" l="1"/>
  <c r="H26" i="36"/>
  <c r="K26" i="36"/>
  <c r="AQ29" i="36"/>
  <c r="J29" i="36" s="1"/>
  <c r="AR29" i="36"/>
  <c r="AQ64" i="36"/>
  <c r="AR64" i="36"/>
  <c r="AQ63" i="36"/>
  <c r="AR63" i="36"/>
  <c r="AQ62" i="36"/>
  <c r="AR62" i="36"/>
  <c r="AQ61" i="36"/>
  <c r="AR61" i="36"/>
  <c r="AQ60" i="36"/>
  <c r="AR60" i="36"/>
  <c r="AQ59" i="36"/>
  <c r="AR59" i="36"/>
  <c r="AQ58" i="36"/>
  <c r="AR58" i="36"/>
  <c r="AQ57" i="36"/>
  <c r="AR57" i="36"/>
  <c r="AQ56" i="36"/>
  <c r="AR56" i="36"/>
  <c r="AQ55" i="36"/>
  <c r="AR55" i="36"/>
  <c r="AQ54" i="36"/>
  <c r="AR54" i="36"/>
  <c r="AQ53" i="36"/>
  <c r="AR53" i="36"/>
  <c r="AQ52" i="36"/>
  <c r="AR52" i="36"/>
  <c r="AQ51" i="36"/>
  <c r="AR51" i="36"/>
  <c r="AQ50" i="36"/>
  <c r="AR50" i="36"/>
  <c r="AQ49" i="36"/>
  <c r="AR49" i="36"/>
  <c r="AQ48" i="36"/>
  <c r="AR48" i="36"/>
  <c r="AQ47" i="36"/>
  <c r="AR47" i="36"/>
  <c r="AQ46" i="36"/>
  <c r="AR46" i="36"/>
  <c r="AQ45" i="36"/>
  <c r="AR45" i="36"/>
  <c r="AQ44" i="36"/>
  <c r="AR44" i="36"/>
  <c r="AQ43" i="36"/>
  <c r="AR43" i="36"/>
  <c r="AQ42" i="36"/>
  <c r="AR42" i="36"/>
  <c r="AQ41" i="36"/>
  <c r="AR41" i="36"/>
  <c r="AQ40" i="36"/>
  <c r="AR40" i="36"/>
  <c r="AQ39" i="36"/>
  <c r="AR39" i="36"/>
  <c r="AQ38" i="36"/>
  <c r="AR38" i="36"/>
  <c r="AQ37" i="36"/>
  <c r="AR37" i="36"/>
  <c r="AQ36" i="36"/>
  <c r="AR36" i="36"/>
  <c r="AQ35" i="36"/>
  <c r="AR35" i="36"/>
  <c r="AQ34" i="36"/>
  <c r="AR34" i="36"/>
  <c r="AQ33" i="36"/>
  <c r="K33" i="36" s="1"/>
  <c r="AR33" i="36"/>
  <c r="AQ32" i="36"/>
  <c r="M32" i="36" s="1"/>
  <c r="AR32" i="36"/>
  <c r="AQ31" i="36"/>
  <c r="K31" i="36" s="1"/>
  <c r="AR31" i="36"/>
  <c r="AQ30" i="36"/>
  <c r="M30" i="36" s="1"/>
  <c r="AR30" i="36"/>
  <c r="L30" i="36" s="1"/>
  <c r="AR5" i="36"/>
  <c r="AQ5" i="36"/>
  <c r="AQ28" i="36"/>
  <c r="AR28" i="36"/>
  <c r="AQ27" i="36"/>
  <c r="AR27" i="36"/>
  <c r="L27" i="36" s="1"/>
  <c r="AQ26" i="36"/>
  <c r="AR26" i="36"/>
  <c r="AQ25" i="36"/>
  <c r="AR25" i="36"/>
  <c r="D25" i="36" s="1"/>
  <c r="AQ24" i="36"/>
  <c r="AR24" i="36"/>
  <c r="AQ23" i="36"/>
  <c r="AR23" i="36"/>
  <c r="B23" i="36" s="1"/>
  <c r="AQ22" i="36"/>
  <c r="Q22" i="36" s="1"/>
  <c r="AR22" i="36"/>
  <c r="E22" i="36" s="1"/>
  <c r="AQ21" i="36"/>
  <c r="S21" i="36" s="1"/>
  <c r="AR21" i="36"/>
  <c r="J21" i="36" s="1"/>
  <c r="AQ20" i="36"/>
  <c r="U20" i="36" s="1"/>
  <c r="AR20" i="36"/>
  <c r="F20" i="36" s="1"/>
  <c r="AQ19" i="36"/>
  <c r="Q19" i="36" s="1"/>
  <c r="AR19" i="36"/>
  <c r="AQ18" i="36"/>
  <c r="S18" i="36" s="1"/>
  <c r="AR18" i="36"/>
  <c r="AQ17" i="36"/>
  <c r="U17" i="36" s="1"/>
  <c r="AR17" i="36"/>
  <c r="AQ16" i="36"/>
  <c r="S16" i="36" s="1"/>
  <c r="AR16" i="36"/>
  <c r="AQ15" i="36"/>
  <c r="U15" i="36" s="1"/>
  <c r="AR15" i="36"/>
  <c r="AQ14" i="36"/>
  <c r="P14" i="36" s="1"/>
  <c r="AR14" i="36"/>
  <c r="H14" i="36" s="1"/>
  <c r="AQ13" i="36"/>
  <c r="R13" i="36" s="1"/>
  <c r="AR13" i="36"/>
  <c r="AQ12" i="36"/>
  <c r="T12" i="36" s="1"/>
  <c r="AR12" i="36"/>
  <c r="F12" i="36" s="1"/>
  <c r="AQ11" i="36"/>
  <c r="N11" i="36" s="1"/>
  <c r="AR11" i="36"/>
  <c r="AQ10" i="36"/>
  <c r="P10" i="36" s="1"/>
  <c r="AR10" i="36"/>
  <c r="C10" i="36" s="1"/>
  <c r="AQ9" i="36"/>
  <c r="R9" i="36" s="1"/>
  <c r="AR9" i="36"/>
  <c r="AQ8" i="36"/>
  <c r="T8" i="36" s="1"/>
  <c r="AR8" i="36"/>
  <c r="K8" i="36" s="1"/>
  <c r="AQ7" i="36"/>
  <c r="N7" i="36" s="1"/>
  <c r="AR7" i="36"/>
  <c r="AQ6" i="36"/>
  <c r="P6" i="36" s="1"/>
  <c r="AR6" i="36"/>
  <c r="C6" i="36" s="1"/>
  <c r="A5" i="35"/>
  <c r="K10" i="36" l="1"/>
  <c r="H22" i="36"/>
  <c r="I7" i="36"/>
  <c r="G9" i="36"/>
  <c r="B11" i="36"/>
  <c r="J13" i="36"/>
  <c r="B15" i="36"/>
  <c r="J17" i="36"/>
  <c r="B19" i="36"/>
  <c r="K5" i="36"/>
  <c r="K18" i="36"/>
  <c r="H6" i="36"/>
  <c r="I20" i="36"/>
  <c r="C20" i="36"/>
  <c r="H10" i="36"/>
  <c r="F8" i="36"/>
  <c r="C12" i="36"/>
  <c r="I6" i="36"/>
  <c r="J23" i="36"/>
  <c r="B25" i="36"/>
  <c r="J27" i="36"/>
  <c r="K6" i="36"/>
  <c r="K14" i="36"/>
  <c r="K22" i="36"/>
  <c r="I14" i="36"/>
  <c r="E12" i="36"/>
  <c r="E24" i="36"/>
  <c r="E26" i="36"/>
  <c r="C8" i="36"/>
  <c r="C16" i="36"/>
  <c r="C24" i="36"/>
  <c r="I18" i="36"/>
  <c r="H18" i="36"/>
  <c r="E16" i="36"/>
  <c r="F16" i="36"/>
  <c r="I24" i="36"/>
  <c r="G17" i="36"/>
  <c r="G21" i="36"/>
  <c r="G25" i="36"/>
  <c r="E11" i="36"/>
  <c r="L7" i="36"/>
  <c r="D9" i="36"/>
  <c r="L11" i="36"/>
  <c r="D13" i="36"/>
  <c r="L15" i="36"/>
  <c r="D17" i="36"/>
  <c r="L19" i="36"/>
  <c r="D21" i="36"/>
  <c r="L23" i="36"/>
  <c r="B7" i="36"/>
  <c r="J9" i="36"/>
  <c r="G7" i="36"/>
  <c r="G6" i="36"/>
  <c r="K7" i="36"/>
  <c r="C9" i="36"/>
  <c r="G10" i="36"/>
  <c r="K11" i="36"/>
  <c r="C13" i="36"/>
  <c r="G14" i="36"/>
  <c r="K15" i="36"/>
  <c r="C17" i="36"/>
  <c r="G18" i="36"/>
  <c r="K19" i="36"/>
  <c r="C21" i="36"/>
  <c r="G22" i="36"/>
  <c r="K23" i="36"/>
  <c r="C25" i="36"/>
  <c r="G26" i="36"/>
  <c r="K27" i="36"/>
  <c r="F5" i="36"/>
  <c r="E10" i="36"/>
  <c r="I13" i="36"/>
  <c r="I17" i="36"/>
  <c r="D6" i="36"/>
  <c r="H7" i="36"/>
  <c r="L8" i="36"/>
  <c r="D10" i="36"/>
  <c r="H11" i="36"/>
  <c r="L12" i="36"/>
  <c r="D14" i="36"/>
  <c r="H15" i="36"/>
  <c r="L16" i="36"/>
  <c r="D18" i="36"/>
  <c r="H19" i="36"/>
  <c r="L20" i="36"/>
  <c r="D22" i="36"/>
  <c r="H23" i="36"/>
  <c r="L24" i="36"/>
  <c r="D26" i="36"/>
  <c r="H27" i="36"/>
  <c r="E7" i="36"/>
  <c r="I10" i="36"/>
  <c r="E15" i="36"/>
  <c r="E19" i="36"/>
  <c r="J6" i="36"/>
  <c r="B8" i="36"/>
  <c r="F9" i="36"/>
  <c r="J10" i="36"/>
  <c r="B12" i="36"/>
  <c r="F13" i="36"/>
  <c r="J14" i="36"/>
  <c r="B16" i="36"/>
  <c r="F17" i="36"/>
  <c r="J18" i="36"/>
  <c r="B20" i="36"/>
  <c r="F21" i="36"/>
  <c r="J22" i="36"/>
  <c r="B24" i="36"/>
  <c r="F25" i="36"/>
  <c r="J26" i="36"/>
  <c r="D5" i="36"/>
  <c r="I21" i="36"/>
  <c r="E25" i="36"/>
  <c r="E23" i="36"/>
  <c r="I26" i="36"/>
  <c r="J25" i="36"/>
  <c r="B27" i="36"/>
  <c r="H5" i="36"/>
  <c r="G5" i="36"/>
  <c r="E27" i="36"/>
  <c r="C7" i="36"/>
  <c r="G8" i="36"/>
  <c r="K9" i="36"/>
  <c r="C11" i="36"/>
  <c r="G12" i="36"/>
  <c r="K13" i="36"/>
  <c r="C15" i="36"/>
  <c r="G16" i="36"/>
  <c r="K17" i="36"/>
  <c r="C19" i="36"/>
  <c r="G20" i="36"/>
  <c r="K21" i="36"/>
  <c r="C23" i="36"/>
  <c r="G24" i="36"/>
  <c r="K25" i="36"/>
  <c r="C27" i="36"/>
  <c r="I5" i="36"/>
  <c r="E8" i="36"/>
  <c r="I11" i="36"/>
  <c r="I15" i="36"/>
  <c r="E20" i="36"/>
  <c r="L6" i="36"/>
  <c r="D8" i="36"/>
  <c r="H9" i="36"/>
  <c r="L10" i="36"/>
  <c r="D12" i="36"/>
  <c r="H13" i="36"/>
  <c r="L14" i="36"/>
  <c r="D16" i="36"/>
  <c r="H17" i="36"/>
  <c r="L18" i="36"/>
  <c r="D20" i="36"/>
  <c r="H21" i="36"/>
  <c r="L22" i="36"/>
  <c r="D24" i="36"/>
  <c r="H25" i="36"/>
  <c r="L26" i="36"/>
  <c r="J5" i="36"/>
  <c r="I8" i="36"/>
  <c r="E13" i="36"/>
  <c r="E17" i="36"/>
  <c r="B6" i="36"/>
  <c r="F7" i="36"/>
  <c r="J8" i="36"/>
  <c r="B10" i="36"/>
  <c r="F11" i="36"/>
  <c r="J12" i="36"/>
  <c r="B14" i="36"/>
  <c r="F15" i="36"/>
  <c r="J16" i="36"/>
  <c r="B18" i="36"/>
  <c r="F19" i="36"/>
  <c r="J20" i="36"/>
  <c r="B22" i="36"/>
  <c r="F23" i="36"/>
  <c r="J24" i="36"/>
  <c r="B26" i="36"/>
  <c r="F27" i="36"/>
  <c r="L5" i="36"/>
  <c r="I23" i="36"/>
  <c r="I19" i="36"/>
  <c r="I25" i="36"/>
  <c r="I27" i="36"/>
  <c r="G13" i="36"/>
  <c r="E5" i="36"/>
  <c r="G11" i="36"/>
  <c r="K12" i="36"/>
  <c r="C14" i="36"/>
  <c r="G15" i="36"/>
  <c r="K16" i="36"/>
  <c r="C18" i="36"/>
  <c r="G19" i="36"/>
  <c r="K20" i="36"/>
  <c r="C22" i="36"/>
  <c r="G23" i="36"/>
  <c r="K24" i="36"/>
  <c r="C26" i="36"/>
  <c r="G27" i="36"/>
  <c r="B5" i="36"/>
  <c r="E9" i="36"/>
  <c r="I12" i="36"/>
  <c r="I16" i="36"/>
  <c r="E21" i="36"/>
  <c r="D7" i="36"/>
  <c r="H8" i="36"/>
  <c r="L9" i="36"/>
  <c r="D11" i="36"/>
  <c r="H12" i="36"/>
  <c r="L13" i="36"/>
  <c r="D15" i="36"/>
  <c r="H16" i="36"/>
  <c r="L17" i="36"/>
  <c r="D19" i="36"/>
  <c r="H20" i="36"/>
  <c r="L21" i="36"/>
  <c r="D23" i="36"/>
  <c r="H24" i="36"/>
  <c r="L25" i="36"/>
  <c r="D27" i="36"/>
  <c r="E6" i="36"/>
  <c r="I9" i="36"/>
  <c r="E14" i="36"/>
  <c r="E18" i="36"/>
  <c r="F6" i="36"/>
  <c r="J7" i="36"/>
  <c r="B9" i="36"/>
  <c r="F10" i="36"/>
  <c r="J11" i="36"/>
  <c r="B13" i="36"/>
  <c r="F14" i="36"/>
  <c r="J15" i="36"/>
  <c r="B17" i="36"/>
  <c r="F18" i="36"/>
  <c r="J19" i="36"/>
  <c r="B21" i="36"/>
  <c r="F22" i="36"/>
  <c r="F26" i="36"/>
  <c r="C5" i="36"/>
  <c r="I22" i="36"/>
  <c r="L32" i="36"/>
  <c r="M33" i="36"/>
  <c r="L29" i="36"/>
  <c r="C29" i="36"/>
  <c r="G29" i="36"/>
  <c r="K29" i="36"/>
  <c r="D30" i="36"/>
  <c r="H30" i="36"/>
  <c r="B31" i="36"/>
  <c r="F31" i="36"/>
  <c r="J31" i="36"/>
  <c r="D32" i="36"/>
  <c r="H32" i="36"/>
  <c r="B33" i="36"/>
  <c r="F33" i="36"/>
  <c r="J33" i="36"/>
  <c r="D29" i="36"/>
  <c r="H29" i="36"/>
  <c r="C30" i="36"/>
  <c r="G30" i="36"/>
  <c r="K30" i="36"/>
  <c r="E31" i="36"/>
  <c r="I31" i="36"/>
  <c r="C32" i="36"/>
  <c r="G32" i="36"/>
  <c r="K32" i="36"/>
  <c r="E33" i="36"/>
  <c r="I33" i="36"/>
  <c r="E29" i="36"/>
  <c r="I29" i="36"/>
  <c r="B30" i="36"/>
  <c r="F30" i="36"/>
  <c r="J30" i="36"/>
  <c r="D31" i="36"/>
  <c r="H31" i="36"/>
  <c r="B32" i="36"/>
  <c r="F32" i="36"/>
  <c r="J32" i="36"/>
  <c r="D33" i="36"/>
  <c r="H33" i="36"/>
  <c r="B29" i="36"/>
  <c r="F29" i="36"/>
  <c r="E30" i="36"/>
  <c r="I30" i="36"/>
  <c r="C31" i="36"/>
  <c r="G31" i="36"/>
  <c r="E32" i="36"/>
  <c r="I32" i="36"/>
  <c r="C33" i="36"/>
  <c r="G33" i="36"/>
  <c r="L31" i="36"/>
  <c r="L33" i="36"/>
  <c r="M29" i="36"/>
  <c r="M31" i="36"/>
  <c r="T5" i="36"/>
  <c r="P5" i="36"/>
  <c r="Q5" i="36"/>
  <c r="M5" i="36"/>
  <c r="R5" i="36"/>
  <c r="N5" i="36"/>
  <c r="S5" i="36"/>
  <c r="O5" i="36"/>
  <c r="U5" i="36"/>
  <c r="O6" i="36"/>
  <c r="S6" i="36"/>
  <c r="M7" i="36"/>
  <c r="Q7" i="36"/>
  <c r="U7" i="36"/>
  <c r="O8" i="36"/>
  <c r="S8" i="36"/>
  <c r="M9" i="36"/>
  <c r="Q9" i="36"/>
  <c r="U9" i="36"/>
  <c r="O10" i="36"/>
  <c r="S10" i="36"/>
  <c r="M11" i="36"/>
  <c r="Q11" i="36"/>
  <c r="U11" i="36"/>
  <c r="O12" i="36"/>
  <c r="S12" i="36"/>
  <c r="M13" i="36"/>
  <c r="Q13" i="36"/>
  <c r="U13" i="36"/>
  <c r="O14" i="36"/>
  <c r="S14" i="36"/>
  <c r="M15" i="36"/>
  <c r="Q15" i="36"/>
  <c r="O16" i="36"/>
  <c r="M17" i="36"/>
  <c r="Q17" i="36"/>
  <c r="O18" i="36"/>
  <c r="M19" i="36"/>
  <c r="M20" i="36"/>
  <c r="R6" i="36"/>
  <c r="N6" i="36"/>
  <c r="T7" i="36"/>
  <c r="P7" i="36"/>
  <c r="R8" i="36"/>
  <c r="N8" i="36"/>
  <c r="T9" i="36"/>
  <c r="P9" i="36"/>
  <c r="R10" i="36"/>
  <c r="N10" i="36"/>
  <c r="T11" i="36"/>
  <c r="P11" i="36"/>
  <c r="R12" i="36"/>
  <c r="N12" i="36"/>
  <c r="T13" i="36"/>
  <c r="P13" i="36"/>
  <c r="R14" i="36"/>
  <c r="N14" i="36"/>
  <c r="R15" i="36"/>
  <c r="N15" i="36"/>
  <c r="T15" i="36"/>
  <c r="P15" i="36"/>
  <c r="T16" i="36"/>
  <c r="P16" i="36"/>
  <c r="R16" i="36"/>
  <c r="N16" i="36"/>
  <c r="R17" i="36"/>
  <c r="N17" i="36"/>
  <c r="T17" i="36"/>
  <c r="P17" i="36"/>
  <c r="T18" i="36"/>
  <c r="P18" i="36"/>
  <c r="R18" i="36"/>
  <c r="N18" i="36"/>
  <c r="R19" i="36"/>
  <c r="N19" i="36"/>
  <c r="T19" i="36"/>
  <c r="P19" i="36"/>
  <c r="U19" i="36"/>
  <c r="T20" i="36"/>
  <c r="P20" i="36"/>
  <c r="R20" i="36"/>
  <c r="N20" i="36"/>
  <c r="S20" i="36"/>
  <c r="O20" i="36"/>
  <c r="R21" i="36"/>
  <c r="N21" i="36"/>
  <c r="T21" i="36"/>
  <c r="P21" i="36"/>
  <c r="U21" i="36"/>
  <c r="Q21" i="36"/>
  <c r="M21" i="36"/>
  <c r="R22" i="36"/>
  <c r="P22" i="36"/>
  <c r="T22" i="36"/>
  <c r="U22" i="36"/>
  <c r="N22" i="36"/>
  <c r="S22" i="36"/>
  <c r="O22" i="36"/>
  <c r="T23" i="36"/>
  <c r="P23" i="36"/>
  <c r="U23" i="36"/>
  <c r="Q23" i="36"/>
  <c r="M23" i="36"/>
  <c r="R23" i="36"/>
  <c r="N23" i="36"/>
  <c r="S23" i="36"/>
  <c r="O23" i="36"/>
  <c r="R24" i="36"/>
  <c r="N24" i="36"/>
  <c r="S24" i="36"/>
  <c r="O24" i="36"/>
  <c r="T24" i="36"/>
  <c r="P24" i="36"/>
  <c r="U24" i="36"/>
  <c r="Q24" i="36"/>
  <c r="M24" i="36"/>
  <c r="T25" i="36"/>
  <c r="P25" i="36"/>
  <c r="U25" i="36"/>
  <c r="Q25" i="36"/>
  <c r="M25" i="36"/>
  <c r="R25" i="36"/>
  <c r="N25" i="36"/>
  <c r="S25" i="36"/>
  <c r="O25" i="36"/>
  <c r="R26" i="36"/>
  <c r="N26" i="36"/>
  <c r="S26" i="36"/>
  <c r="O26" i="36"/>
  <c r="T26" i="36"/>
  <c r="P26" i="36"/>
  <c r="U26" i="36"/>
  <c r="Q26" i="36"/>
  <c r="M26" i="36"/>
  <c r="T27" i="36"/>
  <c r="P27" i="36"/>
  <c r="U27" i="36"/>
  <c r="Q27" i="36"/>
  <c r="M27" i="36"/>
  <c r="R27" i="36"/>
  <c r="N27" i="36"/>
  <c r="S27" i="36"/>
  <c r="O27" i="36"/>
  <c r="R28" i="36"/>
  <c r="N28" i="36"/>
  <c r="S28" i="36"/>
  <c r="O28" i="36"/>
  <c r="T28" i="36"/>
  <c r="P28" i="36"/>
  <c r="L28" i="36"/>
  <c r="U28" i="36"/>
  <c r="Q28" i="36"/>
  <c r="M28" i="36"/>
  <c r="M6" i="36"/>
  <c r="Q6" i="36"/>
  <c r="U6" i="36"/>
  <c r="O7" i="36"/>
  <c r="S7" i="36"/>
  <c r="M8" i="36"/>
  <c r="Q8" i="36"/>
  <c r="U8" i="36"/>
  <c r="O9" i="36"/>
  <c r="S9" i="36"/>
  <c r="M10" i="36"/>
  <c r="Q10" i="36"/>
  <c r="U10" i="36"/>
  <c r="O11" i="36"/>
  <c r="S11" i="36"/>
  <c r="M12" i="36"/>
  <c r="Q12" i="36"/>
  <c r="U12" i="36"/>
  <c r="O13" i="36"/>
  <c r="S13" i="36"/>
  <c r="M14" i="36"/>
  <c r="Q14" i="36"/>
  <c r="U14" i="36"/>
  <c r="O15" i="36"/>
  <c r="S15" i="36"/>
  <c r="M16" i="36"/>
  <c r="Q16" i="36"/>
  <c r="U16" i="36"/>
  <c r="O17" i="36"/>
  <c r="S17" i="36"/>
  <c r="M18" i="36"/>
  <c r="Q18" i="36"/>
  <c r="U18" i="36"/>
  <c r="O19" i="36"/>
  <c r="S19" i="36"/>
  <c r="Q20" i="36"/>
  <c r="O21" i="36"/>
  <c r="M22" i="36"/>
  <c r="T6" i="36"/>
  <c r="R7" i="36"/>
  <c r="P8" i="36"/>
  <c r="N9" i="36"/>
  <c r="T10" i="36"/>
  <c r="R11" i="36"/>
  <c r="P12" i="36"/>
  <c r="N13" i="36"/>
  <c r="T14" i="36"/>
  <c r="D28" i="36"/>
  <c r="F28" i="36"/>
  <c r="H28" i="36"/>
  <c r="J28" i="36"/>
  <c r="B28" i="36"/>
  <c r="C28" i="36"/>
  <c r="E28" i="36"/>
  <c r="G28" i="36"/>
  <c r="I28" i="36"/>
  <c r="K28" i="36"/>
  <c r="U3" i="23"/>
  <c r="T3" i="23"/>
  <c r="AO3" i="36" s="1"/>
  <c r="T3" i="36" s="1"/>
  <c r="S3" i="23"/>
  <c r="AN3" i="36" s="1"/>
  <c r="S3" i="36" s="1"/>
  <c r="R3" i="23"/>
  <c r="AM3" i="36" s="1"/>
  <c r="R3" i="36" s="1"/>
  <c r="Q3" i="23"/>
  <c r="P3" i="23"/>
  <c r="AK3" i="36" s="1"/>
  <c r="P3" i="36" s="1"/>
  <c r="O3" i="23"/>
  <c r="AJ3" i="36" s="1"/>
  <c r="O3" i="36" s="1"/>
  <c r="N3" i="23"/>
  <c r="AI3" i="36" s="1"/>
  <c r="N3" i="36" s="1"/>
  <c r="M3" i="23"/>
  <c r="AG3" i="36"/>
  <c r="L3" i="36" s="1"/>
  <c r="AF3" i="36"/>
  <c r="K3" i="36" s="1"/>
  <c r="AE3" i="36"/>
  <c r="J3" i="36" s="1"/>
  <c r="AC3" i="36"/>
  <c r="H3" i="36" s="1"/>
  <c r="AB3" i="36"/>
  <c r="G3" i="36" s="1"/>
  <c r="AA3" i="36"/>
  <c r="F3" i="36" s="1"/>
  <c r="Y3" i="36"/>
  <c r="D3" i="36" s="1"/>
  <c r="X3" i="36"/>
  <c r="C3" i="36" s="1"/>
  <c r="W4" i="36"/>
  <c r="B4" i="36" s="1"/>
  <c r="A64" i="36"/>
  <c r="A63" i="36"/>
  <c r="A62" i="36"/>
  <c r="A61" i="36"/>
  <c r="A60" i="36"/>
  <c r="A59" i="36"/>
  <c r="A58" i="36"/>
  <c r="A57" i="36"/>
  <c r="A56" i="36"/>
  <c r="A55" i="36"/>
  <c r="A54" i="36"/>
  <c r="A53" i="36"/>
  <c r="A52" i="36"/>
  <c r="A51" i="36"/>
  <c r="A50" i="36"/>
  <c r="A49" i="36"/>
  <c r="A48" i="36"/>
  <c r="A47" i="36"/>
  <c r="A46" i="36"/>
  <c r="A45" i="36"/>
  <c r="A44" i="36"/>
  <c r="A43" i="36"/>
  <c r="A42" i="36"/>
  <c r="A41" i="36"/>
  <c r="A40" i="36"/>
  <c r="A39" i="36"/>
  <c r="A38" i="36"/>
  <c r="A37" i="36"/>
  <c r="A36" i="36"/>
  <c r="A35" i="36"/>
  <c r="A34" i="36"/>
  <c r="A33" i="36"/>
  <c r="A32" i="36"/>
  <c r="A31" i="36"/>
  <c r="A30" i="36"/>
  <c r="A29" i="36"/>
  <c r="A28" i="36"/>
  <c r="A27" i="36"/>
  <c r="A26" i="36"/>
  <c r="A25" i="36"/>
  <c r="A24" i="36"/>
  <c r="A23" i="36"/>
  <c r="A22" i="36"/>
  <c r="A21" i="36"/>
  <c r="A20" i="36"/>
  <c r="A19" i="36"/>
  <c r="A18" i="36"/>
  <c r="A17" i="36"/>
  <c r="A16" i="36"/>
  <c r="A15" i="36"/>
  <c r="A14" i="36"/>
  <c r="A13" i="36"/>
  <c r="A12" i="36"/>
  <c r="A11" i="36"/>
  <c r="A10" i="36"/>
  <c r="A9" i="36"/>
  <c r="A8" i="36"/>
  <c r="A7" i="36"/>
  <c r="A6" i="36"/>
  <c r="A5" i="36"/>
  <c r="AP4" i="36"/>
  <c r="U4" i="36" s="1"/>
  <c r="AO4" i="36"/>
  <c r="T4" i="36" s="1"/>
  <c r="AN4" i="36"/>
  <c r="S4" i="36" s="1"/>
  <c r="AM4" i="36"/>
  <c r="R4" i="36" s="1"/>
  <c r="AL4" i="36"/>
  <c r="Q4" i="36" s="1"/>
  <c r="AK4" i="36"/>
  <c r="P4" i="36" s="1"/>
  <c r="AJ4" i="36"/>
  <c r="O4" i="36" s="1"/>
  <c r="AI4" i="36"/>
  <c r="N4" i="36" s="1"/>
  <c r="AH4" i="36"/>
  <c r="M4" i="36" s="1"/>
  <c r="AG4" i="36"/>
  <c r="L4" i="36" s="1"/>
  <c r="AF4" i="36"/>
  <c r="K4" i="36" s="1"/>
  <c r="AE4" i="36"/>
  <c r="J4" i="36" s="1"/>
  <c r="AD4" i="36"/>
  <c r="I4" i="36" s="1"/>
  <c r="AC4" i="36"/>
  <c r="H4" i="36" s="1"/>
  <c r="AB4" i="36"/>
  <c r="G4" i="36" s="1"/>
  <c r="AA4" i="36"/>
  <c r="F4" i="36" s="1"/>
  <c r="Z4" i="36"/>
  <c r="E4" i="36" s="1"/>
  <c r="Y4" i="36"/>
  <c r="D4" i="36" s="1"/>
  <c r="X4" i="36"/>
  <c r="C4" i="36" s="1"/>
  <c r="AP3" i="36"/>
  <c r="U3" i="36" s="1"/>
  <c r="AL3" i="36"/>
  <c r="Q3" i="36" s="1"/>
  <c r="AH3" i="36"/>
  <c r="M3" i="36" s="1"/>
  <c r="AD3" i="36"/>
  <c r="I3" i="36" s="1"/>
  <c r="Z3" i="36"/>
  <c r="E3" i="36" s="1"/>
  <c r="W3" i="36"/>
  <c r="B3" i="36" s="1"/>
  <c r="A3" i="36"/>
  <c r="AP2" i="36"/>
  <c r="U2" i="36" s="1"/>
  <c r="AO2" i="36"/>
  <c r="T2" i="36" s="1"/>
  <c r="AN2" i="36"/>
  <c r="S2" i="36" s="1"/>
  <c r="AM2" i="36"/>
  <c r="R2" i="36" s="1"/>
  <c r="AL2" i="36"/>
  <c r="Q2" i="36" s="1"/>
  <c r="AK2" i="36"/>
  <c r="P2" i="36" s="1"/>
  <c r="AJ2" i="36"/>
  <c r="O2" i="36" s="1"/>
  <c r="AI2" i="36"/>
  <c r="N2" i="36" s="1"/>
  <c r="AH2" i="36"/>
  <c r="M2" i="36" s="1"/>
  <c r="AG2" i="36"/>
  <c r="L2" i="36" s="1"/>
  <c r="AF2" i="36"/>
  <c r="K2" i="36" s="1"/>
  <c r="AE2" i="36"/>
  <c r="J2" i="36" s="1"/>
  <c r="AD2" i="36"/>
  <c r="I2" i="36" s="1"/>
  <c r="AC2" i="36"/>
  <c r="H2" i="36" s="1"/>
  <c r="AB2" i="36"/>
  <c r="G2" i="36" s="1"/>
  <c r="AA2" i="36"/>
  <c r="F2" i="36" s="1"/>
  <c r="Z2" i="36"/>
  <c r="E2" i="36" s="1"/>
  <c r="Y2" i="36"/>
  <c r="D2" i="36" s="1"/>
  <c r="X2" i="36"/>
  <c r="C2" i="36" s="1"/>
  <c r="W2" i="36"/>
  <c r="B2" i="36" s="1"/>
  <c r="A2" i="36"/>
  <c r="U64" i="35" l="1"/>
  <c r="T64" i="35"/>
  <c r="S64" i="35"/>
  <c r="R64" i="35"/>
  <c r="Q64" i="35"/>
  <c r="P64" i="35"/>
  <c r="O64" i="35"/>
  <c r="N64" i="35"/>
  <c r="M64" i="35"/>
  <c r="L64" i="35"/>
  <c r="K64" i="35"/>
  <c r="J64" i="35"/>
  <c r="I64" i="35"/>
  <c r="H64" i="35"/>
  <c r="G64" i="35"/>
  <c r="F64" i="35"/>
  <c r="E64" i="35"/>
  <c r="D64" i="35"/>
  <c r="C64" i="35"/>
  <c r="B64" i="35"/>
  <c r="U63" i="35"/>
  <c r="T63" i="35"/>
  <c r="S63" i="35"/>
  <c r="R63" i="35"/>
  <c r="Q63" i="35"/>
  <c r="P63" i="35"/>
  <c r="O63" i="35"/>
  <c r="N63" i="35"/>
  <c r="M63" i="35"/>
  <c r="L63" i="35"/>
  <c r="K63" i="35"/>
  <c r="J63" i="35"/>
  <c r="I63" i="35"/>
  <c r="H63" i="35"/>
  <c r="G63" i="35"/>
  <c r="F63" i="35"/>
  <c r="E63" i="35"/>
  <c r="D63" i="35"/>
  <c r="C63" i="35"/>
  <c r="B63" i="35"/>
  <c r="U62" i="35"/>
  <c r="T62" i="35"/>
  <c r="S62" i="35"/>
  <c r="R62" i="35"/>
  <c r="Q62" i="35"/>
  <c r="P62" i="35"/>
  <c r="O62" i="35"/>
  <c r="N62" i="35"/>
  <c r="M62" i="35"/>
  <c r="L62" i="35"/>
  <c r="K62" i="35"/>
  <c r="J62" i="35"/>
  <c r="I62" i="35"/>
  <c r="H62" i="35"/>
  <c r="G62" i="35"/>
  <c r="F62" i="35"/>
  <c r="E62" i="35"/>
  <c r="D62" i="35"/>
  <c r="C62" i="35"/>
  <c r="B62" i="35"/>
  <c r="U61" i="35"/>
  <c r="T61" i="35"/>
  <c r="S61" i="35"/>
  <c r="R61" i="35"/>
  <c r="Q61" i="35"/>
  <c r="P61" i="35"/>
  <c r="O61" i="35"/>
  <c r="N61" i="35"/>
  <c r="M61" i="35"/>
  <c r="L61" i="35"/>
  <c r="K61" i="35"/>
  <c r="J61" i="35"/>
  <c r="I61" i="35"/>
  <c r="H61" i="35"/>
  <c r="G61" i="35"/>
  <c r="F61" i="35"/>
  <c r="E61" i="35"/>
  <c r="D61" i="35"/>
  <c r="C61" i="35"/>
  <c r="B61" i="35"/>
  <c r="U60" i="35"/>
  <c r="T60" i="35"/>
  <c r="S60" i="35"/>
  <c r="R60" i="35"/>
  <c r="Q60" i="35"/>
  <c r="P60" i="35"/>
  <c r="O60" i="35"/>
  <c r="N60" i="35"/>
  <c r="M60" i="35"/>
  <c r="L60" i="35"/>
  <c r="K60" i="35"/>
  <c r="J60" i="35"/>
  <c r="I60" i="35"/>
  <c r="H60" i="35"/>
  <c r="G60" i="35"/>
  <c r="F60" i="35"/>
  <c r="E60" i="35"/>
  <c r="D60" i="35"/>
  <c r="C60" i="35"/>
  <c r="B60" i="35"/>
  <c r="U59" i="35"/>
  <c r="T59" i="35"/>
  <c r="S59" i="35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C59" i="35"/>
  <c r="B59" i="35"/>
  <c r="U58" i="35"/>
  <c r="T58" i="35"/>
  <c r="S58" i="35"/>
  <c r="R58" i="35"/>
  <c r="Q58" i="35"/>
  <c r="P58" i="35"/>
  <c r="O58" i="35"/>
  <c r="N58" i="35"/>
  <c r="M58" i="35"/>
  <c r="L58" i="35"/>
  <c r="K58" i="35"/>
  <c r="J58" i="35"/>
  <c r="I58" i="35"/>
  <c r="H58" i="35"/>
  <c r="G58" i="35"/>
  <c r="F58" i="35"/>
  <c r="E58" i="35"/>
  <c r="D58" i="35"/>
  <c r="C58" i="35"/>
  <c r="B58" i="35"/>
  <c r="U57" i="35"/>
  <c r="T57" i="35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C57" i="35"/>
  <c r="B57" i="35"/>
  <c r="U56" i="35"/>
  <c r="T56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C56" i="35"/>
  <c r="B56" i="35"/>
  <c r="U55" i="35"/>
  <c r="T55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C55" i="35"/>
  <c r="B55" i="35"/>
  <c r="U54" i="35"/>
  <c r="T54" i="35"/>
  <c r="S54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C54" i="35"/>
  <c r="B54" i="35"/>
  <c r="U53" i="35"/>
  <c r="T53" i="35"/>
  <c r="S53" i="35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C53" i="35"/>
  <c r="B53" i="35"/>
  <c r="U52" i="35"/>
  <c r="T52" i="35"/>
  <c r="S52" i="35"/>
  <c r="R52" i="35"/>
  <c r="Q52" i="35"/>
  <c r="P52" i="35"/>
  <c r="O52" i="35"/>
  <c r="N52" i="35"/>
  <c r="M52" i="35"/>
  <c r="L52" i="35"/>
  <c r="K52" i="35"/>
  <c r="J52" i="35"/>
  <c r="I52" i="35"/>
  <c r="H52" i="35"/>
  <c r="G52" i="35"/>
  <c r="E52" i="35"/>
  <c r="D52" i="35"/>
  <c r="C52" i="35"/>
  <c r="B52" i="35"/>
  <c r="U51" i="35"/>
  <c r="T51" i="35"/>
  <c r="S51" i="35"/>
  <c r="R51" i="35"/>
  <c r="Q51" i="35"/>
  <c r="P51" i="35"/>
  <c r="O51" i="35"/>
  <c r="N51" i="35"/>
  <c r="M51" i="35"/>
  <c r="L51" i="35"/>
  <c r="K51" i="35"/>
  <c r="J51" i="35"/>
  <c r="I51" i="35"/>
  <c r="H51" i="35"/>
  <c r="G51" i="35"/>
  <c r="F51" i="35"/>
  <c r="E51" i="35"/>
  <c r="D51" i="35"/>
  <c r="C51" i="35"/>
  <c r="B51" i="35"/>
  <c r="U50" i="35"/>
  <c r="T50" i="35"/>
  <c r="S50" i="35"/>
  <c r="R50" i="35"/>
  <c r="Q50" i="35"/>
  <c r="P50" i="35"/>
  <c r="O50" i="35"/>
  <c r="N50" i="35"/>
  <c r="M50" i="35"/>
  <c r="L50" i="35"/>
  <c r="K50" i="35"/>
  <c r="J50" i="35"/>
  <c r="I50" i="35"/>
  <c r="H50" i="35"/>
  <c r="G50" i="35"/>
  <c r="F50" i="35"/>
  <c r="E50" i="35"/>
  <c r="D50" i="35"/>
  <c r="C50" i="35"/>
  <c r="B50" i="35"/>
  <c r="U49" i="35"/>
  <c r="T49" i="35"/>
  <c r="S49" i="35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E49" i="35"/>
  <c r="D49" i="35"/>
  <c r="C49" i="35"/>
  <c r="B49" i="35"/>
  <c r="U48" i="35"/>
  <c r="T48" i="35"/>
  <c r="S48" i="35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E48" i="35"/>
  <c r="D48" i="35"/>
  <c r="C48" i="35"/>
  <c r="B48" i="35"/>
  <c r="U47" i="35"/>
  <c r="T47" i="35"/>
  <c r="S47" i="35"/>
  <c r="R47" i="35"/>
  <c r="Q47" i="35"/>
  <c r="P47" i="35"/>
  <c r="O47" i="35"/>
  <c r="N47" i="35"/>
  <c r="M47" i="35"/>
  <c r="L47" i="35"/>
  <c r="K47" i="35"/>
  <c r="J47" i="35"/>
  <c r="I47" i="35"/>
  <c r="H47" i="35"/>
  <c r="G47" i="35"/>
  <c r="F47" i="35"/>
  <c r="E47" i="35"/>
  <c r="D47" i="35"/>
  <c r="C47" i="35"/>
  <c r="B47" i="35"/>
  <c r="U46" i="35"/>
  <c r="T46" i="35"/>
  <c r="S46" i="35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C46" i="35"/>
  <c r="B46" i="35"/>
  <c r="U45" i="35"/>
  <c r="T45" i="35"/>
  <c r="S45" i="35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C45" i="35"/>
  <c r="B45" i="35"/>
  <c r="U44" i="35"/>
  <c r="T44" i="35"/>
  <c r="S44" i="35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C44" i="35"/>
  <c r="B44" i="35"/>
  <c r="U43" i="35"/>
  <c r="T43" i="35"/>
  <c r="S43" i="35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C43" i="35"/>
  <c r="B43" i="35"/>
  <c r="U42" i="35"/>
  <c r="T42" i="35"/>
  <c r="S42" i="35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C42" i="35"/>
  <c r="B42" i="35"/>
  <c r="U41" i="35"/>
  <c r="T41" i="35"/>
  <c r="S41" i="35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C41" i="35"/>
  <c r="B41" i="35"/>
  <c r="U40" i="35"/>
  <c r="T40" i="35"/>
  <c r="S40" i="35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C40" i="35"/>
  <c r="B40" i="35"/>
  <c r="U39" i="35"/>
  <c r="T39" i="35"/>
  <c r="S39" i="35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C39" i="35"/>
  <c r="B39" i="35"/>
  <c r="U38" i="35"/>
  <c r="T38" i="35"/>
  <c r="S38" i="35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C38" i="35"/>
  <c r="B38" i="35"/>
  <c r="U37" i="35"/>
  <c r="T37" i="35"/>
  <c r="S37" i="35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C37" i="35"/>
  <c r="B37" i="35"/>
  <c r="U36" i="35"/>
  <c r="T36" i="35"/>
  <c r="S36" i="35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U35" i="35"/>
  <c r="T35" i="35"/>
  <c r="S35" i="35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U34" i="35"/>
  <c r="T34" i="35"/>
  <c r="S34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U33" i="35"/>
  <c r="T33" i="35"/>
  <c r="S33" i="35"/>
  <c r="R33" i="35"/>
  <c r="Q33" i="35"/>
  <c r="P33" i="35"/>
  <c r="O33" i="35"/>
  <c r="N33" i="35"/>
  <c r="U32" i="35"/>
  <c r="T32" i="35"/>
  <c r="S32" i="35"/>
  <c r="R32" i="35"/>
  <c r="Q32" i="35"/>
  <c r="P32" i="35"/>
  <c r="O32" i="35"/>
  <c r="N32" i="35"/>
  <c r="U31" i="35"/>
  <c r="T31" i="35"/>
  <c r="S31" i="35"/>
  <c r="R31" i="35"/>
  <c r="Q31" i="35"/>
  <c r="P31" i="35"/>
  <c r="O31" i="35"/>
  <c r="N31" i="35"/>
  <c r="U30" i="35"/>
  <c r="T30" i="35"/>
  <c r="S30" i="35"/>
  <c r="R30" i="35"/>
  <c r="Q30" i="35"/>
  <c r="P30" i="35"/>
  <c r="O30" i="35"/>
  <c r="N30" i="35"/>
  <c r="U29" i="35"/>
  <c r="T29" i="35"/>
  <c r="S29" i="35"/>
  <c r="R29" i="35"/>
  <c r="Q29" i="35"/>
  <c r="P29" i="35"/>
  <c r="O29" i="35"/>
  <c r="N29" i="35"/>
  <c r="U4" i="35" l="1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A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A3" i="35"/>
  <c r="U2" i="35"/>
  <c r="T2" i="35"/>
  <c r="S2" i="35"/>
  <c r="R2" i="35"/>
  <c r="Q2" i="35"/>
  <c r="P2" i="35"/>
  <c r="O2" i="35"/>
  <c r="N2" i="35"/>
  <c r="M2" i="35"/>
  <c r="L2" i="35"/>
  <c r="K2" i="35"/>
  <c r="J2" i="35"/>
  <c r="I2" i="35"/>
  <c r="H2" i="35"/>
  <c r="G2" i="35"/>
  <c r="F2" i="35"/>
  <c r="E2" i="35"/>
  <c r="D2" i="35"/>
  <c r="C2" i="35"/>
  <c r="B2" i="35"/>
  <c r="A2" i="35"/>
  <c r="U3" i="32"/>
  <c r="T3" i="32"/>
  <c r="S3" i="32"/>
  <c r="R3" i="32"/>
  <c r="Q3" i="32"/>
  <c r="P3" i="32"/>
  <c r="O3" i="32"/>
  <c r="N3" i="32"/>
  <c r="M3" i="32"/>
  <c r="L3" i="32"/>
  <c r="K3" i="32"/>
  <c r="J3" i="32"/>
  <c r="I3" i="32"/>
  <c r="H3" i="32"/>
  <c r="G3" i="32"/>
  <c r="F3" i="32"/>
  <c r="E3" i="32"/>
  <c r="D3" i="32"/>
  <c r="C3" i="32"/>
  <c r="B3" i="32"/>
  <c r="A3" i="32"/>
  <c r="U2" i="32"/>
  <c r="T2" i="32"/>
  <c r="S2" i="32"/>
  <c r="R2" i="32"/>
  <c r="Q2" i="32"/>
  <c r="P2" i="32"/>
  <c r="O2" i="32"/>
  <c r="N2" i="32"/>
  <c r="M2" i="32"/>
  <c r="L2" i="32"/>
  <c r="K2" i="32"/>
  <c r="J2" i="32"/>
  <c r="I2" i="32"/>
  <c r="H2" i="32"/>
  <c r="G2" i="32"/>
  <c r="F2" i="32"/>
  <c r="E2" i="32"/>
  <c r="D2" i="32"/>
  <c r="C2" i="32"/>
  <c r="B2" i="32"/>
  <c r="A2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B1" i="32"/>
  <c r="A1" i="32"/>
  <c r="U3" i="33"/>
  <c r="T3" i="33"/>
  <c r="S3" i="33"/>
  <c r="R3" i="33"/>
  <c r="Q3" i="33"/>
  <c r="P3" i="33"/>
  <c r="O3" i="33"/>
  <c r="N3" i="33"/>
  <c r="M3" i="33"/>
  <c r="L3" i="33"/>
  <c r="K3" i="33"/>
  <c r="J3" i="33"/>
  <c r="I3" i="33"/>
  <c r="H3" i="33"/>
  <c r="G3" i="33"/>
  <c r="F3" i="33"/>
  <c r="E3" i="33"/>
  <c r="D3" i="33"/>
  <c r="C3" i="33"/>
  <c r="B3" i="33"/>
  <c r="A3" i="33"/>
  <c r="U2" i="33"/>
  <c r="T2" i="33"/>
  <c r="S2" i="33"/>
  <c r="R2" i="33"/>
  <c r="Q2" i="33"/>
  <c r="P2" i="33"/>
  <c r="O2" i="33"/>
  <c r="N2" i="33"/>
  <c r="M2" i="33"/>
  <c r="L2" i="33"/>
  <c r="K2" i="33"/>
  <c r="J2" i="33"/>
  <c r="I2" i="33"/>
  <c r="H2" i="33"/>
  <c r="G2" i="33"/>
  <c r="F2" i="33"/>
  <c r="E2" i="33"/>
  <c r="D2" i="33"/>
  <c r="C2" i="33"/>
  <c r="B2" i="33"/>
  <c r="A2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  <c r="B1" i="33"/>
  <c r="A1" i="33"/>
  <c r="U3" i="29"/>
  <c r="T3" i="29"/>
  <c r="S3" i="29"/>
  <c r="R3" i="29"/>
  <c r="Q3" i="29"/>
  <c r="P3" i="29"/>
  <c r="O3" i="29"/>
  <c r="N3" i="29"/>
  <c r="M3" i="29"/>
  <c r="L3" i="29"/>
  <c r="K3" i="29"/>
  <c r="J3" i="29"/>
  <c r="I3" i="29"/>
  <c r="H3" i="29"/>
  <c r="G3" i="29"/>
  <c r="F3" i="29"/>
  <c r="E3" i="29"/>
  <c r="D3" i="29"/>
  <c r="C3" i="29"/>
  <c r="B3" i="29"/>
  <c r="A3" i="29"/>
  <c r="U2" i="29"/>
  <c r="T2" i="29"/>
  <c r="S2" i="29"/>
  <c r="R2" i="29"/>
  <c r="Q2" i="29"/>
  <c r="P2" i="29"/>
  <c r="O2" i="29"/>
  <c r="N2" i="29"/>
  <c r="M2" i="29"/>
  <c r="L2" i="29"/>
  <c r="K2" i="29"/>
  <c r="J2" i="29"/>
  <c r="I2" i="29"/>
  <c r="H2" i="29"/>
  <c r="G2" i="29"/>
  <c r="F2" i="29"/>
  <c r="E2" i="29"/>
  <c r="D2" i="29"/>
  <c r="C2" i="29"/>
  <c r="B2" i="29"/>
  <c r="A2" i="29"/>
  <c r="U1" i="29"/>
  <c r="T1" i="29"/>
  <c r="S1" i="29"/>
  <c r="R1" i="29"/>
  <c r="Q1" i="29"/>
  <c r="P1" i="29"/>
  <c r="O1" i="29"/>
  <c r="N1" i="29"/>
  <c r="M1" i="29"/>
  <c r="L1" i="29"/>
  <c r="K1" i="29"/>
  <c r="J1" i="29"/>
  <c r="I1" i="29"/>
  <c r="H1" i="29"/>
  <c r="G1" i="29"/>
  <c r="F1" i="29"/>
  <c r="E1" i="29"/>
  <c r="D1" i="29"/>
  <c r="C1" i="29"/>
  <c r="B1" i="29"/>
  <c r="A1" i="29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E3" i="28"/>
  <c r="D3" i="28"/>
  <c r="C3" i="28"/>
  <c r="B3" i="28"/>
  <c r="A3" i="28"/>
  <c r="U2" i="28"/>
  <c r="T2" i="28"/>
  <c r="S2" i="28"/>
  <c r="R2" i="28"/>
  <c r="Q2" i="28"/>
  <c r="P2" i="28"/>
  <c r="O2" i="28"/>
  <c r="N2" i="28"/>
  <c r="M2" i="28"/>
  <c r="L2" i="28"/>
  <c r="K2" i="28"/>
  <c r="J2" i="28"/>
  <c r="I2" i="28"/>
  <c r="H2" i="28"/>
  <c r="G2" i="28"/>
  <c r="F2" i="28"/>
  <c r="E2" i="28"/>
  <c r="D2" i="28"/>
  <c r="C2" i="28"/>
  <c r="B2" i="28"/>
  <c r="A2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B1" i="28"/>
  <c r="A1" i="28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E3" i="30"/>
  <c r="D3" i="30"/>
  <c r="C3" i="30"/>
  <c r="B3" i="30"/>
  <c r="A3" i="30"/>
  <c r="U2" i="30"/>
  <c r="T2" i="30"/>
  <c r="S2" i="30"/>
  <c r="R2" i="30"/>
  <c r="Q2" i="30"/>
  <c r="P2" i="30"/>
  <c r="O2" i="30"/>
  <c r="N2" i="30"/>
  <c r="M2" i="30"/>
  <c r="L2" i="30"/>
  <c r="K2" i="30"/>
  <c r="J2" i="30"/>
  <c r="I2" i="30"/>
  <c r="H2" i="30"/>
  <c r="G2" i="30"/>
  <c r="F2" i="30"/>
  <c r="E2" i="30"/>
  <c r="D2" i="30"/>
  <c r="C2" i="30"/>
  <c r="B2" i="30"/>
  <c r="A2" i="30"/>
  <c r="U1" i="30"/>
  <c r="T1" i="30"/>
  <c r="S1" i="30"/>
  <c r="R1" i="30"/>
  <c r="Q1" i="30"/>
  <c r="P1" i="30"/>
  <c r="O1" i="30"/>
  <c r="N1" i="30"/>
  <c r="M1" i="30"/>
  <c r="L1" i="30"/>
  <c r="K1" i="30"/>
  <c r="J1" i="30"/>
  <c r="I1" i="30"/>
  <c r="H1" i="30"/>
  <c r="G1" i="30"/>
  <c r="F1" i="30"/>
  <c r="E1" i="30"/>
  <c r="D1" i="30"/>
  <c r="C1" i="30"/>
  <c r="B1" i="30"/>
  <c r="A1" i="30"/>
  <c r="U3" i="25"/>
  <c r="T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U2" i="25"/>
  <c r="T2" i="25"/>
  <c r="S2" i="25"/>
  <c r="R2" i="25"/>
  <c r="Q2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B1" i="25"/>
  <c r="A1" i="25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C65" i="25"/>
  <c r="D65" i="25"/>
  <c r="E65" i="25"/>
  <c r="F65" i="25"/>
  <c r="G65" i="25"/>
  <c r="H65" i="25"/>
  <c r="I65" i="25"/>
  <c r="J65" i="25"/>
  <c r="K65" i="25"/>
  <c r="L65" i="25"/>
  <c r="M65" i="25"/>
  <c r="N65" i="25"/>
  <c r="O65" i="25"/>
  <c r="P65" i="25"/>
  <c r="Q65" i="25"/>
  <c r="R65" i="25"/>
  <c r="S65" i="25"/>
  <c r="T65" i="25"/>
  <c r="U65" i="25"/>
  <c r="B65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122" i="25"/>
  <c r="A123" i="25"/>
  <c r="A124" i="25"/>
  <c r="A125" i="25"/>
  <c r="A66" i="25"/>
  <c r="C1" i="24"/>
  <c r="D1" i="24"/>
  <c r="E1" i="24"/>
  <c r="F1" i="24"/>
  <c r="G1" i="24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C2" i="24"/>
  <c r="D2" i="24"/>
  <c r="E2" i="24"/>
  <c r="F2" i="24"/>
  <c r="G2" i="24"/>
  <c r="H2" i="24"/>
  <c r="I2" i="24"/>
  <c r="J2" i="24"/>
  <c r="K2" i="24"/>
  <c r="L2" i="24"/>
  <c r="M2" i="24"/>
  <c r="N2" i="24"/>
  <c r="O2" i="24"/>
  <c r="P2" i="24"/>
  <c r="Q2" i="24"/>
  <c r="R2" i="24"/>
  <c r="S2" i="24"/>
  <c r="T2" i="24"/>
  <c r="U2" i="24"/>
  <c r="C3" i="24"/>
  <c r="D3" i="24"/>
  <c r="E3" i="24"/>
  <c r="F3" i="24"/>
  <c r="G3" i="24"/>
  <c r="H3" i="24"/>
  <c r="I3" i="24"/>
  <c r="J3" i="24"/>
  <c r="K3" i="24"/>
  <c r="L3" i="24"/>
  <c r="M3" i="24"/>
  <c r="N3" i="24"/>
  <c r="O3" i="24"/>
  <c r="P3" i="24"/>
  <c r="Q3" i="24"/>
  <c r="R3" i="24"/>
  <c r="S3" i="24"/>
  <c r="T3" i="24"/>
  <c r="U3" i="24"/>
  <c r="B3" i="24"/>
  <c r="B2" i="24"/>
  <c r="B1" i="24"/>
  <c r="A2" i="24"/>
  <c r="A3" i="24"/>
  <c r="A1" i="24"/>
  <c r="W14" i="23" l="1"/>
  <c r="W15" i="23"/>
  <c r="W16" i="23"/>
  <c r="W17" i="23"/>
  <c r="W18" i="23"/>
  <c r="W19" i="23"/>
  <c r="W20" i="23"/>
  <c r="W21" i="23"/>
  <c r="W22" i="23"/>
  <c r="W28" i="23"/>
  <c r="W29" i="23"/>
  <c r="W30" i="23"/>
  <c r="W31" i="23"/>
  <c r="W32" i="23"/>
  <c r="W33" i="23"/>
  <c r="W34" i="23"/>
  <c r="W35" i="23"/>
  <c r="W36" i="23"/>
  <c r="W37" i="23"/>
  <c r="W38" i="23"/>
  <c r="W39" i="23"/>
  <c r="W40" i="23"/>
  <c r="W41" i="23"/>
  <c r="W42" i="23"/>
  <c r="W43" i="23"/>
  <c r="W44" i="23"/>
  <c r="W45" i="23"/>
  <c r="W46" i="23"/>
  <c r="W47" i="23"/>
  <c r="W48" i="23"/>
  <c r="W49" i="23"/>
  <c r="W50" i="23"/>
  <c r="W51" i="23"/>
  <c r="W52" i="23"/>
  <c r="W53" i="23"/>
  <c r="E66" i="23"/>
  <c r="F66" i="23"/>
  <c r="G66" i="23"/>
  <c r="H66" i="23"/>
  <c r="I66" i="23"/>
  <c r="J66" i="23"/>
  <c r="K66" i="23"/>
  <c r="L66" i="23"/>
  <c r="M66" i="23"/>
  <c r="N66" i="23"/>
  <c r="O66" i="23"/>
  <c r="P66" i="23"/>
  <c r="Q66" i="23"/>
  <c r="R66" i="23"/>
  <c r="S66" i="23"/>
  <c r="T66" i="23"/>
  <c r="U66" i="23"/>
  <c r="W66" i="23"/>
  <c r="D66" i="23"/>
  <c r="C66" i="23"/>
  <c r="B66" i="23"/>
  <c r="W64" i="23"/>
  <c r="W63" i="23"/>
  <c r="W62" i="23"/>
  <c r="W61" i="23"/>
  <c r="W60" i="23"/>
  <c r="W59" i="23"/>
  <c r="W58" i="23"/>
  <c r="W57" i="23"/>
  <c r="W56" i="23"/>
  <c r="W55" i="23"/>
  <c r="W54" i="23"/>
  <c r="W13" i="23"/>
  <c r="W12" i="23"/>
  <c r="W11" i="23"/>
  <c r="W10" i="23"/>
  <c r="W9" i="23"/>
  <c r="W8" i="23"/>
  <c r="W7" i="23"/>
  <c r="W6" i="23"/>
  <c r="W5" i="23"/>
  <c r="X51" i="23" l="1"/>
  <c r="B67" i="23"/>
  <c r="U67" i="23"/>
  <c r="S67" i="23"/>
  <c r="Q67" i="23"/>
  <c r="Q50" i="24" s="1"/>
  <c r="Q112" i="25" s="1"/>
  <c r="O67" i="23"/>
  <c r="M67" i="23"/>
  <c r="M50" i="24" s="1"/>
  <c r="M112" i="25" s="1"/>
  <c r="K67" i="23"/>
  <c r="I67" i="23"/>
  <c r="I50" i="24" s="1"/>
  <c r="I112" i="25" s="1"/>
  <c r="G67" i="23"/>
  <c r="E67" i="23"/>
  <c r="E50" i="24" s="1"/>
  <c r="E112" i="25" s="1"/>
  <c r="X53" i="23"/>
  <c r="S52" i="24" s="1"/>
  <c r="S114" i="25" s="1"/>
  <c r="X52" i="23"/>
  <c r="S51" i="24" s="1"/>
  <c r="S113" i="25" s="1"/>
  <c r="X50" i="23"/>
  <c r="S49" i="24" s="1"/>
  <c r="S111" i="25" s="1"/>
  <c r="T67" i="23"/>
  <c r="R67" i="23"/>
  <c r="P67" i="23"/>
  <c r="P50" i="24" s="1"/>
  <c r="P112" i="25" s="1"/>
  <c r="N67" i="23"/>
  <c r="L67" i="23"/>
  <c r="L50" i="24" s="1"/>
  <c r="L112" i="25" s="1"/>
  <c r="J67" i="23"/>
  <c r="H67" i="23"/>
  <c r="H50" i="24" s="1"/>
  <c r="H112" i="25" s="1"/>
  <c r="F67" i="23"/>
  <c r="X49" i="23"/>
  <c r="R48" i="24" s="1"/>
  <c r="R110" i="25" s="1"/>
  <c r="X48" i="23"/>
  <c r="R47" i="24" s="1"/>
  <c r="R109" i="25" s="1"/>
  <c r="X47" i="23"/>
  <c r="R46" i="24" s="1"/>
  <c r="R108" i="25" s="1"/>
  <c r="X46" i="23"/>
  <c r="R45" i="24" s="1"/>
  <c r="R107" i="25" s="1"/>
  <c r="X45" i="23"/>
  <c r="R44" i="24" s="1"/>
  <c r="R106" i="25" s="1"/>
  <c r="X44" i="23"/>
  <c r="R43" i="24" s="1"/>
  <c r="R105" i="25" s="1"/>
  <c r="X43" i="23"/>
  <c r="R42" i="24" s="1"/>
  <c r="R104" i="25" s="1"/>
  <c r="X42" i="23"/>
  <c r="B41" i="24" s="1"/>
  <c r="B103" i="25" s="1"/>
  <c r="X41" i="23"/>
  <c r="E40" i="24" s="1"/>
  <c r="E102" i="25" s="1"/>
  <c r="X40" i="23"/>
  <c r="R39" i="24" s="1"/>
  <c r="R101" i="25" s="1"/>
  <c r="X39" i="23"/>
  <c r="E38" i="24" s="1"/>
  <c r="E100" i="25" s="1"/>
  <c r="X38" i="23"/>
  <c r="R37" i="24" s="1"/>
  <c r="R99" i="25" s="1"/>
  <c r="X37" i="23"/>
  <c r="E36" i="24" s="1"/>
  <c r="E98" i="25" s="1"/>
  <c r="X36" i="23"/>
  <c r="R35" i="24" s="1"/>
  <c r="R97" i="25" s="1"/>
  <c r="X35" i="23"/>
  <c r="E34" i="24" s="1"/>
  <c r="E96" i="25" s="1"/>
  <c r="X34" i="23"/>
  <c r="R33" i="24" s="1"/>
  <c r="R95" i="25" s="1"/>
  <c r="X33" i="23"/>
  <c r="E32" i="24" s="1"/>
  <c r="E94" i="25" s="1"/>
  <c r="X32" i="23"/>
  <c r="R31" i="24" s="1"/>
  <c r="R93" i="25" s="1"/>
  <c r="X31" i="23"/>
  <c r="E30" i="24" s="1"/>
  <c r="E92" i="25" s="1"/>
  <c r="X30" i="23"/>
  <c r="R29" i="24" s="1"/>
  <c r="R91" i="25" s="1"/>
  <c r="X29" i="23"/>
  <c r="E28" i="24" s="1"/>
  <c r="E90" i="25" s="1"/>
  <c r="X28" i="23"/>
  <c r="R27" i="24" s="1"/>
  <c r="R89" i="25" s="1"/>
  <c r="R25" i="24"/>
  <c r="R87" i="25" s="1"/>
  <c r="E24" i="24"/>
  <c r="E86" i="25" s="1"/>
  <c r="R23" i="24"/>
  <c r="R85" i="25" s="1"/>
  <c r="X22" i="23"/>
  <c r="R21" i="24" s="1"/>
  <c r="R83" i="25" s="1"/>
  <c r="X21" i="23"/>
  <c r="E20" i="24" s="1"/>
  <c r="E82" i="25" s="1"/>
  <c r="X20" i="23"/>
  <c r="R19" i="24" s="1"/>
  <c r="R81" i="25" s="1"/>
  <c r="X19" i="23"/>
  <c r="X18" i="23"/>
  <c r="R17" i="24" s="1"/>
  <c r="R79" i="25" s="1"/>
  <c r="X17" i="23"/>
  <c r="E16" i="24" s="1"/>
  <c r="E78" i="25" s="1"/>
  <c r="X16" i="23"/>
  <c r="X15" i="23"/>
  <c r="X14" i="23"/>
  <c r="U13" i="24" s="1"/>
  <c r="U75" i="25" s="1"/>
  <c r="X5" i="23"/>
  <c r="U4" i="24" s="1"/>
  <c r="U66" i="25" s="1"/>
  <c r="X7" i="23"/>
  <c r="X9" i="23"/>
  <c r="X11" i="23"/>
  <c r="U10" i="24" s="1"/>
  <c r="U72" i="25" s="1"/>
  <c r="X13" i="23"/>
  <c r="E12" i="24" s="1"/>
  <c r="E74" i="25" s="1"/>
  <c r="X55" i="23"/>
  <c r="R54" i="24" s="1"/>
  <c r="R116" i="25" s="1"/>
  <c r="X57" i="23"/>
  <c r="R56" i="24" s="1"/>
  <c r="R118" i="25" s="1"/>
  <c r="X59" i="23"/>
  <c r="R58" i="24" s="1"/>
  <c r="R120" i="25" s="1"/>
  <c r="X61" i="23"/>
  <c r="U60" i="24" s="1"/>
  <c r="U122" i="25" s="1"/>
  <c r="X63" i="23"/>
  <c r="R62" i="24" s="1"/>
  <c r="R124" i="25" s="1"/>
  <c r="X6" i="23"/>
  <c r="X8" i="23"/>
  <c r="U7" i="24" s="1"/>
  <c r="U69" i="25" s="1"/>
  <c r="X10" i="23"/>
  <c r="E9" i="24" s="1"/>
  <c r="E71" i="25" s="1"/>
  <c r="X12" i="23"/>
  <c r="U11" i="24" s="1"/>
  <c r="U73" i="25" s="1"/>
  <c r="X54" i="23"/>
  <c r="S53" i="24" s="1"/>
  <c r="S115" i="25" s="1"/>
  <c r="X56" i="23"/>
  <c r="R55" i="24" s="1"/>
  <c r="R117" i="25" s="1"/>
  <c r="X58" i="23"/>
  <c r="U57" i="24" s="1"/>
  <c r="U119" i="25" s="1"/>
  <c r="X60" i="23"/>
  <c r="R59" i="24" s="1"/>
  <c r="R121" i="25" s="1"/>
  <c r="X62" i="23"/>
  <c r="U61" i="24" s="1"/>
  <c r="U123" i="25" s="1"/>
  <c r="X64" i="23"/>
  <c r="R63" i="24" s="1"/>
  <c r="R125" i="25" s="1"/>
  <c r="D67" i="23"/>
  <c r="D50" i="24" s="1"/>
  <c r="D112" i="25" s="1"/>
  <c r="C67" i="23"/>
  <c r="E8" i="24" l="1"/>
  <c r="E70" i="25" s="1"/>
  <c r="E14" i="24"/>
  <c r="E76" i="25" s="1"/>
  <c r="E18" i="24"/>
  <c r="E80" i="25" s="1"/>
  <c r="E22" i="24"/>
  <c r="E84" i="25" s="1"/>
  <c r="E26" i="24"/>
  <c r="E88" i="25" s="1"/>
  <c r="B6" i="24"/>
  <c r="B68" i="25" s="1"/>
  <c r="B5" i="24"/>
  <c r="B67" i="25" s="1"/>
  <c r="S50" i="24"/>
  <c r="S112" i="25" s="1"/>
  <c r="U14" i="24"/>
  <c r="U76" i="25" s="1"/>
  <c r="U9" i="24"/>
  <c r="U71" i="25" s="1"/>
  <c r="U6" i="24"/>
  <c r="U68" i="25" s="1"/>
  <c r="U12" i="24"/>
  <c r="U74" i="25" s="1"/>
  <c r="U8" i="24"/>
  <c r="U70" i="25" s="1"/>
  <c r="U5" i="24"/>
  <c r="U67" i="25" s="1"/>
  <c r="S46" i="24"/>
  <c r="S108" i="25" s="1"/>
  <c r="S42" i="24"/>
  <c r="S104" i="25" s="1"/>
  <c r="S45" i="24"/>
  <c r="S107" i="25" s="1"/>
  <c r="S41" i="24"/>
  <c r="S103" i="25" s="1"/>
  <c r="S48" i="24"/>
  <c r="S110" i="25" s="1"/>
  <c r="S44" i="24"/>
  <c r="S106" i="25" s="1"/>
  <c r="S40" i="24"/>
  <c r="S102" i="25" s="1"/>
  <c r="S47" i="24"/>
  <c r="S109" i="25" s="1"/>
  <c r="S43" i="24"/>
  <c r="S105" i="25" s="1"/>
  <c r="S39" i="24"/>
  <c r="S101" i="25" s="1"/>
  <c r="U55" i="24"/>
  <c r="U117" i="25" s="1"/>
  <c r="U50" i="24"/>
  <c r="U112" i="25" s="1"/>
  <c r="S60" i="24"/>
  <c r="S122" i="25" s="1"/>
  <c r="S56" i="24"/>
  <c r="S118" i="25" s="1"/>
  <c r="S61" i="24"/>
  <c r="S123" i="25" s="1"/>
  <c r="S57" i="24"/>
  <c r="S119" i="25" s="1"/>
  <c r="S62" i="24"/>
  <c r="S124" i="25" s="1"/>
  <c r="S58" i="24"/>
  <c r="S120" i="25" s="1"/>
  <c r="S54" i="24"/>
  <c r="S116" i="25" s="1"/>
  <c r="S63" i="24"/>
  <c r="S125" i="25" s="1"/>
  <c r="S59" i="24"/>
  <c r="S121" i="25" s="1"/>
  <c r="S55" i="24"/>
  <c r="S117" i="25" s="1"/>
  <c r="C50" i="24"/>
  <c r="C112" i="25" s="1"/>
  <c r="T11" i="24"/>
  <c r="T73" i="25" s="1"/>
  <c r="T7" i="24"/>
  <c r="T69" i="25" s="1"/>
  <c r="T10" i="24"/>
  <c r="T72" i="25" s="1"/>
  <c r="T13" i="24"/>
  <c r="T75" i="25" s="1"/>
  <c r="T15" i="24"/>
  <c r="T77" i="25" s="1"/>
  <c r="U49" i="24"/>
  <c r="U111" i="25" s="1"/>
  <c r="U52" i="24"/>
  <c r="U114" i="25" s="1"/>
  <c r="U62" i="24"/>
  <c r="U124" i="25" s="1"/>
  <c r="U58" i="24"/>
  <c r="U120" i="25" s="1"/>
  <c r="U56" i="24"/>
  <c r="U118" i="25" s="1"/>
  <c r="U63" i="24"/>
  <c r="U125" i="25" s="1"/>
  <c r="U59" i="24"/>
  <c r="U121" i="25" s="1"/>
  <c r="C61" i="24"/>
  <c r="C123" i="25" s="1"/>
  <c r="C57" i="24"/>
  <c r="C119" i="25" s="1"/>
  <c r="C53" i="24"/>
  <c r="C115" i="25" s="1"/>
  <c r="C60" i="24"/>
  <c r="C122" i="25" s="1"/>
  <c r="R51" i="24"/>
  <c r="R113" i="25" s="1"/>
  <c r="U53" i="24"/>
  <c r="U115" i="25" s="1"/>
  <c r="U51" i="24"/>
  <c r="U113" i="25" s="1"/>
  <c r="U54" i="24"/>
  <c r="U116" i="25" s="1"/>
  <c r="C4" i="24"/>
  <c r="C66" i="25" s="1"/>
  <c r="U48" i="24"/>
  <c r="U110" i="25" s="1"/>
  <c r="U46" i="24"/>
  <c r="U108" i="25" s="1"/>
  <c r="U44" i="24"/>
  <c r="U106" i="25" s="1"/>
  <c r="U42" i="24"/>
  <c r="U104" i="25" s="1"/>
  <c r="U40" i="24"/>
  <c r="U102" i="25" s="1"/>
  <c r="U38" i="24"/>
  <c r="U100" i="25" s="1"/>
  <c r="U34" i="24"/>
  <c r="U96" i="25" s="1"/>
  <c r="U30" i="24"/>
  <c r="U92" i="25" s="1"/>
  <c r="U26" i="24"/>
  <c r="U88" i="25" s="1"/>
  <c r="U22" i="24"/>
  <c r="U84" i="25" s="1"/>
  <c r="U18" i="24"/>
  <c r="U80" i="25" s="1"/>
  <c r="U37" i="24"/>
  <c r="U99" i="25" s="1"/>
  <c r="U33" i="24"/>
  <c r="U95" i="25" s="1"/>
  <c r="U29" i="24"/>
  <c r="U91" i="25" s="1"/>
  <c r="U25" i="24"/>
  <c r="U87" i="25" s="1"/>
  <c r="U21" i="24"/>
  <c r="U83" i="25" s="1"/>
  <c r="U17" i="24"/>
  <c r="U79" i="25" s="1"/>
  <c r="U47" i="24"/>
  <c r="U109" i="25" s="1"/>
  <c r="U45" i="24"/>
  <c r="U107" i="25" s="1"/>
  <c r="U43" i="24"/>
  <c r="U105" i="25" s="1"/>
  <c r="U41" i="24"/>
  <c r="U103" i="25" s="1"/>
  <c r="U39" i="24"/>
  <c r="U101" i="25" s="1"/>
  <c r="U36" i="24"/>
  <c r="U98" i="25" s="1"/>
  <c r="U32" i="24"/>
  <c r="U94" i="25" s="1"/>
  <c r="U28" i="24"/>
  <c r="U90" i="25" s="1"/>
  <c r="U24" i="24"/>
  <c r="U86" i="25" s="1"/>
  <c r="U20" i="24"/>
  <c r="U82" i="25" s="1"/>
  <c r="U16" i="24"/>
  <c r="U78" i="25" s="1"/>
  <c r="U35" i="24"/>
  <c r="U97" i="25" s="1"/>
  <c r="U31" i="24"/>
  <c r="U93" i="25" s="1"/>
  <c r="U27" i="24"/>
  <c r="U89" i="25" s="1"/>
  <c r="U23" i="24"/>
  <c r="U85" i="25" s="1"/>
  <c r="U19" i="24"/>
  <c r="U81" i="25" s="1"/>
  <c r="U15" i="24"/>
  <c r="U77" i="25" s="1"/>
  <c r="S5" i="24"/>
  <c r="S67" i="25" s="1"/>
  <c r="S36" i="24"/>
  <c r="S98" i="25" s="1"/>
  <c r="S32" i="24"/>
  <c r="S94" i="25" s="1"/>
  <c r="S29" i="24"/>
  <c r="S91" i="25" s="1"/>
  <c r="S24" i="24"/>
  <c r="S86" i="25" s="1"/>
  <c r="S21" i="24"/>
  <c r="S83" i="25" s="1"/>
  <c r="S17" i="24"/>
  <c r="S79" i="25" s="1"/>
  <c r="S13" i="24"/>
  <c r="S75" i="25" s="1"/>
  <c r="S9" i="24"/>
  <c r="S71" i="25" s="1"/>
  <c r="S4" i="24"/>
  <c r="S66" i="25" s="1"/>
  <c r="S35" i="24"/>
  <c r="S97" i="25" s="1"/>
  <c r="S30" i="24"/>
  <c r="S92" i="25" s="1"/>
  <c r="S27" i="24"/>
  <c r="S89" i="25" s="1"/>
  <c r="S22" i="24"/>
  <c r="S84" i="25" s="1"/>
  <c r="S18" i="24"/>
  <c r="S80" i="25" s="1"/>
  <c r="S14" i="24"/>
  <c r="S76" i="25" s="1"/>
  <c r="S10" i="24"/>
  <c r="S72" i="25" s="1"/>
  <c r="R49" i="24"/>
  <c r="R111" i="25" s="1"/>
  <c r="S6" i="24"/>
  <c r="S68" i="25" s="1"/>
  <c r="S38" i="24"/>
  <c r="S100" i="25" s="1"/>
  <c r="S34" i="24"/>
  <c r="S96" i="25" s="1"/>
  <c r="S31" i="24"/>
  <c r="S93" i="25" s="1"/>
  <c r="S26" i="24"/>
  <c r="S88" i="25" s="1"/>
  <c r="S23" i="24"/>
  <c r="S85" i="25" s="1"/>
  <c r="S19" i="24"/>
  <c r="S81" i="25" s="1"/>
  <c r="S15" i="24"/>
  <c r="S77" i="25" s="1"/>
  <c r="S11" i="24"/>
  <c r="S73" i="25" s="1"/>
  <c r="S7" i="24"/>
  <c r="S69" i="25" s="1"/>
  <c r="S37" i="24"/>
  <c r="S99" i="25" s="1"/>
  <c r="S33" i="24"/>
  <c r="S95" i="25" s="1"/>
  <c r="S28" i="24"/>
  <c r="S90" i="25" s="1"/>
  <c r="S25" i="24"/>
  <c r="S87" i="25" s="1"/>
  <c r="S20" i="24"/>
  <c r="S82" i="25" s="1"/>
  <c r="S16" i="24"/>
  <c r="S78" i="25" s="1"/>
  <c r="S12" i="24"/>
  <c r="S74" i="25" s="1"/>
  <c r="S8" i="24"/>
  <c r="S70" i="25" s="1"/>
  <c r="R50" i="24"/>
  <c r="R112" i="25" s="1"/>
  <c r="T4" i="24"/>
  <c r="T66" i="25" s="1"/>
  <c r="T62" i="24"/>
  <c r="T124" i="25" s="1"/>
  <c r="T58" i="24"/>
  <c r="T120" i="25" s="1"/>
  <c r="T54" i="24"/>
  <c r="T116" i="25" s="1"/>
  <c r="T50" i="24"/>
  <c r="T112" i="25" s="1"/>
  <c r="T46" i="24"/>
  <c r="T108" i="25" s="1"/>
  <c r="T42" i="24"/>
  <c r="T104" i="25" s="1"/>
  <c r="T38" i="24"/>
  <c r="T100" i="25" s="1"/>
  <c r="T34" i="24"/>
  <c r="T96" i="25" s="1"/>
  <c r="T30" i="24"/>
  <c r="T92" i="25" s="1"/>
  <c r="T26" i="24"/>
  <c r="T88" i="25" s="1"/>
  <c r="T22" i="24"/>
  <c r="T84" i="25" s="1"/>
  <c r="T18" i="24"/>
  <c r="T80" i="25" s="1"/>
  <c r="T14" i="24"/>
  <c r="T76" i="25" s="1"/>
  <c r="T6" i="24"/>
  <c r="T68" i="25" s="1"/>
  <c r="T61" i="24"/>
  <c r="T123" i="25" s="1"/>
  <c r="T57" i="24"/>
  <c r="T119" i="25" s="1"/>
  <c r="T53" i="24"/>
  <c r="T115" i="25" s="1"/>
  <c r="T49" i="24"/>
  <c r="T111" i="25" s="1"/>
  <c r="T45" i="24"/>
  <c r="T107" i="25" s="1"/>
  <c r="T41" i="24"/>
  <c r="T103" i="25" s="1"/>
  <c r="T37" i="24"/>
  <c r="T99" i="25" s="1"/>
  <c r="T33" i="24"/>
  <c r="T95" i="25" s="1"/>
  <c r="T29" i="24"/>
  <c r="T91" i="25" s="1"/>
  <c r="T25" i="24"/>
  <c r="T87" i="25" s="1"/>
  <c r="T21" i="24"/>
  <c r="T83" i="25" s="1"/>
  <c r="T17" i="24"/>
  <c r="T79" i="25" s="1"/>
  <c r="T9" i="24"/>
  <c r="T71" i="25" s="1"/>
  <c r="R52" i="24"/>
  <c r="R114" i="25" s="1"/>
  <c r="T5" i="24"/>
  <c r="T67" i="25" s="1"/>
  <c r="T60" i="24"/>
  <c r="T122" i="25" s="1"/>
  <c r="T56" i="24"/>
  <c r="T118" i="25" s="1"/>
  <c r="T52" i="24"/>
  <c r="T114" i="25" s="1"/>
  <c r="T48" i="24"/>
  <c r="T110" i="25" s="1"/>
  <c r="T44" i="24"/>
  <c r="T106" i="25" s="1"/>
  <c r="T40" i="24"/>
  <c r="T102" i="25" s="1"/>
  <c r="T36" i="24"/>
  <c r="T98" i="25" s="1"/>
  <c r="T32" i="24"/>
  <c r="T94" i="25" s="1"/>
  <c r="T28" i="24"/>
  <c r="T90" i="25" s="1"/>
  <c r="T24" i="24"/>
  <c r="T86" i="25" s="1"/>
  <c r="T20" i="24"/>
  <c r="T82" i="25" s="1"/>
  <c r="T16" i="24"/>
  <c r="T78" i="25" s="1"/>
  <c r="T12" i="24"/>
  <c r="T74" i="25" s="1"/>
  <c r="T8" i="24"/>
  <c r="T70" i="25" s="1"/>
  <c r="T63" i="24"/>
  <c r="T125" i="25" s="1"/>
  <c r="T59" i="24"/>
  <c r="T121" i="25" s="1"/>
  <c r="T55" i="24"/>
  <c r="T117" i="25" s="1"/>
  <c r="T51" i="24"/>
  <c r="T113" i="25" s="1"/>
  <c r="T47" i="24"/>
  <c r="T109" i="25" s="1"/>
  <c r="T43" i="24"/>
  <c r="T105" i="25" s="1"/>
  <c r="T39" i="24"/>
  <c r="T101" i="25" s="1"/>
  <c r="T35" i="24"/>
  <c r="T97" i="25" s="1"/>
  <c r="T31" i="24"/>
  <c r="T93" i="25" s="1"/>
  <c r="T27" i="24"/>
  <c r="T89" i="25" s="1"/>
  <c r="T23" i="24"/>
  <c r="T85" i="25" s="1"/>
  <c r="T19" i="24"/>
  <c r="T81" i="25" s="1"/>
  <c r="E11" i="24"/>
  <c r="E73" i="25" s="1"/>
  <c r="E7" i="24"/>
  <c r="E69" i="25" s="1"/>
  <c r="E10" i="24"/>
  <c r="E72" i="25" s="1"/>
  <c r="E13" i="24"/>
  <c r="E75" i="25" s="1"/>
  <c r="E15" i="24"/>
  <c r="E77" i="25" s="1"/>
  <c r="R4" i="24"/>
  <c r="R66" i="25" s="1"/>
  <c r="R5" i="24"/>
  <c r="R67" i="25" s="1"/>
  <c r="R60" i="24"/>
  <c r="R122" i="25" s="1"/>
  <c r="R40" i="24"/>
  <c r="R102" i="25" s="1"/>
  <c r="R38" i="24"/>
  <c r="R100" i="25" s="1"/>
  <c r="R36" i="24"/>
  <c r="R98" i="25" s="1"/>
  <c r="R34" i="24"/>
  <c r="R96" i="25" s="1"/>
  <c r="R32" i="24"/>
  <c r="R94" i="25" s="1"/>
  <c r="R30" i="24"/>
  <c r="R92" i="25" s="1"/>
  <c r="R28" i="24"/>
  <c r="R90" i="25" s="1"/>
  <c r="R26" i="24"/>
  <c r="R88" i="25" s="1"/>
  <c r="R24" i="24"/>
  <c r="R86" i="25" s="1"/>
  <c r="R22" i="24"/>
  <c r="R84" i="25" s="1"/>
  <c r="R20" i="24"/>
  <c r="R82" i="25" s="1"/>
  <c r="R18" i="24"/>
  <c r="R80" i="25" s="1"/>
  <c r="R16" i="24"/>
  <c r="R78" i="25" s="1"/>
  <c r="R14" i="24"/>
  <c r="R76" i="25" s="1"/>
  <c r="R12" i="24"/>
  <c r="R74" i="25" s="1"/>
  <c r="R10" i="24"/>
  <c r="R72" i="25" s="1"/>
  <c r="R8" i="24"/>
  <c r="R70" i="25" s="1"/>
  <c r="R6" i="24"/>
  <c r="R68" i="25" s="1"/>
  <c r="R61" i="24"/>
  <c r="R123" i="25" s="1"/>
  <c r="R57" i="24"/>
  <c r="R119" i="25" s="1"/>
  <c r="R53" i="24"/>
  <c r="R115" i="25" s="1"/>
  <c r="R41" i="24"/>
  <c r="R103" i="25" s="1"/>
  <c r="R15" i="24"/>
  <c r="R77" i="25" s="1"/>
  <c r="R13" i="24"/>
  <c r="R75" i="25" s="1"/>
  <c r="R11" i="24"/>
  <c r="R73" i="25" s="1"/>
  <c r="R9" i="24"/>
  <c r="R71" i="25" s="1"/>
  <c r="R7" i="24"/>
  <c r="R69" i="25" s="1"/>
  <c r="E17" i="24"/>
  <c r="E79" i="25" s="1"/>
  <c r="E19" i="24"/>
  <c r="E81" i="25" s="1"/>
  <c r="E21" i="24"/>
  <c r="E83" i="25" s="1"/>
  <c r="E23" i="24"/>
  <c r="E85" i="25" s="1"/>
  <c r="E25" i="24"/>
  <c r="E87" i="25" s="1"/>
  <c r="Q6" i="24"/>
  <c r="Q68" i="25" s="1"/>
  <c r="M6" i="24"/>
  <c r="M68" i="25" s="1"/>
  <c r="I6" i="24"/>
  <c r="I68" i="25" s="1"/>
  <c r="E6" i="24"/>
  <c r="E68" i="25" s="1"/>
  <c r="P6" i="24"/>
  <c r="P68" i="25" s="1"/>
  <c r="L6" i="24"/>
  <c r="L68" i="25" s="1"/>
  <c r="H6" i="24"/>
  <c r="H68" i="25" s="1"/>
  <c r="D6" i="24"/>
  <c r="D68" i="25" s="1"/>
  <c r="O6" i="24"/>
  <c r="O68" i="25" s="1"/>
  <c r="K6" i="24"/>
  <c r="K68" i="25" s="1"/>
  <c r="G6" i="24"/>
  <c r="G68" i="25" s="1"/>
  <c r="C6" i="24"/>
  <c r="C68" i="25" s="1"/>
  <c r="N6" i="24"/>
  <c r="N68" i="25" s="1"/>
  <c r="J6" i="24"/>
  <c r="J68" i="25" s="1"/>
  <c r="F6" i="24"/>
  <c r="F68" i="25" s="1"/>
  <c r="E27" i="24"/>
  <c r="E89" i="25" s="1"/>
  <c r="E29" i="24"/>
  <c r="E91" i="25" s="1"/>
  <c r="E31" i="24"/>
  <c r="E93" i="25" s="1"/>
  <c r="E33" i="24"/>
  <c r="E95" i="25" s="1"/>
  <c r="E35" i="24"/>
  <c r="E97" i="25" s="1"/>
  <c r="E37" i="24"/>
  <c r="E99" i="25" s="1"/>
  <c r="E39" i="24"/>
  <c r="E101" i="25" s="1"/>
  <c r="F50" i="24"/>
  <c r="F112" i="25" s="1"/>
  <c r="J50" i="24"/>
  <c r="J112" i="25" s="1"/>
  <c r="N50" i="24"/>
  <c r="N112" i="25" s="1"/>
  <c r="M5" i="24"/>
  <c r="M67" i="25" s="1"/>
  <c r="O5" i="24"/>
  <c r="O67" i="25" s="1"/>
  <c r="G5" i="24"/>
  <c r="G67" i="25" s="1"/>
  <c r="Q5" i="24"/>
  <c r="Q67" i="25" s="1"/>
  <c r="P5" i="24"/>
  <c r="P67" i="25" s="1"/>
  <c r="L5" i="24"/>
  <c r="L67" i="25" s="1"/>
  <c r="H5" i="24"/>
  <c r="H67" i="25" s="1"/>
  <c r="D5" i="24"/>
  <c r="D67" i="25" s="1"/>
  <c r="E5" i="24"/>
  <c r="E67" i="25" s="1"/>
  <c r="K5" i="24"/>
  <c r="K67" i="25" s="1"/>
  <c r="C5" i="24"/>
  <c r="C67" i="25" s="1"/>
  <c r="I5" i="24"/>
  <c r="I67" i="25" s="1"/>
  <c r="N5" i="24"/>
  <c r="N67" i="25" s="1"/>
  <c r="J5" i="24"/>
  <c r="J67" i="25" s="1"/>
  <c r="F5" i="24"/>
  <c r="F67" i="25" s="1"/>
  <c r="C63" i="24"/>
  <c r="C125" i="25" s="1"/>
  <c r="C59" i="24"/>
  <c r="C121" i="25" s="1"/>
  <c r="C55" i="24"/>
  <c r="C117" i="25" s="1"/>
  <c r="C62" i="24"/>
  <c r="C124" i="25" s="1"/>
  <c r="C58" i="24"/>
  <c r="C120" i="25" s="1"/>
  <c r="C54" i="24"/>
  <c r="C116" i="25" s="1"/>
  <c r="C43" i="24"/>
  <c r="C105" i="25" s="1"/>
  <c r="C45" i="24"/>
  <c r="C107" i="25" s="1"/>
  <c r="C47" i="24"/>
  <c r="C109" i="25" s="1"/>
  <c r="C49" i="24"/>
  <c r="C111" i="25" s="1"/>
  <c r="C52" i="24"/>
  <c r="C114" i="25" s="1"/>
  <c r="G50" i="24"/>
  <c r="G112" i="25" s="1"/>
  <c r="K50" i="24"/>
  <c r="K112" i="25" s="1"/>
  <c r="O50" i="24"/>
  <c r="O112" i="25" s="1"/>
  <c r="B50" i="24"/>
  <c r="B112" i="25" s="1"/>
  <c r="S50" i="25" s="1"/>
  <c r="B4" i="24"/>
  <c r="B66" i="25" s="1"/>
  <c r="L4" i="24"/>
  <c r="L66" i="25" s="1"/>
  <c r="J4" i="24"/>
  <c r="J66" i="25" s="1"/>
  <c r="H4" i="24"/>
  <c r="H66" i="25" s="1"/>
  <c r="Q4" i="24"/>
  <c r="Q66" i="25" s="1"/>
  <c r="M4" i="24"/>
  <c r="M66" i="25" s="1"/>
  <c r="I4" i="24"/>
  <c r="I66" i="25" s="1"/>
  <c r="E4" i="24"/>
  <c r="E66" i="25" s="1"/>
  <c r="C56" i="24"/>
  <c r="C118" i="25" s="1"/>
  <c r="C42" i="24"/>
  <c r="C104" i="25" s="1"/>
  <c r="C44" i="24"/>
  <c r="C106" i="25" s="1"/>
  <c r="C46" i="24"/>
  <c r="C108" i="25" s="1"/>
  <c r="C48" i="24"/>
  <c r="C110" i="25" s="1"/>
  <c r="C51" i="24"/>
  <c r="C113" i="25" s="1"/>
  <c r="P4" i="24"/>
  <c r="P66" i="25" s="1"/>
  <c r="N4" i="24"/>
  <c r="N66" i="25" s="1"/>
  <c r="F4" i="24"/>
  <c r="F66" i="25" s="1"/>
  <c r="D4" i="24"/>
  <c r="D66" i="25" s="1"/>
  <c r="O4" i="24"/>
  <c r="O66" i="25" s="1"/>
  <c r="K4" i="24"/>
  <c r="K66" i="25" s="1"/>
  <c r="G4" i="24"/>
  <c r="G66" i="25" s="1"/>
  <c r="C50" i="25"/>
  <c r="F50" i="25"/>
  <c r="J50" i="25"/>
  <c r="N50" i="25"/>
  <c r="G50" i="25"/>
  <c r="K50" i="25"/>
  <c r="O50" i="25"/>
  <c r="B50" i="25"/>
  <c r="D50" i="25"/>
  <c r="H50" i="25"/>
  <c r="L50" i="25"/>
  <c r="P50" i="25"/>
  <c r="E50" i="25"/>
  <c r="I50" i="25"/>
  <c r="M50" i="25"/>
  <c r="Q50" i="25"/>
  <c r="N63" i="24"/>
  <c r="N125" i="25" s="1"/>
  <c r="J63" i="24"/>
  <c r="J125" i="25" s="1"/>
  <c r="F63" i="24"/>
  <c r="F125" i="25" s="1"/>
  <c r="B63" i="24"/>
  <c r="B125" i="25" s="1"/>
  <c r="N62" i="24"/>
  <c r="N124" i="25" s="1"/>
  <c r="J62" i="24"/>
  <c r="J124" i="25" s="1"/>
  <c r="F62" i="24"/>
  <c r="F124" i="25" s="1"/>
  <c r="B62" i="24"/>
  <c r="B124" i="25" s="1"/>
  <c r="N61" i="24"/>
  <c r="N123" i="25" s="1"/>
  <c r="J61" i="24"/>
  <c r="J123" i="25" s="1"/>
  <c r="F61" i="24"/>
  <c r="F123" i="25" s="1"/>
  <c r="B61" i="24"/>
  <c r="B123" i="25" s="1"/>
  <c r="N60" i="24"/>
  <c r="N122" i="25" s="1"/>
  <c r="J60" i="24"/>
  <c r="J122" i="25" s="1"/>
  <c r="F60" i="24"/>
  <c r="F122" i="25" s="1"/>
  <c r="B60" i="24"/>
  <c r="B122" i="25" s="1"/>
  <c r="N59" i="24"/>
  <c r="N121" i="25" s="1"/>
  <c r="J59" i="24"/>
  <c r="J121" i="25" s="1"/>
  <c r="F59" i="24"/>
  <c r="F121" i="25" s="1"/>
  <c r="B59" i="24"/>
  <c r="B121" i="25" s="1"/>
  <c r="N58" i="24"/>
  <c r="N120" i="25" s="1"/>
  <c r="J58" i="24"/>
  <c r="J120" i="25" s="1"/>
  <c r="F58" i="24"/>
  <c r="F120" i="25" s="1"/>
  <c r="B58" i="24"/>
  <c r="B120" i="25" s="1"/>
  <c r="N57" i="24"/>
  <c r="N119" i="25" s="1"/>
  <c r="J57" i="24"/>
  <c r="J119" i="25" s="1"/>
  <c r="F57" i="24"/>
  <c r="F119" i="25" s="1"/>
  <c r="B57" i="24"/>
  <c r="B119" i="25" s="1"/>
  <c r="N56" i="24"/>
  <c r="N118" i="25" s="1"/>
  <c r="J56" i="24"/>
  <c r="J118" i="25" s="1"/>
  <c r="F56" i="24"/>
  <c r="F118" i="25" s="1"/>
  <c r="B56" i="24"/>
  <c r="B118" i="25" s="1"/>
  <c r="N55" i="24"/>
  <c r="N117" i="25" s="1"/>
  <c r="J55" i="24"/>
  <c r="J117" i="25" s="1"/>
  <c r="F55" i="24"/>
  <c r="F117" i="25" s="1"/>
  <c r="B55" i="24"/>
  <c r="B117" i="25" s="1"/>
  <c r="N54" i="24"/>
  <c r="N116" i="25" s="1"/>
  <c r="J54" i="24"/>
  <c r="J116" i="25" s="1"/>
  <c r="F54" i="24"/>
  <c r="F116" i="25" s="1"/>
  <c r="B54" i="24"/>
  <c r="B116" i="25" s="1"/>
  <c r="N53" i="24"/>
  <c r="N115" i="25" s="1"/>
  <c r="J53" i="24"/>
  <c r="J115" i="25" s="1"/>
  <c r="F53" i="24"/>
  <c r="F115" i="25" s="1"/>
  <c r="B53" i="24"/>
  <c r="B115" i="25" s="1"/>
  <c r="N52" i="24"/>
  <c r="N114" i="25" s="1"/>
  <c r="J52" i="24"/>
  <c r="J114" i="25" s="1"/>
  <c r="F52" i="24"/>
  <c r="F114" i="25" s="1"/>
  <c r="B52" i="24"/>
  <c r="B114" i="25" s="1"/>
  <c r="N51" i="24"/>
  <c r="N113" i="25" s="1"/>
  <c r="J51" i="24"/>
  <c r="J113" i="25" s="1"/>
  <c r="F51" i="24"/>
  <c r="F113" i="25" s="1"/>
  <c r="B51" i="24"/>
  <c r="B113" i="25" s="1"/>
  <c r="N49" i="24"/>
  <c r="N111" i="25" s="1"/>
  <c r="J49" i="24"/>
  <c r="J111" i="25" s="1"/>
  <c r="F49" i="24"/>
  <c r="F111" i="25" s="1"/>
  <c r="B49" i="24"/>
  <c r="B111" i="25" s="1"/>
  <c r="N48" i="24"/>
  <c r="N110" i="25" s="1"/>
  <c r="J48" i="24"/>
  <c r="J110" i="25" s="1"/>
  <c r="F48" i="24"/>
  <c r="F110" i="25" s="1"/>
  <c r="B48" i="24"/>
  <c r="B110" i="25" s="1"/>
  <c r="N47" i="24"/>
  <c r="N109" i="25" s="1"/>
  <c r="J47" i="24"/>
  <c r="J109" i="25" s="1"/>
  <c r="F47" i="24"/>
  <c r="F109" i="25" s="1"/>
  <c r="B47" i="24"/>
  <c r="B109" i="25" s="1"/>
  <c r="N46" i="24"/>
  <c r="N108" i="25" s="1"/>
  <c r="J46" i="24"/>
  <c r="J108" i="25" s="1"/>
  <c r="F46" i="24"/>
  <c r="F108" i="25" s="1"/>
  <c r="B46" i="24"/>
  <c r="B108" i="25" s="1"/>
  <c r="N45" i="24"/>
  <c r="N107" i="25" s="1"/>
  <c r="J45" i="24"/>
  <c r="J107" i="25" s="1"/>
  <c r="F45" i="24"/>
  <c r="F107" i="25" s="1"/>
  <c r="B45" i="24"/>
  <c r="B107" i="25" s="1"/>
  <c r="N44" i="24"/>
  <c r="N106" i="25" s="1"/>
  <c r="J44" i="24"/>
  <c r="J106" i="25" s="1"/>
  <c r="F44" i="24"/>
  <c r="F106" i="25" s="1"/>
  <c r="B44" i="24"/>
  <c r="B106" i="25" s="1"/>
  <c r="N43" i="24"/>
  <c r="N105" i="25" s="1"/>
  <c r="J43" i="24"/>
  <c r="J105" i="25" s="1"/>
  <c r="F43" i="24"/>
  <c r="F105" i="25" s="1"/>
  <c r="B43" i="24"/>
  <c r="B105" i="25" s="1"/>
  <c r="N42" i="24"/>
  <c r="N104" i="25" s="1"/>
  <c r="J42" i="24"/>
  <c r="J104" i="25" s="1"/>
  <c r="F42" i="24"/>
  <c r="F104" i="25" s="1"/>
  <c r="B42" i="24"/>
  <c r="B104" i="25" s="1"/>
  <c r="N41" i="24"/>
  <c r="N103" i="25" s="1"/>
  <c r="J41" i="24"/>
  <c r="J103" i="25" s="1"/>
  <c r="F41" i="24"/>
  <c r="F103" i="25" s="1"/>
  <c r="P40" i="24"/>
  <c r="P102" i="25" s="1"/>
  <c r="H40" i="24"/>
  <c r="H102" i="25" s="1"/>
  <c r="P39" i="24"/>
  <c r="P101" i="25" s="1"/>
  <c r="H39" i="24"/>
  <c r="H101" i="25" s="1"/>
  <c r="P38" i="24"/>
  <c r="P100" i="25" s="1"/>
  <c r="H38" i="24"/>
  <c r="H100" i="25" s="1"/>
  <c r="P37" i="24"/>
  <c r="P99" i="25" s="1"/>
  <c r="H37" i="24"/>
  <c r="H99" i="25" s="1"/>
  <c r="P36" i="24"/>
  <c r="P98" i="25" s="1"/>
  <c r="Q63" i="24"/>
  <c r="Q125" i="25" s="1"/>
  <c r="M63" i="24"/>
  <c r="M125" i="25" s="1"/>
  <c r="I63" i="24"/>
  <c r="I125" i="25" s="1"/>
  <c r="E63" i="24"/>
  <c r="E125" i="25" s="1"/>
  <c r="Q62" i="24"/>
  <c r="Q124" i="25" s="1"/>
  <c r="M62" i="24"/>
  <c r="M124" i="25" s="1"/>
  <c r="I62" i="24"/>
  <c r="I124" i="25" s="1"/>
  <c r="E62" i="24"/>
  <c r="E124" i="25" s="1"/>
  <c r="Q61" i="24"/>
  <c r="Q123" i="25" s="1"/>
  <c r="M61" i="24"/>
  <c r="M123" i="25" s="1"/>
  <c r="I61" i="24"/>
  <c r="I123" i="25" s="1"/>
  <c r="E61" i="24"/>
  <c r="E123" i="25" s="1"/>
  <c r="Q60" i="24"/>
  <c r="Q122" i="25" s="1"/>
  <c r="M60" i="24"/>
  <c r="M122" i="25" s="1"/>
  <c r="I60" i="24"/>
  <c r="I122" i="25" s="1"/>
  <c r="E60" i="24"/>
  <c r="E122" i="25" s="1"/>
  <c r="Q59" i="24"/>
  <c r="Q121" i="25" s="1"/>
  <c r="M59" i="24"/>
  <c r="M121" i="25" s="1"/>
  <c r="I59" i="24"/>
  <c r="I121" i="25" s="1"/>
  <c r="E59" i="24"/>
  <c r="E121" i="25" s="1"/>
  <c r="Q58" i="24"/>
  <c r="Q120" i="25" s="1"/>
  <c r="M58" i="24"/>
  <c r="M120" i="25" s="1"/>
  <c r="I58" i="24"/>
  <c r="I120" i="25" s="1"/>
  <c r="E58" i="24"/>
  <c r="E120" i="25" s="1"/>
  <c r="Q57" i="24"/>
  <c r="Q119" i="25" s="1"/>
  <c r="M57" i="24"/>
  <c r="M119" i="25" s="1"/>
  <c r="I57" i="24"/>
  <c r="I119" i="25" s="1"/>
  <c r="E57" i="24"/>
  <c r="E119" i="25" s="1"/>
  <c r="Q56" i="24"/>
  <c r="Q118" i="25" s="1"/>
  <c r="M56" i="24"/>
  <c r="M118" i="25" s="1"/>
  <c r="I56" i="24"/>
  <c r="I118" i="25" s="1"/>
  <c r="E56" i="24"/>
  <c r="E118" i="25" s="1"/>
  <c r="Q55" i="24"/>
  <c r="Q117" i="25" s="1"/>
  <c r="M55" i="24"/>
  <c r="M117" i="25" s="1"/>
  <c r="I55" i="24"/>
  <c r="I117" i="25" s="1"/>
  <c r="E55" i="24"/>
  <c r="E117" i="25" s="1"/>
  <c r="Q54" i="24"/>
  <c r="Q116" i="25" s="1"/>
  <c r="M54" i="24"/>
  <c r="M116" i="25" s="1"/>
  <c r="I54" i="24"/>
  <c r="I116" i="25" s="1"/>
  <c r="E54" i="24"/>
  <c r="E116" i="25" s="1"/>
  <c r="Q53" i="24"/>
  <c r="Q115" i="25" s="1"/>
  <c r="M53" i="24"/>
  <c r="M115" i="25" s="1"/>
  <c r="I53" i="24"/>
  <c r="I115" i="25" s="1"/>
  <c r="E53" i="24"/>
  <c r="E115" i="25" s="1"/>
  <c r="Q52" i="24"/>
  <c r="Q114" i="25" s="1"/>
  <c r="M52" i="24"/>
  <c r="M114" i="25" s="1"/>
  <c r="I52" i="24"/>
  <c r="I114" i="25" s="1"/>
  <c r="E52" i="24"/>
  <c r="E114" i="25" s="1"/>
  <c r="Q51" i="24"/>
  <c r="Q113" i="25" s="1"/>
  <c r="M51" i="24"/>
  <c r="M113" i="25" s="1"/>
  <c r="I51" i="24"/>
  <c r="I113" i="25" s="1"/>
  <c r="E51" i="24"/>
  <c r="E113" i="25" s="1"/>
  <c r="Q49" i="24"/>
  <c r="Q111" i="25" s="1"/>
  <c r="M49" i="24"/>
  <c r="M111" i="25" s="1"/>
  <c r="I49" i="24"/>
  <c r="I111" i="25" s="1"/>
  <c r="E49" i="24"/>
  <c r="E111" i="25" s="1"/>
  <c r="Q48" i="24"/>
  <c r="Q110" i="25" s="1"/>
  <c r="M48" i="24"/>
  <c r="M110" i="25" s="1"/>
  <c r="I48" i="24"/>
  <c r="I110" i="25" s="1"/>
  <c r="E48" i="24"/>
  <c r="E110" i="25" s="1"/>
  <c r="Q47" i="24"/>
  <c r="Q109" i="25" s="1"/>
  <c r="M47" i="24"/>
  <c r="M109" i="25" s="1"/>
  <c r="I47" i="24"/>
  <c r="I109" i="25" s="1"/>
  <c r="E47" i="24"/>
  <c r="E109" i="25" s="1"/>
  <c r="Q46" i="24"/>
  <c r="Q108" i="25" s="1"/>
  <c r="M46" i="24"/>
  <c r="M108" i="25" s="1"/>
  <c r="I46" i="24"/>
  <c r="I108" i="25" s="1"/>
  <c r="E46" i="24"/>
  <c r="E108" i="25" s="1"/>
  <c r="Q45" i="24"/>
  <c r="Q107" i="25" s="1"/>
  <c r="M45" i="24"/>
  <c r="M107" i="25" s="1"/>
  <c r="I45" i="24"/>
  <c r="I107" i="25" s="1"/>
  <c r="E45" i="24"/>
  <c r="E107" i="25" s="1"/>
  <c r="Q44" i="24"/>
  <c r="Q106" i="25" s="1"/>
  <c r="M44" i="24"/>
  <c r="M106" i="25" s="1"/>
  <c r="I44" i="24"/>
  <c r="I106" i="25" s="1"/>
  <c r="E44" i="24"/>
  <c r="E106" i="25" s="1"/>
  <c r="Q43" i="24"/>
  <c r="Q105" i="25" s="1"/>
  <c r="M43" i="24"/>
  <c r="M105" i="25" s="1"/>
  <c r="I43" i="24"/>
  <c r="I105" i="25" s="1"/>
  <c r="E43" i="24"/>
  <c r="E105" i="25" s="1"/>
  <c r="Q42" i="24"/>
  <c r="Q104" i="25" s="1"/>
  <c r="M42" i="24"/>
  <c r="M104" i="25" s="1"/>
  <c r="I42" i="24"/>
  <c r="I104" i="25" s="1"/>
  <c r="E42" i="24"/>
  <c r="E104" i="25" s="1"/>
  <c r="Q41" i="24"/>
  <c r="Q103" i="25" s="1"/>
  <c r="M41" i="24"/>
  <c r="M103" i="25" s="1"/>
  <c r="I41" i="24"/>
  <c r="I103" i="25" s="1"/>
  <c r="E41" i="24"/>
  <c r="E103" i="25" s="1"/>
  <c r="N40" i="24"/>
  <c r="N102" i="25" s="1"/>
  <c r="F40" i="24"/>
  <c r="F102" i="25" s="1"/>
  <c r="N39" i="24"/>
  <c r="N101" i="25" s="1"/>
  <c r="F39" i="24"/>
  <c r="F101" i="25" s="1"/>
  <c r="N38" i="24"/>
  <c r="N100" i="25" s="1"/>
  <c r="F38" i="24"/>
  <c r="F100" i="25" s="1"/>
  <c r="N37" i="24"/>
  <c r="N99" i="25" s="1"/>
  <c r="F37" i="24"/>
  <c r="F99" i="25" s="1"/>
  <c r="N36" i="24"/>
  <c r="N98" i="25" s="1"/>
  <c r="H36" i="24"/>
  <c r="H98" i="25" s="1"/>
  <c r="D36" i="24"/>
  <c r="D98" i="25" s="1"/>
  <c r="P35" i="24"/>
  <c r="P97" i="25" s="1"/>
  <c r="L35" i="24"/>
  <c r="L97" i="25" s="1"/>
  <c r="H35" i="24"/>
  <c r="H97" i="25" s="1"/>
  <c r="D35" i="24"/>
  <c r="D97" i="25" s="1"/>
  <c r="P34" i="24"/>
  <c r="P96" i="25" s="1"/>
  <c r="L34" i="24"/>
  <c r="L96" i="25" s="1"/>
  <c r="H34" i="24"/>
  <c r="H96" i="25" s="1"/>
  <c r="D34" i="24"/>
  <c r="D96" i="25" s="1"/>
  <c r="P33" i="24"/>
  <c r="P95" i="25" s="1"/>
  <c r="L33" i="24"/>
  <c r="L95" i="25" s="1"/>
  <c r="H33" i="24"/>
  <c r="H95" i="25" s="1"/>
  <c r="D33" i="24"/>
  <c r="D95" i="25" s="1"/>
  <c r="P32" i="24"/>
  <c r="P94" i="25" s="1"/>
  <c r="L32" i="24"/>
  <c r="L94" i="25" s="1"/>
  <c r="H32" i="24"/>
  <c r="H94" i="25" s="1"/>
  <c r="D32" i="24"/>
  <c r="D94" i="25" s="1"/>
  <c r="P31" i="24"/>
  <c r="P93" i="25" s="1"/>
  <c r="L31" i="24"/>
  <c r="L93" i="25" s="1"/>
  <c r="H31" i="24"/>
  <c r="H93" i="25" s="1"/>
  <c r="D31" i="24"/>
  <c r="D93" i="25" s="1"/>
  <c r="P30" i="24"/>
  <c r="P92" i="25" s="1"/>
  <c r="L30" i="24"/>
  <c r="L92" i="25" s="1"/>
  <c r="H30" i="24"/>
  <c r="H92" i="25" s="1"/>
  <c r="D30" i="24"/>
  <c r="D92" i="25" s="1"/>
  <c r="P29" i="24"/>
  <c r="P91" i="25" s="1"/>
  <c r="L29" i="24"/>
  <c r="L91" i="25" s="1"/>
  <c r="H29" i="24"/>
  <c r="H91" i="25" s="1"/>
  <c r="D29" i="24"/>
  <c r="D91" i="25" s="1"/>
  <c r="P28" i="24"/>
  <c r="P90" i="25" s="1"/>
  <c r="L28" i="24"/>
  <c r="L90" i="25" s="1"/>
  <c r="H28" i="24"/>
  <c r="H90" i="25" s="1"/>
  <c r="D28" i="24"/>
  <c r="D90" i="25" s="1"/>
  <c r="P27" i="24"/>
  <c r="P89" i="25" s="1"/>
  <c r="L27" i="24"/>
  <c r="L89" i="25" s="1"/>
  <c r="H27" i="24"/>
  <c r="H89" i="25" s="1"/>
  <c r="D27" i="24"/>
  <c r="D89" i="25" s="1"/>
  <c r="P26" i="24"/>
  <c r="P88" i="25" s="1"/>
  <c r="L26" i="24"/>
  <c r="L88" i="25" s="1"/>
  <c r="H26" i="24"/>
  <c r="H88" i="25" s="1"/>
  <c r="D26" i="24"/>
  <c r="D88" i="25" s="1"/>
  <c r="P25" i="24"/>
  <c r="P87" i="25" s="1"/>
  <c r="L25" i="24"/>
  <c r="L87" i="25" s="1"/>
  <c r="H25" i="24"/>
  <c r="H87" i="25" s="1"/>
  <c r="D25" i="24"/>
  <c r="D87" i="25" s="1"/>
  <c r="P24" i="24"/>
  <c r="P86" i="25" s="1"/>
  <c r="L24" i="24"/>
  <c r="L86" i="25" s="1"/>
  <c r="H24" i="24"/>
  <c r="H86" i="25" s="1"/>
  <c r="D24" i="24"/>
  <c r="D86" i="25" s="1"/>
  <c r="P23" i="24"/>
  <c r="P85" i="25" s="1"/>
  <c r="L23" i="24"/>
  <c r="L85" i="25" s="1"/>
  <c r="H23" i="24"/>
  <c r="H85" i="25" s="1"/>
  <c r="D23" i="24"/>
  <c r="D85" i="25" s="1"/>
  <c r="P22" i="24"/>
  <c r="P84" i="25" s="1"/>
  <c r="L22" i="24"/>
  <c r="L84" i="25" s="1"/>
  <c r="H22" i="24"/>
  <c r="H84" i="25" s="1"/>
  <c r="D22" i="24"/>
  <c r="D84" i="25" s="1"/>
  <c r="P21" i="24"/>
  <c r="P83" i="25" s="1"/>
  <c r="L21" i="24"/>
  <c r="L83" i="25" s="1"/>
  <c r="H21" i="24"/>
  <c r="H83" i="25" s="1"/>
  <c r="D21" i="24"/>
  <c r="D83" i="25" s="1"/>
  <c r="P20" i="24"/>
  <c r="P82" i="25" s="1"/>
  <c r="L20" i="24"/>
  <c r="L82" i="25" s="1"/>
  <c r="H20" i="24"/>
  <c r="H82" i="25" s="1"/>
  <c r="D20" i="24"/>
  <c r="D82" i="25" s="1"/>
  <c r="P19" i="24"/>
  <c r="P81" i="25" s="1"/>
  <c r="L19" i="24"/>
  <c r="L81" i="25" s="1"/>
  <c r="H19" i="24"/>
  <c r="H81" i="25" s="1"/>
  <c r="D19" i="24"/>
  <c r="D81" i="25" s="1"/>
  <c r="P18" i="24"/>
  <c r="P80" i="25" s="1"/>
  <c r="L18" i="24"/>
  <c r="L80" i="25" s="1"/>
  <c r="H18" i="24"/>
  <c r="H80" i="25" s="1"/>
  <c r="D18" i="24"/>
  <c r="D80" i="25" s="1"/>
  <c r="P17" i="24"/>
  <c r="P79" i="25" s="1"/>
  <c r="L17" i="24"/>
  <c r="L79" i="25" s="1"/>
  <c r="H17" i="24"/>
  <c r="H79" i="25" s="1"/>
  <c r="D17" i="24"/>
  <c r="D79" i="25" s="1"/>
  <c r="P16" i="24"/>
  <c r="P78" i="25" s="1"/>
  <c r="L16" i="24"/>
  <c r="L78" i="25" s="1"/>
  <c r="H16" i="24"/>
  <c r="H78" i="25" s="1"/>
  <c r="D16" i="24"/>
  <c r="D78" i="25" s="1"/>
  <c r="P15" i="24"/>
  <c r="P77" i="25" s="1"/>
  <c r="L15" i="24"/>
  <c r="L77" i="25" s="1"/>
  <c r="H15" i="24"/>
  <c r="H77" i="25" s="1"/>
  <c r="D15" i="24"/>
  <c r="D77" i="25" s="1"/>
  <c r="P14" i="24"/>
  <c r="P76" i="25" s="1"/>
  <c r="L14" i="24"/>
  <c r="L76" i="25" s="1"/>
  <c r="H14" i="24"/>
  <c r="H76" i="25" s="1"/>
  <c r="D14" i="24"/>
  <c r="D76" i="25" s="1"/>
  <c r="P13" i="24"/>
  <c r="P75" i="25" s="1"/>
  <c r="L13" i="24"/>
  <c r="L75" i="25" s="1"/>
  <c r="H13" i="24"/>
  <c r="H75" i="25" s="1"/>
  <c r="D13" i="24"/>
  <c r="D75" i="25" s="1"/>
  <c r="P12" i="24"/>
  <c r="P74" i="25" s="1"/>
  <c r="L12" i="24"/>
  <c r="L74" i="25" s="1"/>
  <c r="H12" i="24"/>
  <c r="H74" i="25" s="1"/>
  <c r="D12" i="24"/>
  <c r="D74" i="25" s="1"/>
  <c r="P11" i="24"/>
  <c r="P73" i="25" s="1"/>
  <c r="L11" i="24"/>
  <c r="L73" i="25" s="1"/>
  <c r="H11" i="24"/>
  <c r="H73" i="25" s="1"/>
  <c r="D11" i="24"/>
  <c r="D73" i="25" s="1"/>
  <c r="P10" i="24"/>
  <c r="P72" i="25" s="1"/>
  <c r="L10" i="24"/>
  <c r="L72" i="25" s="1"/>
  <c r="H10" i="24"/>
  <c r="H72" i="25" s="1"/>
  <c r="D10" i="24"/>
  <c r="D72" i="25" s="1"/>
  <c r="P9" i="24"/>
  <c r="P71" i="25" s="1"/>
  <c r="L9" i="24"/>
  <c r="L71" i="25" s="1"/>
  <c r="H9" i="24"/>
  <c r="H71" i="25" s="1"/>
  <c r="D9" i="24"/>
  <c r="D71" i="25" s="1"/>
  <c r="P8" i="24"/>
  <c r="P70" i="25" s="1"/>
  <c r="L8" i="24"/>
  <c r="L70" i="25" s="1"/>
  <c r="H8" i="24"/>
  <c r="H70" i="25" s="1"/>
  <c r="D8" i="24"/>
  <c r="D70" i="25" s="1"/>
  <c r="P7" i="24"/>
  <c r="P69" i="25" s="1"/>
  <c r="L7" i="24"/>
  <c r="L69" i="25" s="1"/>
  <c r="H7" i="24"/>
  <c r="H69" i="25" s="1"/>
  <c r="D7" i="24"/>
  <c r="D69" i="25" s="1"/>
  <c r="C41" i="24"/>
  <c r="C103" i="25" s="1"/>
  <c r="O40" i="24"/>
  <c r="O102" i="25" s="1"/>
  <c r="K40" i="24"/>
  <c r="K102" i="25" s="1"/>
  <c r="G40" i="24"/>
  <c r="G102" i="25" s="1"/>
  <c r="C40" i="24"/>
  <c r="C102" i="25" s="1"/>
  <c r="O39" i="24"/>
  <c r="O101" i="25" s="1"/>
  <c r="K39" i="24"/>
  <c r="K101" i="25" s="1"/>
  <c r="G39" i="24"/>
  <c r="G101" i="25" s="1"/>
  <c r="C39" i="24"/>
  <c r="C101" i="25" s="1"/>
  <c r="O38" i="24"/>
  <c r="O100" i="25" s="1"/>
  <c r="K38" i="24"/>
  <c r="K100" i="25" s="1"/>
  <c r="G38" i="24"/>
  <c r="G100" i="25" s="1"/>
  <c r="C38" i="24"/>
  <c r="C100" i="25" s="1"/>
  <c r="O37" i="24"/>
  <c r="O99" i="25" s="1"/>
  <c r="K37" i="24"/>
  <c r="K99" i="25" s="1"/>
  <c r="G37" i="24"/>
  <c r="G99" i="25" s="1"/>
  <c r="C37" i="24"/>
  <c r="C99" i="25" s="1"/>
  <c r="O36" i="24"/>
  <c r="O98" i="25" s="1"/>
  <c r="K36" i="24"/>
  <c r="K98" i="25" s="1"/>
  <c r="G36" i="24"/>
  <c r="G98" i="25" s="1"/>
  <c r="C36" i="24"/>
  <c r="C98" i="25" s="1"/>
  <c r="O35" i="24"/>
  <c r="O97" i="25" s="1"/>
  <c r="K35" i="24"/>
  <c r="K97" i="25" s="1"/>
  <c r="G35" i="24"/>
  <c r="G97" i="25" s="1"/>
  <c r="C35" i="24"/>
  <c r="C97" i="25" s="1"/>
  <c r="O34" i="24"/>
  <c r="O96" i="25" s="1"/>
  <c r="K34" i="24"/>
  <c r="K96" i="25" s="1"/>
  <c r="G34" i="24"/>
  <c r="G96" i="25" s="1"/>
  <c r="C34" i="24"/>
  <c r="C96" i="25" s="1"/>
  <c r="O33" i="24"/>
  <c r="O95" i="25" s="1"/>
  <c r="K33" i="24"/>
  <c r="K95" i="25" s="1"/>
  <c r="G33" i="24"/>
  <c r="G95" i="25" s="1"/>
  <c r="C33" i="24"/>
  <c r="C95" i="25" s="1"/>
  <c r="O32" i="24"/>
  <c r="O94" i="25" s="1"/>
  <c r="K32" i="24"/>
  <c r="K94" i="25" s="1"/>
  <c r="G32" i="24"/>
  <c r="G94" i="25" s="1"/>
  <c r="C32" i="24"/>
  <c r="C94" i="25" s="1"/>
  <c r="O31" i="24"/>
  <c r="O93" i="25" s="1"/>
  <c r="K31" i="24"/>
  <c r="K93" i="25" s="1"/>
  <c r="G31" i="24"/>
  <c r="G93" i="25" s="1"/>
  <c r="C31" i="24"/>
  <c r="C93" i="25" s="1"/>
  <c r="O30" i="24"/>
  <c r="O92" i="25" s="1"/>
  <c r="K30" i="24"/>
  <c r="K92" i="25" s="1"/>
  <c r="G30" i="24"/>
  <c r="G92" i="25" s="1"/>
  <c r="C30" i="24"/>
  <c r="C92" i="25" s="1"/>
  <c r="O29" i="24"/>
  <c r="O91" i="25" s="1"/>
  <c r="K29" i="24"/>
  <c r="K91" i="25" s="1"/>
  <c r="G29" i="24"/>
  <c r="G91" i="25" s="1"/>
  <c r="C29" i="24"/>
  <c r="C91" i="25" s="1"/>
  <c r="O28" i="24"/>
  <c r="O90" i="25" s="1"/>
  <c r="K28" i="24"/>
  <c r="K90" i="25" s="1"/>
  <c r="G28" i="24"/>
  <c r="G90" i="25" s="1"/>
  <c r="C28" i="24"/>
  <c r="C90" i="25" s="1"/>
  <c r="O27" i="24"/>
  <c r="O89" i="25" s="1"/>
  <c r="K27" i="24"/>
  <c r="K89" i="25" s="1"/>
  <c r="G27" i="24"/>
  <c r="G89" i="25" s="1"/>
  <c r="C27" i="24"/>
  <c r="C89" i="25" s="1"/>
  <c r="O26" i="24"/>
  <c r="O88" i="25" s="1"/>
  <c r="K26" i="24"/>
  <c r="K88" i="25" s="1"/>
  <c r="G26" i="24"/>
  <c r="G88" i="25" s="1"/>
  <c r="C26" i="24"/>
  <c r="C88" i="25" s="1"/>
  <c r="O25" i="24"/>
  <c r="O87" i="25" s="1"/>
  <c r="K25" i="24"/>
  <c r="K87" i="25" s="1"/>
  <c r="G25" i="24"/>
  <c r="G87" i="25" s="1"/>
  <c r="C25" i="24"/>
  <c r="C87" i="25" s="1"/>
  <c r="O24" i="24"/>
  <c r="O86" i="25" s="1"/>
  <c r="K24" i="24"/>
  <c r="K86" i="25" s="1"/>
  <c r="G24" i="24"/>
  <c r="G86" i="25" s="1"/>
  <c r="C24" i="24"/>
  <c r="C86" i="25" s="1"/>
  <c r="O23" i="24"/>
  <c r="O85" i="25" s="1"/>
  <c r="K23" i="24"/>
  <c r="K85" i="25" s="1"/>
  <c r="G23" i="24"/>
  <c r="G85" i="25" s="1"/>
  <c r="C23" i="24"/>
  <c r="C85" i="25" s="1"/>
  <c r="O22" i="24"/>
  <c r="O84" i="25" s="1"/>
  <c r="K22" i="24"/>
  <c r="K84" i="25" s="1"/>
  <c r="G22" i="24"/>
  <c r="G84" i="25" s="1"/>
  <c r="C22" i="24"/>
  <c r="C84" i="25" s="1"/>
  <c r="O21" i="24"/>
  <c r="O83" i="25" s="1"/>
  <c r="K21" i="24"/>
  <c r="K83" i="25" s="1"/>
  <c r="G21" i="24"/>
  <c r="G83" i="25" s="1"/>
  <c r="C21" i="24"/>
  <c r="C83" i="25" s="1"/>
  <c r="O20" i="24"/>
  <c r="O82" i="25" s="1"/>
  <c r="K20" i="24"/>
  <c r="K82" i="25" s="1"/>
  <c r="G20" i="24"/>
  <c r="G82" i="25" s="1"/>
  <c r="C20" i="24"/>
  <c r="C82" i="25" s="1"/>
  <c r="O19" i="24"/>
  <c r="O81" i="25" s="1"/>
  <c r="K19" i="24"/>
  <c r="K81" i="25" s="1"/>
  <c r="G19" i="24"/>
  <c r="G81" i="25" s="1"/>
  <c r="C19" i="24"/>
  <c r="C81" i="25" s="1"/>
  <c r="O18" i="24"/>
  <c r="O80" i="25" s="1"/>
  <c r="K18" i="24"/>
  <c r="K80" i="25" s="1"/>
  <c r="G18" i="24"/>
  <c r="G80" i="25" s="1"/>
  <c r="C18" i="24"/>
  <c r="C80" i="25" s="1"/>
  <c r="O17" i="24"/>
  <c r="O79" i="25" s="1"/>
  <c r="K17" i="24"/>
  <c r="K79" i="25" s="1"/>
  <c r="G17" i="24"/>
  <c r="G79" i="25" s="1"/>
  <c r="C17" i="24"/>
  <c r="C79" i="25" s="1"/>
  <c r="O16" i="24"/>
  <c r="O78" i="25" s="1"/>
  <c r="K16" i="24"/>
  <c r="K78" i="25" s="1"/>
  <c r="G16" i="24"/>
  <c r="G78" i="25" s="1"/>
  <c r="C16" i="24"/>
  <c r="C78" i="25" s="1"/>
  <c r="O15" i="24"/>
  <c r="O77" i="25" s="1"/>
  <c r="K15" i="24"/>
  <c r="K77" i="25" s="1"/>
  <c r="G15" i="24"/>
  <c r="G77" i="25" s="1"/>
  <c r="C15" i="24"/>
  <c r="C77" i="25" s="1"/>
  <c r="O14" i="24"/>
  <c r="O76" i="25" s="1"/>
  <c r="K14" i="24"/>
  <c r="K76" i="25" s="1"/>
  <c r="G14" i="24"/>
  <c r="G76" i="25" s="1"/>
  <c r="C14" i="24"/>
  <c r="C76" i="25" s="1"/>
  <c r="O13" i="24"/>
  <c r="O75" i="25" s="1"/>
  <c r="K13" i="24"/>
  <c r="K75" i="25" s="1"/>
  <c r="G13" i="24"/>
  <c r="G75" i="25" s="1"/>
  <c r="C13" i="24"/>
  <c r="C75" i="25" s="1"/>
  <c r="O12" i="24"/>
  <c r="O74" i="25" s="1"/>
  <c r="K12" i="24"/>
  <c r="K74" i="25" s="1"/>
  <c r="G12" i="24"/>
  <c r="G74" i="25" s="1"/>
  <c r="C12" i="24"/>
  <c r="C74" i="25" s="1"/>
  <c r="O11" i="24"/>
  <c r="O73" i="25" s="1"/>
  <c r="K11" i="24"/>
  <c r="K73" i="25" s="1"/>
  <c r="G11" i="24"/>
  <c r="G73" i="25" s="1"/>
  <c r="C11" i="24"/>
  <c r="C73" i="25" s="1"/>
  <c r="O10" i="24"/>
  <c r="O72" i="25" s="1"/>
  <c r="K10" i="24"/>
  <c r="K72" i="25" s="1"/>
  <c r="G10" i="24"/>
  <c r="G72" i="25" s="1"/>
  <c r="C10" i="24"/>
  <c r="C72" i="25" s="1"/>
  <c r="O9" i="24"/>
  <c r="O71" i="25" s="1"/>
  <c r="K9" i="24"/>
  <c r="K71" i="25" s="1"/>
  <c r="G9" i="24"/>
  <c r="G71" i="25" s="1"/>
  <c r="C9" i="24"/>
  <c r="C71" i="25" s="1"/>
  <c r="O8" i="24"/>
  <c r="O70" i="25" s="1"/>
  <c r="K8" i="24"/>
  <c r="K70" i="25" s="1"/>
  <c r="G8" i="24"/>
  <c r="G70" i="25" s="1"/>
  <c r="C8" i="24"/>
  <c r="C70" i="25" s="1"/>
  <c r="O7" i="24"/>
  <c r="O69" i="25" s="1"/>
  <c r="K7" i="24"/>
  <c r="K69" i="25" s="1"/>
  <c r="G7" i="24"/>
  <c r="G69" i="25" s="1"/>
  <c r="C7" i="24"/>
  <c r="C69" i="25" s="1"/>
  <c r="P63" i="24"/>
  <c r="P125" i="25" s="1"/>
  <c r="L63" i="24"/>
  <c r="L125" i="25" s="1"/>
  <c r="H63" i="24"/>
  <c r="H125" i="25" s="1"/>
  <c r="D63" i="24"/>
  <c r="D125" i="25" s="1"/>
  <c r="P62" i="24"/>
  <c r="P124" i="25" s="1"/>
  <c r="L62" i="24"/>
  <c r="L124" i="25" s="1"/>
  <c r="H62" i="24"/>
  <c r="H124" i="25" s="1"/>
  <c r="D62" i="24"/>
  <c r="D124" i="25" s="1"/>
  <c r="P61" i="24"/>
  <c r="P123" i="25" s="1"/>
  <c r="L61" i="24"/>
  <c r="L123" i="25" s="1"/>
  <c r="H61" i="24"/>
  <c r="H123" i="25" s="1"/>
  <c r="D61" i="24"/>
  <c r="D123" i="25" s="1"/>
  <c r="P60" i="24"/>
  <c r="P122" i="25" s="1"/>
  <c r="L60" i="24"/>
  <c r="L122" i="25" s="1"/>
  <c r="H60" i="24"/>
  <c r="H122" i="25" s="1"/>
  <c r="D60" i="24"/>
  <c r="D122" i="25" s="1"/>
  <c r="P59" i="24"/>
  <c r="P121" i="25" s="1"/>
  <c r="L59" i="24"/>
  <c r="L121" i="25" s="1"/>
  <c r="H59" i="24"/>
  <c r="H121" i="25" s="1"/>
  <c r="D59" i="24"/>
  <c r="D121" i="25" s="1"/>
  <c r="P58" i="24"/>
  <c r="P120" i="25" s="1"/>
  <c r="L58" i="24"/>
  <c r="L120" i="25" s="1"/>
  <c r="H58" i="24"/>
  <c r="H120" i="25" s="1"/>
  <c r="D58" i="24"/>
  <c r="D120" i="25" s="1"/>
  <c r="P57" i="24"/>
  <c r="P119" i="25" s="1"/>
  <c r="L57" i="24"/>
  <c r="L119" i="25" s="1"/>
  <c r="H57" i="24"/>
  <c r="H119" i="25" s="1"/>
  <c r="D57" i="24"/>
  <c r="D119" i="25" s="1"/>
  <c r="P56" i="24"/>
  <c r="P118" i="25" s="1"/>
  <c r="L56" i="24"/>
  <c r="L118" i="25" s="1"/>
  <c r="H56" i="24"/>
  <c r="H118" i="25" s="1"/>
  <c r="D56" i="24"/>
  <c r="D118" i="25" s="1"/>
  <c r="P55" i="24"/>
  <c r="P117" i="25" s="1"/>
  <c r="L55" i="24"/>
  <c r="L117" i="25" s="1"/>
  <c r="H55" i="24"/>
  <c r="H117" i="25" s="1"/>
  <c r="D55" i="24"/>
  <c r="D117" i="25" s="1"/>
  <c r="P54" i="24"/>
  <c r="P116" i="25" s="1"/>
  <c r="L54" i="24"/>
  <c r="L116" i="25" s="1"/>
  <c r="H54" i="24"/>
  <c r="H116" i="25" s="1"/>
  <c r="D54" i="24"/>
  <c r="D116" i="25" s="1"/>
  <c r="P53" i="24"/>
  <c r="P115" i="25" s="1"/>
  <c r="L53" i="24"/>
  <c r="L115" i="25" s="1"/>
  <c r="H53" i="24"/>
  <c r="H115" i="25" s="1"/>
  <c r="D53" i="24"/>
  <c r="D115" i="25" s="1"/>
  <c r="P52" i="24"/>
  <c r="P114" i="25" s="1"/>
  <c r="L52" i="24"/>
  <c r="L114" i="25" s="1"/>
  <c r="H52" i="24"/>
  <c r="H114" i="25" s="1"/>
  <c r="D52" i="24"/>
  <c r="D114" i="25" s="1"/>
  <c r="P51" i="24"/>
  <c r="P113" i="25" s="1"/>
  <c r="L51" i="24"/>
  <c r="L113" i="25" s="1"/>
  <c r="H51" i="24"/>
  <c r="H113" i="25" s="1"/>
  <c r="D51" i="24"/>
  <c r="D113" i="25" s="1"/>
  <c r="P49" i="24"/>
  <c r="P111" i="25" s="1"/>
  <c r="L49" i="24"/>
  <c r="L111" i="25" s="1"/>
  <c r="H49" i="24"/>
  <c r="H111" i="25" s="1"/>
  <c r="D49" i="24"/>
  <c r="D111" i="25" s="1"/>
  <c r="P48" i="24"/>
  <c r="P110" i="25" s="1"/>
  <c r="L48" i="24"/>
  <c r="L110" i="25" s="1"/>
  <c r="H48" i="24"/>
  <c r="H110" i="25" s="1"/>
  <c r="D48" i="24"/>
  <c r="D110" i="25" s="1"/>
  <c r="P47" i="24"/>
  <c r="P109" i="25" s="1"/>
  <c r="L47" i="24"/>
  <c r="L109" i="25" s="1"/>
  <c r="H47" i="24"/>
  <c r="H109" i="25" s="1"/>
  <c r="D47" i="24"/>
  <c r="D109" i="25" s="1"/>
  <c r="P46" i="24"/>
  <c r="P108" i="25" s="1"/>
  <c r="L46" i="24"/>
  <c r="L108" i="25" s="1"/>
  <c r="H46" i="24"/>
  <c r="H108" i="25" s="1"/>
  <c r="D46" i="24"/>
  <c r="D108" i="25" s="1"/>
  <c r="P45" i="24"/>
  <c r="P107" i="25" s="1"/>
  <c r="L45" i="24"/>
  <c r="L107" i="25" s="1"/>
  <c r="H45" i="24"/>
  <c r="H107" i="25" s="1"/>
  <c r="D45" i="24"/>
  <c r="D107" i="25" s="1"/>
  <c r="P44" i="24"/>
  <c r="P106" i="25" s="1"/>
  <c r="L44" i="24"/>
  <c r="L106" i="25" s="1"/>
  <c r="H44" i="24"/>
  <c r="H106" i="25" s="1"/>
  <c r="D44" i="24"/>
  <c r="D106" i="25" s="1"/>
  <c r="P43" i="24"/>
  <c r="P105" i="25" s="1"/>
  <c r="L43" i="24"/>
  <c r="L105" i="25" s="1"/>
  <c r="H43" i="24"/>
  <c r="H105" i="25" s="1"/>
  <c r="D43" i="24"/>
  <c r="D105" i="25" s="1"/>
  <c r="P42" i="24"/>
  <c r="P104" i="25" s="1"/>
  <c r="L42" i="24"/>
  <c r="L104" i="25" s="1"/>
  <c r="H42" i="24"/>
  <c r="H104" i="25" s="1"/>
  <c r="D42" i="24"/>
  <c r="D104" i="25" s="1"/>
  <c r="P41" i="24"/>
  <c r="P103" i="25" s="1"/>
  <c r="L41" i="24"/>
  <c r="L103" i="25" s="1"/>
  <c r="H41" i="24"/>
  <c r="H103" i="25" s="1"/>
  <c r="D41" i="24"/>
  <c r="D103" i="25" s="1"/>
  <c r="L40" i="24"/>
  <c r="L102" i="25" s="1"/>
  <c r="D40" i="24"/>
  <c r="D102" i="25" s="1"/>
  <c r="L39" i="24"/>
  <c r="L101" i="25" s="1"/>
  <c r="D39" i="24"/>
  <c r="D101" i="25" s="1"/>
  <c r="L38" i="24"/>
  <c r="L100" i="25" s="1"/>
  <c r="D38" i="24"/>
  <c r="D100" i="25" s="1"/>
  <c r="L37" i="24"/>
  <c r="L99" i="25" s="1"/>
  <c r="D37" i="24"/>
  <c r="D99" i="25" s="1"/>
  <c r="L36" i="24"/>
  <c r="L98" i="25" s="1"/>
  <c r="O63" i="24"/>
  <c r="O125" i="25" s="1"/>
  <c r="K63" i="24"/>
  <c r="K125" i="25" s="1"/>
  <c r="G63" i="24"/>
  <c r="G125" i="25" s="1"/>
  <c r="O62" i="24"/>
  <c r="O124" i="25" s="1"/>
  <c r="K62" i="24"/>
  <c r="K124" i="25" s="1"/>
  <c r="G62" i="24"/>
  <c r="G124" i="25" s="1"/>
  <c r="O61" i="24"/>
  <c r="O123" i="25" s="1"/>
  <c r="K61" i="24"/>
  <c r="K123" i="25" s="1"/>
  <c r="G61" i="24"/>
  <c r="G123" i="25" s="1"/>
  <c r="O60" i="24"/>
  <c r="O122" i="25" s="1"/>
  <c r="K60" i="24"/>
  <c r="K122" i="25" s="1"/>
  <c r="G60" i="24"/>
  <c r="G122" i="25" s="1"/>
  <c r="O59" i="24"/>
  <c r="O121" i="25" s="1"/>
  <c r="K59" i="24"/>
  <c r="K121" i="25" s="1"/>
  <c r="G59" i="24"/>
  <c r="G121" i="25" s="1"/>
  <c r="O58" i="24"/>
  <c r="O120" i="25" s="1"/>
  <c r="K58" i="24"/>
  <c r="K120" i="25" s="1"/>
  <c r="G58" i="24"/>
  <c r="G120" i="25" s="1"/>
  <c r="O57" i="24"/>
  <c r="O119" i="25" s="1"/>
  <c r="K57" i="24"/>
  <c r="K119" i="25" s="1"/>
  <c r="G57" i="24"/>
  <c r="G119" i="25" s="1"/>
  <c r="O56" i="24"/>
  <c r="O118" i="25" s="1"/>
  <c r="K56" i="24"/>
  <c r="K118" i="25" s="1"/>
  <c r="G56" i="24"/>
  <c r="G118" i="25" s="1"/>
  <c r="O55" i="24"/>
  <c r="O117" i="25" s="1"/>
  <c r="K55" i="24"/>
  <c r="K117" i="25" s="1"/>
  <c r="G55" i="24"/>
  <c r="G117" i="25" s="1"/>
  <c r="O54" i="24"/>
  <c r="O116" i="25" s="1"/>
  <c r="K54" i="24"/>
  <c r="K116" i="25" s="1"/>
  <c r="G54" i="24"/>
  <c r="G116" i="25" s="1"/>
  <c r="O53" i="24"/>
  <c r="O115" i="25" s="1"/>
  <c r="K53" i="24"/>
  <c r="K115" i="25" s="1"/>
  <c r="G53" i="24"/>
  <c r="G115" i="25" s="1"/>
  <c r="O52" i="24"/>
  <c r="O114" i="25" s="1"/>
  <c r="K52" i="24"/>
  <c r="K114" i="25" s="1"/>
  <c r="G52" i="24"/>
  <c r="G114" i="25" s="1"/>
  <c r="O51" i="24"/>
  <c r="O113" i="25" s="1"/>
  <c r="K51" i="24"/>
  <c r="K113" i="25" s="1"/>
  <c r="G51" i="24"/>
  <c r="G113" i="25" s="1"/>
  <c r="O49" i="24"/>
  <c r="O111" i="25" s="1"/>
  <c r="K49" i="24"/>
  <c r="K111" i="25" s="1"/>
  <c r="G49" i="24"/>
  <c r="G111" i="25" s="1"/>
  <c r="O48" i="24"/>
  <c r="O110" i="25" s="1"/>
  <c r="K48" i="24"/>
  <c r="K110" i="25" s="1"/>
  <c r="G48" i="24"/>
  <c r="G110" i="25" s="1"/>
  <c r="O47" i="24"/>
  <c r="O109" i="25" s="1"/>
  <c r="K47" i="24"/>
  <c r="K109" i="25" s="1"/>
  <c r="G47" i="24"/>
  <c r="G109" i="25" s="1"/>
  <c r="O46" i="24"/>
  <c r="O108" i="25" s="1"/>
  <c r="K46" i="24"/>
  <c r="K108" i="25" s="1"/>
  <c r="G46" i="24"/>
  <c r="G108" i="25" s="1"/>
  <c r="O45" i="24"/>
  <c r="O107" i="25" s="1"/>
  <c r="K45" i="24"/>
  <c r="K107" i="25" s="1"/>
  <c r="G45" i="24"/>
  <c r="G107" i="25" s="1"/>
  <c r="O44" i="24"/>
  <c r="O106" i="25" s="1"/>
  <c r="K44" i="24"/>
  <c r="K106" i="25" s="1"/>
  <c r="G44" i="24"/>
  <c r="G106" i="25" s="1"/>
  <c r="O43" i="24"/>
  <c r="O105" i="25" s="1"/>
  <c r="K43" i="24"/>
  <c r="K105" i="25" s="1"/>
  <c r="G43" i="24"/>
  <c r="G105" i="25" s="1"/>
  <c r="O42" i="24"/>
  <c r="O104" i="25" s="1"/>
  <c r="K42" i="24"/>
  <c r="K104" i="25" s="1"/>
  <c r="G42" i="24"/>
  <c r="G104" i="25" s="1"/>
  <c r="O41" i="24"/>
  <c r="O103" i="25" s="1"/>
  <c r="K41" i="24"/>
  <c r="K103" i="25" s="1"/>
  <c r="G41" i="24"/>
  <c r="G103" i="25" s="1"/>
  <c r="J40" i="24"/>
  <c r="J102" i="25" s="1"/>
  <c r="B40" i="24"/>
  <c r="B102" i="25" s="1"/>
  <c r="J39" i="24"/>
  <c r="J101" i="25" s="1"/>
  <c r="B39" i="24"/>
  <c r="B101" i="25" s="1"/>
  <c r="J38" i="24"/>
  <c r="J100" i="25" s="1"/>
  <c r="B38" i="24"/>
  <c r="B100" i="25" s="1"/>
  <c r="J37" i="24"/>
  <c r="J99" i="25" s="1"/>
  <c r="B37" i="24"/>
  <c r="B99" i="25" s="1"/>
  <c r="J36" i="24"/>
  <c r="J98" i="25" s="1"/>
  <c r="F36" i="24"/>
  <c r="F98" i="25" s="1"/>
  <c r="B36" i="24"/>
  <c r="B98" i="25" s="1"/>
  <c r="N35" i="24"/>
  <c r="N97" i="25" s="1"/>
  <c r="J35" i="24"/>
  <c r="J97" i="25" s="1"/>
  <c r="F35" i="24"/>
  <c r="F97" i="25" s="1"/>
  <c r="B35" i="24"/>
  <c r="B97" i="25" s="1"/>
  <c r="N34" i="24"/>
  <c r="N96" i="25" s="1"/>
  <c r="J34" i="24"/>
  <c r="J96" i="25" s="1"/>
  <c r="F34" i="24"/>
  <c r="F96" i="25" s="1"/>
  <c r="B34" i="24"/>
  <c r="B96" i="25" s="1"/>
  <c r="N33" i="24"/>
  <c r="N95" i="25" s="1"/>
  <c r="J33" i="24"/>
  <c r="J95" i="25" s="1"/>
  <c r="F33" i="24"/>
  <c r="F95" i="25" s="1"/>
  <c r="B33" i="24"/>
  <c r="B95" i="25" s="1"/>
  <c r="N32" i="24"/>
  <c r="N94" i="25" s="1"/>
  <c r="J32" i="24"/>
  <c r="J94" i="25" s="1"/>
  <c r="F32" i="24"/>
  <c r="F94" i="25" s="1"/>
  <c r="B32" i="24"/>
  <c r="B94" i="25" s="1"/>
  <c r="N31" i="24"/>
  <c r="N93" i="25" s="1"/>
  <c r="J31" i="24"/>
  <c r="J93" i="25" s="1"/>
  <c r="F31" i="24"/>
  <c r="F93" i="25" s="1"/>
  <c r="B31" i="24"/>
  <c r="B93" i="25" s="1"/>
  <c r="N30" i="24"/>
  <c r="N92" i="25" s="1"/>
  <c r="J30" i="24"/>
  <c r="J92" i="25" s="1"/>
  <c r="F30" i="24"/>
  <c r="F92" i="25" s="1"/>
  <c r="B30" i="24"/>
  <c r="B92" i="25" s="1"/>
  <c r="N29" i="24"/>
  <c r="N91" i="25" s="1"/>
  <c r="J29" i="24"/>
  <c r="J91" i="25" s="1"/>
  <c r="F29" i="24"/>
  <c r="F91" i="25" s="1"/>
  <c r="B29" i="24"/>
  <c r="B91" i="25" s="1"/>
  <c r="N28" i="24"/>
  <c r="N90" i="25" s="1"/>
  <c r="J28" i="24"/>
  <c r="J90" i="25" s="1"/>
  <c r="F28" i="24"/>
  <c r="F90" i="25" s="1"/>
  <c r="B28" i="24"/>
  <c r="B90" i="25" s="1"/>
  <c r="N27" i="24"/>
  <c r="N89" i="25" s="1"/>
  <c r="J27" i="24"/>
  <c r="J89" i="25" s="1"/>
  <c r="F27" i="24"/>
  <c r="F89" i="25" s="1"/>
  <c r="B27" i="24"/>
  <c r="B89" i="25" s="1"/>
  <c r="N26" i="24"/>
  <c r="N88" i="25" s="1"/>
  <c r="J26" i="24"/>
  <c r="J88" i="25" s="1"/>
  <c r="F26" i="24"/>
  <c r="F88" i="25" s="1"/>
  <c r="B26" i="24"/>
  <c r="B88" i="25" s="1"/>
  <c r="N25" i="24"/>
  <c r="N87" i="25" s="1"/>
  <c r="J25" i="24"/>
  <c r="J87" i="25" s="1"/>
  <c r="F25" i="24"/>
  <c r="F87" i="25" s="1"/>
  <c r="B25" i="24"/>
  <c r="B87" i="25" s="1"/>
  <c r="N24" i="24"/>
  <c r="N86" i="25" s="1"/>
  <c r="J24" i="24"/>
  <c r="J86" i="25" s="1"/>
  <c r="F24" i="24"/>
  <c r="F86" i="25" s="1"/>
  <c r="B24" i="24"/>
  <c r="B86" i="25" s="1"/>
  <c r="N23" i="24"/>
  <c r="N85" i="25" s="1"/>
  <c r="J23" i="24"/>
  <c r="J85" i="25" s="1"/>
  <c r="F23" i="24"/>
  <c r="F85" i="25" s="1"/>
  <c r="B23" i="24"/>
  <c r="B85" i="25" s="1"/>
  <c r="N22" i="24"/>
  <c r="N84" i="25" s="1"/>
  <c r="J22" i="24"/>
  <c r="J84" i="25" s="1"/>
  <c r="F22" i="24"/>
  <c r="F84" i="25" s="1"/>
  <c r="B22" i="24"/>
  <c r="B84" i="25" s="1"/>
  <c r="N21" i="24"/>
  <c r="N83" i="25" s="1"/>
  <c r="J21" i="24"/>
  <c r="J83" i="25" s="1"/>
  <c r="F21" i="24"/>
  <c r="F83" i="25" s="1"/>
  <c r="B21" i="24"/>
  <c r="B83" i="25" s="1"/>
  <c r="N20" i="24"/>
  <c r="N82" i="25" s="1"/>
  <c r="J20" i="24"/>
  <c r="J82" i="25" s="1"/>
  <c r="F20" i="24"/>
  <c r="F82" i="25" s="1"/>
  <c r="B20" i="24"/>
  <c r="B82" i="25" s="1"/>
  <c r="N19" i="24"/>
  <c r="N81" i="25" s="1"/>
  <c r="J19" i="24"/>
  <c r="J81" i="25" s="1"/>
  <c r="F19" i="24"/>
  <c r="F81" i="25" s="1"/>
  <c r="B19" i="24"/>
  <c r="B81" i="25" s="1"/>
  <c r="N18" i="24"/>
  <c r="N80" i="25" s="1"/>
  <c r="J18" i="24"/>
  <c r="J80" i="25" s="1"/>
  <c r="F18" i="24"/>
  <c r="F80" i="25" s="1"/>
  <c r="B18" i="24"/>
  <c r="B80" i="25" s="1"/>
  <c r="N17" i="24"/>
  <c r="N79" i="25" s="1"/>
  <c r="J17" i="24"/>
  <c r="J79" i="25" s="1"/>
  <c r="F17" i="24"/>
  <c r="F79" i="25" s="1"/>
  <c r="B17" i="24"/>
  <c r="B79" i="25" s="1"/>
  <c r="N16" i="24"/>
  <c r="N78" i="25" s="1"/>
  <c r="J16" i="24"/>
  <c r="J78" i="25" s="1"/>
  <c r="F16" i="24"/>
  <c r="F78" i="25" s="1"/>
  <c r="B16" i="24"/>
  <c r="B78" i="25" s="1"/>
  <c r="N15" i="24"/>
  <c r="N77" i="25" s="1"/>
  <c r="J15" i="24"/>
  <c r="J77" i="25" s="1"/>
  <c r="F15" i="24"/>
  <c r="F77" i="25" s="1"/>
  <c r="B15" i="24"/>
  <c r="B77" i="25" s="1"/>
  <c r="N14" i="24"/>
  <c r="N76" i="25" s="1"/>
  <c r="J14" i="24"/>
  <c r="J76" i="25" s="1"/>
  <c r="F14" i="24"/>
  <c r="F76" i="25" s="1"/>
  <c r="B14" i="24"/>
  <c r="B76" i="25" s="1"/>
  <c r="N13" i="24"/>
  <c r="N75" i="25" s="1"/>
  <c r="J13" i="24"/>
  <c r="J75" i="25" s="1"/>
  <c r="F13" i="24"/>
  <c r="F75" i="25" s="1"/>
  <c r="B13" i="24"/>
  <c r="B75" i="25" s="1"/>
  <c r="N12" i="24"/>
  <c r="N74" i="25" s="1"/>
  <c r="J12" i="24"/>
  <c r="J74" i="25" s="1"/>
  <c r="F12" i="24"/>
  <c r="F74" i="25" s="1"/>
  <c r="B12" i="24"/>
  <c r="B74" i="25" s="1"/>
  <c r="N11" i="24"/>
  <c r="N73" i="25" s="1"/>
  <c r="J11" i="24"/>
  <c r="J73" i="25" s="1"/>
  <c r="F11" i="24"/>
  <c r="F73" i="25" s="1"/>
  <c r="B11" i="24"/>
  <c r="B73" i="25" s="1"/>
  <c r="N10" i="24"/>
  <c r="N72" i="25" s="1"/>
  <c r="J10" i="24"/>
  <c r="J72" i="25" s="1"/>
  <c r="F10" i="24"/>
  <c r="F72" i="25" s="1"/>
  <c r="B10" i="24"/>
  <c r="B72" i="25" s="1"/>
  <c r="N9" i="24"/>
  <c r="N71" i="25" s="1"/>
  <c r="J9" i="24"/>
  <c r="J71" i="25" s="1"/>
  <c r="F9" i="24"/>
  <c r="F71" i="25" s="1"/>
  <c r="B9" i="24"/>
  <c r="B71" i="25" s="1"/>
  <c r="N8" i="24"/>
  <c r="N70" i="25" s="1"/>
  <c r="J8" i="24"/>
  <c r="J70" i="25" s="1"/>
  <c r="F8" i="24"/>
  <c r="F70" i="25" s="1"/>
  <c r="B8" i="24"/>
  <c r="B70" i="25" s="1"/>
  <c r="N7" i="24"/>
  <c r="N69" i="25" s="1"/>
  <c r="J7" i="24"/>
  <c r="J69" i="25" s="1"/>
  <c r="F7" i="24"/>
  <c r="F69" i="25" s="1"/>
  <c r="B7" i="24"/>
  <c r="B69" i="25" s="1"/>
  <c r="Q40" i="24"/>
  <c r="Q102" i="25" s="1"/>
  <c r="M40" i="24"/>
  <c r="M102" i="25" s="1"/>
  <c r="I40" i="24"/>
  <c r="I102" i="25" s="1"/>
  <c r="Q39" i="24"/>
  <c r="Q101" i="25" s="1"/>
  <c r="M39" i="24"/>
  <c r="M101" i="25" s="1"/>
  <c r="I39" i="24"/>
  <c r="I101" i="25" s="1"/>
  <c r="Q38" i="24"/>
  <c r="Q100" i="25" s="1"/>
  <c r="M38" i="24"/>
  <c r="M100" i="25" s="1"/>
  <c r="I38" i="24"/>
  <c r="I100" i="25" s="1"/>
  <c r="Q37" i="24"/>
  <c r="Q99" i="25" s="1"/>
  <c r="M37" i="24"/>
  <c r="M99" i="25" s="1"/>
  <c r="I37" i="24"/>
  <c r="I99" i="25" s="1"/>
  <c r="Q36" i="24"/>
  <c r="Q98" i="25" s="1"/>
  <c r="M36" i="24"/>
  <c r="M98" i="25" s="1"/>
  <c r="I36" i="24"/>
  <c r="I98" i="25" s="1"/>
  <c r="Q35" i="24"/>
  <c r="Q97" i="25" s="1"/>
  <c r="M35" i="24"/>
  <c r="M97" i="25" s="1"/>
  <c r="I35" i="24"/>
  <c r="I97" i="25" s="1"/>
  <c r="Q34" i="24"/>
  <c r="Q96" i="25" s="1"/>
  <c r="M34" i="24"/>
  <c r="M96" i="25" s="1"/>
  <c r="I34" i="24"/>
  <c r="I96" i="25" s="1"/>
  <c r="Q33" i="24"/>
  <c r="Q95" i="25" s="1"/>
  <c r="M33" i="24"/>
  <c r="M95" i="25" s="1"/>
  <c r="I33" i="24"/>
  <c r="I95" i="25" s="1"/>
  <c r="Q32" i="24"/>
  <c r="Q94" i="25" s="1"/>
  <c r="M32" i="24"/>
  <c r="M94" i="25" s="1"/>
  <c r="I32" i="24"/>
  <c r="I94" i="25" s="1"/>
  <c r="Q31" i="24"/>
  <c r="Q93" i="25" s="1"/>
  <c r="M31" i="24"/>
  <c r="M93" i="25" s="1"/>
  <c r="I31" i="24"/>
  <c r="I93" i="25" s="1"/>
  <c r="Q30" i="24"/>
  <c r="Q92" i="25" s="1"/>
  <c r="M30" i="24"/>
  <c r="M92" i="25" s="1"/>
  <c r="I30" i="24"/>
  <c r="I92" i="25" s="1"/>
  <c r="Q29" i="24"/>
  <c r="Q91" i="25" s="1"/>
  <c r="M29" i="24"/>
  <c r="M91" i="25" s="1"/>
  <c r="I29" i="24"/>
  <c r="I91" i="25" s="1"/>
  <c r="Q28" i="24"/>
  <c r="Q90" i="25" s="1"/>
  <c r="M28" i="24"/>
  <c r="M90" i="25" s="1"/>
  <c r="I28" i="24"/>
  <c r="I90" i="25" s="1"/>
  <c r="Q27" i="24"/>
  <c r="Q89" i="25" s="1"/>
  <c r="M27" i="24"/>
  <c r="M89" i="25" s="1"/>
  <c r="I27" i="24"/>
  <c r="I89" i="25" s="1"/>
  <c r="Q26" i="24"/>
  <c r="Q88" i="25" s="1"/>
  <c r="M26" i="24"/>
  <c r="M88" i="25" s="1"/>
  <c r="I26" i="24"/>
  <c r="I88" i="25" s="1"/>
  <c r="Q25" i="24"/>
  <c r="Q87" i="25" s="1"/>
  <c r="M25" i="24"/>
  <c r="M87" i="25" s="1"/>
  <c r="I25" i="24"/>
  <c r="I87" i="25" s="1"/>
  <c r="Q24" i="24"/>
  <c r="Q86" i="25" s="1"/>
  <c r="M24" i="24"/>
  <c r="M86" i="25" s="1"/>
  <c r="I24" i="24"/>
  <c r="I86" i="25" s="1"/>
  <c r="Q23" i="24"/>
  <c r="Q85" i="25" s="1"/>
  <c r="M23" i="24"/>
  <c r="M85" i="25" s="1"/>
  <c r="I23" i="24"/>
  <c r="I85" i="25" s="1"/>
  <c r="Q22" i="24"/>
  <c r="Q84" i="25" s="1"/>
  <c r="M22" i="24"/>
  <c r="M84" i="25" s="1"/>
  <c r="I22" i="24"/>
  <c r="I84" i="25" s="1"/>
  <c r="Q21" i="24"/>
  <c r="Q83" i="25" s="1"/>
  <c r="M21" i="24"/>
  <c r="M83" i="25" s="1"/>
  <c r="I21" i="24"/>
  <c r="I83" i="25" s="1"/>
  <c r="Q20" i="24"/>
  <c r="Q82" i="25" s="1"/>
  <c r="M20" i="24"/>
  <c r="M82" i="25" s="1"/>
  <c r="I20" i="24"/>
  <c r="I82" i="25" s="1"/>
  <c r="Q19" i="24"/>
  <c r="Q81" i="25" s="1"/>
  <c r="M19" i="24"/>
  <c r="M81" i="25" s="1"/>
  <c r="I19" i="24"/>
  <c r="I81" i="25" s="1"/>
  <c r="Q18" i="24"/>
  <c r="Q80" i="25" s="1"/>
  <c r="M18" i="24"/>
  <c r="M80" i="25" s="1"/>
  <c r="I18" i="24"/>
  <c r="I80" i="25" s="1"/>
  <c r="Q17" i="24"/>
  <c r="Q79" i="25" s="1"/>
  <c r="M17" i="24"/>
  <c r="M79" i="25" s="1"/>
  <c r="I17" i="24"/>
  <c r="I79" i="25" s="1"/>
  <c r="Q16" i="24"/>
  <c r="Q78" i="25" s="1"/>
  <c r="M16" i="24"/>
  <c r="M78" i="25" s="1"/>
  <c r="I16" i="24"/>
  <c r="I78" i="25" s="1"/>
  <c r="Q15" i="24"/>
  <c r="Q77" i="25" s="1"/>
  <c r="M15" i="24"/>
  <c r="M77" i="25" s="1"/>
  <c r="I15" i="24"/>
  <c r="I77" i="25" s="1"/>
  <c r="Q14" i="24"/>
  <c r="Q76" i="25" s="1"/>
  <c r="M14" i="24"/>
  <c r="M76" i="25" s="1"/>
  <c r="I14" i="24"/>
  <c r="I76" i="25" s="1"/>
  <c r="Q13" i="24"/>
  <c r="Q75" i="25" s="1"/>
  <c r="M13" i="24"/>
  <c r="M75" i="25" s="1"/>
  <c r="I13" i="24"/>
  <c r="I75" i="25" s="1"/>
  <c r="Q12" i="24"/>
  <c r="Q74" i="25" s="1"/>
  <c r="M12" i="24"/>
  <c r="M74" i="25" s="1"/>
  <c r="I12" i="24"/>
  <c r="I74" i="25" s="1"/>
  <c r="Q11" i="24"/>
  <c r="Q73" i="25" s="1"/>
  <c r="M11" i="24"/>
  <c r="M73" i="25" s="1"/>
  <c r="I11" i="24"/>
  <c r="I73" i="25" s="1"/>
  <c r="Q10" i="24"/>
  <c r="Q72" i="25" s="1"/>
  <c r="M10" i="24"/>
  <c r="M72" i="25" s="1"/>
  <c r="I10" i="24"/>
  <c r="I72" i="25" s="1"/>
  <c r="Q9" i="24"/>
  <c r="Q71" i="25" s="1"/>
  <c r="M9" i="24"/>
  <c r="M71" i="25" s="1"/>
  <c r="I9" i="24"/>
  <c r="I71" i="25" s="1"/>
  <c r="Q8" i="24"/>
  <c r="Q70" i="25" s="1"/>
  <c r="M8" i="24"/>
  <c r="M70" i="25" s="1"/>
  <c r="I8" i="24"/>
  <c r="I70" i="25" s="1"/>
  <c r="Q7" i="24"/>
  <c r="Q69" i="25" s="1"/>
  <c r="M7" i="24"/>
  <c r="M69" i="25" s="1"/>
  <c r="I7" i="24"/>
  <c r="I69" i="25" s="1"/>
  <c r="U7" i="25" l="1"/>
  <c r="U10" i="25"/>
  <c r="U11" i="25"/>
  <c r="U13" i="25"/>
  <c r="U4" i="25"/>
  <c r="U5" i="25"/>
  <c r="U12" i="25"/>
  <c r="U9" i="25"/>
  <c r="S49" i="25"/>
  <c r="U8" i="25"/>
  <c r="U6" i="25"/>
  <c r="U14" i="25"/>
  <c r="S39" i="25"/>
  <c r="S47" i="25"/>
  <c r="S44" i="25"/>
  <c r="S41" i="25"/>
  <c r="S42" i="25"/>
  <c r="S51" i="25"/>
  <c r="S52" i="25"/>
  <c r="S53" i="25"/>
  <c r="S43" i="25"/>
  <c r="S40" i="25"/>
  <c r="S48" i="25"/>
  <c r="S45" i="25"/>
  <c r="S46" i="25"/>
  <c r="U55" i="25"/>
  <c r="U57" i="25"/>
  <c r="U60" i="25"/>
  <c r="U61" i="25"/>
  <c r="S59" i="25"/>
  <c r="S54" i="25"/>
  <c r="S62" i="25"/>
  <c r="S61" i="25"/>
  <c r="S60" i="25"/>
  <c r="S55" i="25"/>
  <c r="S63" i="25"/>
  <c r="S58" i="25"/>
  <c r="S57" i="25"/>
  <c r="S56" i="25"/>
  <c r="U50" i="25"/>
  <c r="U63" i="25"/>
  <c r="U58" i="25"/>
  <c r="U52" i="25"/>
  <c r="U59" i="25"/>
  <c r="U56" i="25"/>
  <c r="U62" i="25"/>
  <c r="U49" i="25"/>
  <c r="U51" i="25"/>
  <c r="U54" i="25"/>
  <c r="U53" i="25"/>
  <c r="R50" i="25"/>
  <c r="U15" i="25"/>
  <c r="U23" i="25"/>
  <c r="U31" i="25"/>
  <c r="U16" i="25"/>
  <c r="U24" i="25"/>
  <c r="U32" i="25"/>
  <c r="U39" i="25"/>
  <c r="U43" i="25"/>
  <c r="U47" i="25"/>
  <c r="U21" i="25"/>
  <c r="U29" i="25"/>
  <c r="U37" i="25"/>
  <c r="U22" i="25"/>
  <c r="U30" i="25"/>
  <c r="U38" i="25"/>
  <c r="U42" i="25"/>
  <c r="U46" i="25"/>
  <c r="U19" i="25"/>
  <c r="U27" i="25"/>
  <c r="U35" i="25"/>
  <c r="U20" i="25"/>
  <c r="U28" i="25"/>
  <c r="U36" i="25"/>
  <c r="U41" i="25"/>
  <c r="U45" i="25"/>
  <c r="U17" i="25"/>
  <c r="U25" i="25"/>
  <c r="U33" i="25"/>
  <c r="U18" i="25"/>
  <c r="U26" i="25"/>
  <c r="U34" i="25"/>
  <c r="U40" i="25"/>
  <c r="U44" i="25"/>
  <c r="U48" i="25"/>
  <c r="S8" i="25"/>
  <c r="S16" i="25"/>
  <c r="S25" i="25"/>
  <c r="S33" i="25"/>
  <c r="S7" i="25"/>
  <c r="S15" i="25"/>
  <c r="S23" i="25"/>
  <c r="S31" i="25"/>
  <c r="S38" i="25"/>
  <c r="S14" i="25"/>
  <c r="S22" i="25"/>
  <c r="S30" i="25"/>
  <c r="S4" i="25"/>
  <c r="S13" i="25"/>
  <c r="S21" i="25"/>
  <c r="S29" i="25"/>
  <c r="S36" i="25"/>
  <c r="T7" i="25"/>
  <c r="T10" i="25"/>
  <c r="T11" i="25"/>
  <c r="T13" i="25"/>
  <c r="T15" i="25"/>
  <c r="S12" i="25"/>
  <c r="S20" i="25"/>
  <c r="S28" i="25"/>
  <c r="S37" i="25"/>
  <c r="S11" i="25"/>
  <c r="S19" i="25"/>
  <c r="S26" i="25"/>
  <c r="S34" i="25"/>
  <c r="S6" i="25"/>
  <c r="S10" i="25"/>
  <c r="S18" i="25"/>
  <c r="S27" i="25"/>
  <c r="S35" i="25"/>
  <c r="S9" i="25"/>
  <c r="S17" i="25"/>
  <c r="S24" i="25"/>
  <c r="S32" i="25"/>
  <c r="S5" i="25"/>
  <c r="R37" i="25"/>
  <c r="R39" i="25"/>
  <c r="R17" i="25"/>
  <c r="R19" i="25"/>
  <c r="R21" i="25"/>
  <c r="R23" i="25"/>
  <c r="R25" i="25"/>
  <c r="R27" i="25"/>
  <c r="R29" i="25"/>
  <c r="R31" i="25"/>
  <c r="R33" i="25"/>
  <c r="R35" i="25"/>
  <c r="R42" i="25"/>
  <c r="R43" i="25"/>
  <c r="R44" i="25"/>
  <c r="R45" i="25"/>
  <c r="R46" i="25"/>
  <c r="R47" i="25"/>
  <c r="R48" i="25"/>
  <c r="R49" i="25"/>
  <c r="R51" i="25"/>
  <c r="R52" i="25"/>
  <c r="R54" i="25"/>
  <c r="R55" i="25"/>
  <c r="R56" i="25"/>
  <c r="R58" i="25"/>
  <c r="R59" i="25"/>
  <c r="R62" i="25"/>
  <c r="R63" i="25"/>
  <c r="T19" i="25"/>
  <c r="T27" i="25"/>
  <c r="T35" i="25"/>
  <c r="T43" i="25"/>
  <c r="T51" i="25"/>
  <c r="T59" i="25"/>
  <c r="T8" i="25"/>
  <c r="T16" i="25"/>
  <c r="T24" i="25"/>
  <c r="T32" i="25"/>
  <c r="T40" i="25"/>
  <c r="T48" i="25"/>
  <c r="T56" i="25"/>
  <c r="T5" i="25"/>
  <c r="T9" i="25"/>
  <c r="T21" i="25"/>
  <c r="T29" i="25"/>
  <c r="T37" i="25"/>
  <c r="T45" i="25"/>
  <c r="T53" i="25"/>
  <c r="T61" i="25"/>
  <c r="T14" i="25"/>
  <c r="T22" i="25"/>
  <c r="T30" i="25"/>
  <c r="T38" i="25"/>
  <c r="T46" i="25"/>
  <c r="T54" i="25"/>
  <c r="T62" i="25"/>
  <c r="T23" i="25"/>
  <c r="T31" i="25"/>
  <c r="T39" i="25"/>
  <c r="T47" i="25"/>
  <c r="T55" i="25"/>
  <c r="T63" i="25"/>
  <c r="T12" i="25"/>
  <c r="T20" i="25"/>
  <c r="T28" i="25"/>
  <c r="T36" i="25"/>
  <c r="T44" i="25"/>
  <c r="T52" i="25"/>
  <c r="T60" i="25"/>
  <c r="T17" i="25"/>
  <c r="T25" i="25"/>
  <c r="T33" i="25"/>
  <c r="T41" i="25"/>
  <c r="T49" i="25"/>
  <c r="T57" i="25"/>
  <c r="T6" i="25"/>
  <c r="T18" i="25"/>
  <c r="T26" i="25"/>
  <c r="T34" i="25"/>
  <c r="T42" i="25"/>
  <c r="T50" i="25"/>
  <c r="T50" i="28" s="1"/>
  <c r="T50" i="29" s="1"/>
  <c r="T58" i="25"/>
  <c r="T4" i="25"/>
  <c r="R9" i="25"/>
  <c r="R13" i="25"/>
  <c r="R41" i="25"/>
  <c r="R53" i="25"/>
  <c r="R61" i="25"/>
  <c r="R8" i="25"/>
  <c r="R12" i="25"/>
  <c r="R16" i="25"/>
  <c r="R20" i="25"/>
  <c r="R24" i="25"/>
  <c r="R28" i="25"/>
  <c r="R32" i="25"/>
  <c r="R36" i="25"/>
  <c r="R40" i="25"/>
  <c r="R5" i="25"/>
  <c r="R7" i="25"/>
  <c r="R11" i="25"/>
  <c r="R15" i="25"/>
  <c r="R57" i="25"/>
  <c r="R6" i="25"/>
  <c r="R10" i="25"/>
  <c r="R14" i="25"/>
  <c r="R18" i="25"/>
  <c r="R22" i="25"/>
  <c r="R26" i="25"/>
  <c r="R30" i="25"/>
  <c r="R34" i="25"/>
  <c r="R38" i="25"/>
  <c r="R60" i="25"/>
  <c r="R4" i="25"/>
  <c r="J6" i="25"/>
  <c r="C6" i="25"/>
  <c r="K6" i="25"/>
  <c r="D6" i="25"/>
  <c r="L6" i="25"/>
  <c r="E6" i="25"/>
  <c r="M6" i="25"/>
  <c r="F6" i="25"/>
  <c r="N6" i="25"/>
  <c r="G6" i="25"/>
  <c r="O6" i="25"/>
  <c r="H6" i="25"/>
  <c r="P6" i="25"/>
  <c r="I6" i="25"/>
  <c r="Q6" i="25"/>
  <c r="B6" i="25"/>
  <c r="F5" i="25"/>
  <c r="N5" i="25"/>
  <c r="C5" i="25"/>
  <c r="E5" i="25"/>
  <c r="H5" i="25"/>
  <c r="P5" i="25"/>
  <c r="G5" i="25"/>
  <c r="M5" i="25"/>
  <c r="J5" i="25"/>
  <c r="I5" i="25"/>
  <c r="K5" i="25"/>
  <c r="D5" i="25"/>
  <c r="L5" i="25"/>
  <c r="Q5" i="25"/>
  <c r="O5" i="25"/>
  <c r="B5" i="25"/>
  <c r="E39" i="25"/>
  <c r="E40" i="25"/>
  <c r="M50" i="28"/>
  <c r="M50" i="29" s="1"/>
  <c r="K4" i="25"/>
  <c r="D4" i="25"/>
  <c r="N4" i="25"/>
  <c r="E4" i="25"/>
  <c r="M4" i="25"/>
  <c r="H4" i="25"/>
  <c r="L4" i="25"/>
  <c r="G4" i="25"/>
  <c r="O4" i="25"/>
  <c r="F4" i="25"/>
  <c r="P4" i="25"/>
  <c r="I4" i="25"/>
  <c r="Q4" i="25"/>
  <c r="J4" i="25"/>
  <c r="B4" i="25"/>
  <c r="C4" i="25"/>
  <c r="M7" i="25"/>
  <c r="Q8" i="25"/>
  <c r="I10" i="25"/>
  <c r="M11" i="25"/>
  <c r="Q12" i="25"/>
  <c r="I7" i="25"/>
  <c r="Q7" i="25"/>
  <c r="M8" i="25"/>
  <c r="I9" i="25"/>
  <c r="Q9" i="25"/>
  <c r="M10" i="25"/>
  <c r="I11" i="25"/>
  <c r="Q11" i="25"/>
  <c r="M12" i="25"/>
  <c r="I13" i="25"/>
  <c r="Q13" i="25"/>
  <c r="M14" i="25"/>
  <c r="I15" i="25"/>
  <c r="Q15" i="25"/>
  <c r="M16" i="25"/>
  <c r="I17" i="25"/>
  <c r="Q17" i="25"/>
  <c r="M18" i="25"/>
  <c r="I19" i="25"/>
  <c r="Q19" i="25"/>
  <c r="M20" i="25"/>
  <c r="I21" i="25"/>
  <c r="Q21" i="25"/>
  <c r="M22" i="25"/>
  <c r="I23" i="25"/>
  <c r="Q23" i="25"/>
  <c r="M24" i="25"/>
  <c r="I25" i="25"/>
  <c r="Q25" i="25"/>
  <c r="M26" i="25"/>
  <c r="I27" i="25"/>
  <c r="Q27" i="25"/>
  <c r="M28" i="25"/>
  <c r="I29" i="25"/>
  <c r="Q29" i="25"/>
  <c r="M30" i="25"/>
  <c r="I31" i="25"/>
  <c r="Q31" i="25"/>
  <c r="M32" i="25"/>
  <c r="I33" i="25"/>
  <c r="Q33" i="25"/>
  <c r="M34" i="25"/>
  <c r="I35" i="25"/>
  <c r="Q35" i="25"/>
  <c r="M36" i="25"/>
  <c r="I37" i="25"/>
  <c r="Q37" i="25"/>
  <c r="M38" i="25"/>
  <c r="I39" i="25"/>
  <c r="Q39" i="25"/>
  <c r="M40" i="25"/>
  <c r="B7" i="25"/>
  <c r="J7" i="25"/>
  <c r="B8" i="25"/>
  <c r="J8" i="25"/>
  <c r="B9" i="25"/>
  <c r="J9" i="25"/>
  <c r="B10" i="25"/>
  <c r="J10" i="25"/>
  <c r="B11" i="25"/>
  <c r="J11" i="25"/>
  <c r="B12" i="25"/>
  <c r="J12" i="25"/>
  <c r="B13" i="25"/>
  <c r="J13" i="25"/>
  <c r="B14" i="25"/>
  <c r="J14" i="25"/>
  <c r="B15" i="25"/>
  <c r="J15" i="25"/>
  <c r="B16" i="25"/>
  <c r="J16" i="25"/>
  <c r="B17" i="25"/>
  <c r="J17" i="25"/>
  <c r="B18" i="25"/>
  <c r="J18" i="25"/>
  <c r="B19" i="25"/>
  <c r="J19" i="25"/>
  <c r="B20" i="25"/>
  <c r="J20" i="25"/>
  <c r="B21" i="25"/>
  <c r="J21" i="25"/>
  <c r="B22" i="25"/>
  <c r="J22" i="25"/>
  <c r="B23" i="25"/>
  <c r="J23" i="25"/>
  <c r="B24" i="25"/>
  <c r="J24" i="25"/>
  <c r="B25" i="25"/>
  <c r="J25" i="25"/>
  <c r="B26" i="25"/>
  <c r="J26" i="25"/>
  <c r="B27" i="25"/>
  <c r="J27" i="25"/>
  <c r="B28" i="25"/>
  <c r="J28" i="25"/>
  <c r="B29" i="25"/>
  <c r="J29" i="25"/>
  <c r="B30" i="25"/>
  <c r="J30" i="25"/>
  <c r="B31" i="25"/>
  <c r="J31" i="25"/>
  <c r="B32" i="25"/>
  <c r="J32" i="25"/>
  <c r="B33" i="25"/>
  <c r="J33" i="25"/>
  <c r="B34" i="25"/>
  <c r="J34" i="25"/>
  <c r="B35" i="25"/>
  <c r="J35" i="25"/>
  <c r="B36" i="25"/>
  <c r="J36" i="25"/>
  <c r="J37" i="25"/>
  <c r="J38" i="25"/>
  <c r="J39" i="25"/>
  <c r="J40" i="25"/>
  <c r="K41" i="25"/>
  <c r="G42" i="25"/>
  <c r="O42" i="25"/>
  <c r="K43" i="25"/>
  <c r="G44" i="25"/>
  <c r="O44" i="25"/>
  <c r="K45" i="25"/>
  <c r="G46" i="25"/>
  <c r="O46" i="25"/>
  <c r="K47" i="25"/>
  <c r="G48" i="25"/>
  <c r="O48" i="25"/>
  <c r="K49" i="25"/>
  <c r="G51" i="25"/>
  <c r="O51" i="25"/>
  <c r="K52" i="25"/>
  <c r="G53" i="25"/>
  <c r="O53" i="25"/>
  <c r="K54" i="25"/>
  <c r="G55" i="25"/>
  <c r="O55" i="25"/>
  <c r="K56" i="25"/>
  <c r="G57" i="25"/>
  <c r="O57" i="25"/>
  <c r="K58" i="25"/>
  <c r="G59" i="25"/>
  <c r="O59" i="25"/>
  <c r="K60" i="25"/>
  <c r="G61" i="25"/>
  <c r="O61" i="25"/>
  <c r="K62" i="25"/>
  <c r="G63" i="25"/>
  <c r="O63" i="25"/>
  <c r="D37" i="25"/>
  <c r="D38" i="25"/>
  <c r="D39" i="25"/>
  <c r="D40" i="25"/>
  <c r="D41" i="25"/>
  <c r="L41" i="25"/>
  <c r="D42" i="25"/>
  <c r="L42" i="25"/>
  <c r="D43" i="25"/>
  <c r="L43" i="25"/>
  <c r="D44" i="25"/>
  <c r="L44" i="25"/>
  <c r="D45" i="25"/>
  <c r="L45" i="25"/>
  <c r="D46" i="25"/>
  <c r="L46" i="25"/>
  <c r="D47" i="25"/>
  <c r="L47" i="25"/>
  <c r="D48" i="25"/>
  <c r="L48" i="25"/>
  <c r="D49" i="25"/>
  <c r="L49" i="25"/>
  <c r="D51" i="25"/>
  <c r="L51" i="25"/>
  <c r="D52" i="25"/>
  <c r="L52" i="25"/>
  <c r="D53" i="25"/>
  <c r="L53" i="25"/>
  <c r="D54" i="25"/>
  <c r="L54" i="25"/>
  <c r="D55" i="25"/>
  <c r="L55" i="25"/>
  <c r="D56" i="25"/>
  <c r="L56" i="25"/>
  <c r="D57" i="25"/>
  <c r="L57" i="25"/>
  <c r="D58" i="25"/>
  <c r="L58" i="25"/>
  <c r="D59" i="25"/>
  <c r="L59" i="25"/>
  <c r="D60" i="25"/>
  <c r="L60" i="25"/>
  <c r="D61" i="25"/>
  <c r="L61" i="25"/>
  <c r="D62" i="25"/>
  <c r="L62" i="25"/>
  <c r="D63" i="25"/>
  <c r="L63" i="25"/>
  <c r="C7" i="25"/>
  <c r="K7" i="25"/>
  <c r="C8" i="25"/>
  <c r="K8" i="25"/>
  <c r="C9" i="25"/>
  <c r="K9" i="25"/>
  <c r="C10" i="25"/>
  <c r="K10" i="25"/>
  <c r="C11" i="25"/>
  <c r="K11" i="25"/>
  <c r="C12" i="25"/>
  <c r="K12" i="25"/>
  <c r="C13" i="25"/>
  <c r="K13" i="25"/>
  <c r="C14" i="25"/>
  <c r="K14" i="25"/>
  <c r="C15" i="25"/>
  <c r="K15" i="25"/>
  <c r="C16" i="25"/>
  <c r="K16" i="25"/>
  <c r="C17" i="25"/>
  <c r="K17" i="25"/>
  <c r="C18" i="25"/>
  <c r="K18" i="25"/>
  <c r="C19" i="25"/>
  <c r="K19" i="25"/>
  <c r="C20" i="25"/>
  <c r="K20" i="25"/>
  <c r="C21" i="25"/>
  <c r="K21" i="25"/>
  <c r="C22" i="25"/>
  <c r="K22" i="25"/>
  <c r="C23" i="25"/>
  <c r="K23" i="25"/>
  <c r="C24" i="25"/>
  <c r="K24" i="25"/>
  <c r="C25" i="25"/>
  <c r="K25" i="25"/>
  <c r="C26" i="25"/>
  <c r="K26" i="25"/>
  <c r="C27" i="25"/>
  <c r="K27" i="25"/>
  <c r="C28" i="25"/>
  <c r="K28" i="25"/>
  <c r="C29" i="25"/>
  <c r="K29" i="25"/>
  <c r="C30" i="25"/>
  <c r="K30" i="25"/>
  <c r="C31" i="25"/>
  <c r="K31" i="25"/>
  <c r="C32" i="25"/>
  <c r="K32" i="25"/>
  <c r="C33" i="25"/>
  <c r="K33" i="25"/>
  <c r="C34" i="25"/>
  <c r="K34" i="25"/>
  <c r="C35" i="25"/>
  <c r="K35" i="25"/>
  <c r="C36" i="25"/>
  <c r="K36" i="25"/>
  <c r="C37" i="25"/>
  <c r="K37" i="25"/>
  <c r="C38" i="25"/>
  <c r="K38" i="25"/>
  <c r="C39" i="25"/>
  <c r="K39" i="25"/>
  <c r="C40" i="25"/>
  <c r="K40" i="25"/>
  <c r="C41" i="25"/>
  <c r="H7" i="25"/>
  <c r="P7" i="25"/>
  <c r="H8" i="25"/>
  <c r="P8" i="25"/>
  <c r="H9" i="25"/>
  <c r="P9" i="25"/>
  <c r="H10" i="25"/>
  <c r="P10" i="25"/>
  <c r="H11" i="25"/>
  <c r="P11" i="25"/>
  <c r="H12" i="25"/>
  <c r="P12" i="25"/>
  <c r="H13" i="25"/>
  <c r="P13" i="25"/>
  <c r="H14" i="25"/>
  <c r="P14" i="25"/>
  <c r="H15" i="25"/>
  <c r="P15" i="25"/>
  <c r="H16" i="25"/>
  <c r="P16" i="25"/>
  <c r="H17" i="25"/>
  <c r="P17" i="25"/>
  <c r="H18" i="25"/>
  <c r="P18" i="25"/>
  <c r="H19" i="25"/>
  <c r="P19" i="25"/>
  <c r="H20" i="25"/>
  <c r="P20" i="25"/>
  <c r="H21" i="25"/>
  <c r="P21" i="25"/>
  <c r="H22" i="25"/>
  <c r="P22" i="25"/>
  <c r="H23" i="25"/>
  <c r="P23" i="25"/>
  <c r="H24" i="25"/>
  <c r="P24" i="25"/>
  <c r="H25" i="25"/>
  <c r="P25" i="25"/>
  <c r="H26" i="25"/>
  <c r="P26" i="25"/>
  <c r="H27" i="25"/>
  <c r="P27" i="25"/>
  <c r="H28" i="25"/>
  <c r="P28" i="25"/>
  <c r="H29" i="25"/>
  <c r="P29" i="25"/>
  <c r="H30" i="25"/>
  <c r="P30" i="25"/>
  <c r="H31" i="25"/>
  <c r="P31" i="25"/>
  <c r="H32" i="25"/>
  <c r="P32" i="25"/>
  <c r="H33" i="25"/>
  <c r="P33" i="25"/>
  <c r="H34" i="25"/>
  <c r="P34" i="25"/>
  <c r="H35" i="25"/>
  <c r="P35" i="25"/>
  <c r="H36" i="25"/>
  <c r="F37" i="25"/>
  <c r="F38" i="25"/>
  <c r="F39" i="25"/>
  <c r="F40" i="25"/>
  <c r="E41" i="25"/>
  <c r="M41" i="25"/>
  <c r="E42" i="25"/>
  <c r="M42" i="25"/>
  <c r="E43" i="25"/>
  <c r="M43" i="25"/>
  <c r="E44" i="25"/>
  <c r="M44" i="25"/>
  <c r="E45" i="25"/>
  <c r="M45" i="25"/>
  <c r="E46" i="25"/>
  <c r="M46" i="25"/>
  <c r="E47" i="25"/>
  <c r="M47" i="25"/>
  <c r="E48" i="25"/>
  <c r="M48" i="25"/>
  <c r="E49" i="25"/>
  <c r="M49" i="25"/>
  <c r="E51" i="25"/>
  <c r="M51" i="25"/>
  <c r="E52" i="25"/>
  <c r="M52" i="25"/>
  <c r="E53" i="25"/>
  <c r="M53" i="25"/>
  <c r="E54" i="25"/>
  <c r="M54" i="25"/>
  <c r="E55" i="25"/>
  <c r="M55" i="25"/>
  <c r="E56" i="25"/>
  <c r="M56" i="25"/>
  <c r="E57" i="25"/>
  <c r="M57" i="25"/>
  <c r="E58" i="25"/>
  <c r="M58" i="25"/>
  <c r="E59" i="25"/>
  <c r="M59" i="25"/>
  <c r="E60" i="25"/>
  <c r="M60" i="25"/>
  <c r="E61" i="25"/>
  <c r="M61" i="25"/>
  <c r="E62" i="25"/>
  <c r="M62" i="25"/>
  <c r="E63" i="25"/>
  <c r="M63" i="25"/>
  <c r="P36" i="25"/>
  <c r="P37" i="25"/>
  <c r="P38" i="25"/>
  <c r="P39" i="25"/>
  <c r="P40" i="25"/>
  <c r="J41" i="25"/>
  <c r="B42" i="25"/>
  <c r="J42" i="25"/>
  <c r="B43" i="25"/>
  <c r="J43" i="25"/>
  <c r="B44" i="25"/>
  <c r="J44" i="25"/>
  <c r="B45" i="25"/>
  <c r="J45" i="25"/>
  <c r="B46" i="25"/>
  <c r="J46" i="25"/>
  <c r="B47" i="25"/>
  <c r="J47" i="25"/>
  <c r="B48" i="25"/>
  <c r="J48" i="25"/>
  <c r="B49" i="25"/>
  <c r="J49" i="25"/>
  <c r="B51" i="25"/>
  <c r="J51" i="25"/>
  <c r="B52" i="25"/>
  <c r="J52" i="25"/>
  <c r="B53" i="25"/>
  <c r="J53" i="25"/>
  <c r="B54" i="25"/>
  <c r="J54" i="25"/>
  <c r="B55" i="25"/>
  <c r="J55" i="25"/>
  <c r="B56" i="25"/>
  <c r="J56" i="25"/>
  <c r="B57" i="25"/>
  <c r="J57" i="25"/>
  <c r="B58" i="25"/>
  <c r="J58" i="25"/>
  <c r="B59" i="25"/>
  <c r="J59" i="25"/>
  <c r="B60" i="25"/>
  <c r="J60" i="25"/>
  <c r="B61" i="25"/>
  <c r="J61" i="25"/>
  <c r="B62" i="25"/>
  <c r="J62" i="25"/>
  <c r="B63" i="25"/>
  <c r="J63" i="25"/>
  <c r="Q50" i="28"/>
  <c r="Q50" i="29" s="1"/>
  <c r="I50" i="28"/>
  <c r="I50" i="29" s="1"/>
  <c r="C51" i="25"/>
  <c r="L50" i="28"/>
  <c r="L50" i="29" s="1"/>
  <c r="C48" i="25"/>
  <c r="C44" i="25"/>
  <c r="E36" i="25"/>
  <c r="E32" i="25"/>
  <c r="E26" i="25"/>
  <c r="E22" i="25"/>
  <c r="E18" i="25"/>
  <c r="E14" i="25"/>
  <c r="E12" i="25"/>
  <c r="C56" i="25"/>
  <c r="C57" i="25"/>
  <c r="D50" i="28"/>
  <c r="D50" i="29" s="1"/>
  <c r="O50" i="28"/>
  <c r="O50" i="29" s="1"/>
  <c r="G50" i="28"/>
  <c r="G50" i="29" s="1"/>
  <c r="C49" i="25"/>
  <c r="J50" i="28"/>
  <c r="J50" i="29" s="1"/>
  <c r="C47" i="25"/>
  <c r="C43" i="25"/>
  <c r="E35" i="25"/>
  <c r="E31" i="25"/>
  <c r="E29" i="25"/>
  <c r="E25" i="25"/>
  <c r="E21" i="25"/>
  <c r="E17" i="25"/>
  <c r="E13" i="25"/>
  <c r="C58" i="25"/>
  <c r="E11" i="25"/>
  <c r="C55" i="25"/>
  <c r="C63" i="25"/>
  <c r="I8" i="25"/>
  <c r="M9" i="25"/>
  <c r="Q10" i="25"/>
  <c r="I12" i="25"/>
  <c r="M13" i="25"/>
  <c r="I14" i="25"/>
  <c r="Q14" i="25"/>
  <c r="M15" i="25"/>
  <c r="I16" i="25"/>
  <c r="Q16" i="25"/>
  <c r="M17" i="25"/>
  <c r="I18" i="25"/>
  <c r="Q18" i="25"/>
  <c r="M19" i="25"/>
  <c r="I20" i="25"/>
  <c r="Q20" i="25"/>
  <c r="M21" i="25"/>
  <c r="I22" i="25"/>
  <c r="Q22" i="25"/>
  <c r="M23" i="25"/>
  <c r="I24" i="25"/>
  <c r="Q24" i="25"/>
  <c r="M25" i="25"/>
  <c r="I26" i="25"/>
  <c r="Q26" i="25"/>
  <c r="M27" i="25"/>
  <c r="I28" i="25"/>
  <c r="Q28" i="25"/>
  <c r="M29" i="25"/>
  <c r="I30" i="25"/>
  <c r="Q30" i="25"/>
  <c r="M31" i="25"/>
  <c r="I32" i="25"/>
  <c r="Q32" i="25"/>
  <c r="M33" i="25"/>
  <c r="I34" i="25"/>
  <c r="Q34" i="25"/>
  <c r="M35" i="25"/>
  <c r="I36" i="25"/>
  <c r="Q36" i="25"/>
  <c r="M37" i="25"/>
  <c r="I38" i="25"/>
  <c r="Q38" i="25"/>
  <c r="M39" i="25"/>
  <c r="I40" i="25"/>
  <c r="Q40" i="25"/>
  <c r="F7" i="25"/>
  <c r="N7" i="25"/>
  <c r="F8" i="25"/>
  <c r="N8" i="25"/>
  <c r="F9" i="25"/>
  <c r="N9" i="25"/>
  <c r="F10" i="25"/>
  <c r="N10" i="25"/>
  <c r="F11" i="25"/>
  <c r="N11" i="25"/>
  <c r="F12" i="25"/>
  <c r="N12" i="25"/>
  <c r="F13" i="25"/>
  <c r="N13" i="25"/>
  <c r="F14" i="25"/>
  <c r="N14" i="25"/>
  <c r="F15" i="25"/>
  <c r="N15" i="25"/>
  <c r="F16" i="25"/>
  <c r="N16" i="25"/>
  <c r="F17" i="25"/>
  <c r="N17" i="25"/>
  <c r="F18" i="25"/>
  <c r="N18" i="25"/>
  <c r="F19" i="25"/>
  <c r="N19" i="25"/>
  <c r="F20" i="25"/>
  <c r="N20" i="25"/>
  <c r="F21" i="25"/>
  <c r="N21" i="25"/>
  <c r="F22" i="25"/>
  <c r="N22" i="25"/>
  <c r="F23" i="25"/>
  <c r="N23" i="25"/>
  <c r="F24" i="25"/>
  <c r="N24" i="25"/>
  <c r="F25" i="25"/>
  <c r="N25" i="25"/>
  <c r="F26" i="25"/>
  <c r="N26" i="25"/>
  <c r="F27" i="25"/>
  <c r="N27" i="25"/>
  <c r="F28" i="25"/>
  <c r="N28" i="25"/>
  <c r="F29" i="25"/>
  <c r="N29" i="25"/>
  <c r="F30" i="25"/>
  <c r="N30" i="25"/>
  <c r="F31" i="25"/>
  <c r="N31" i="25"/>
  <c r="F32" i="25"/>
  <c r="N32" i="25"/>
  <c r="F33" i="25"/>
  <c r="N33" i="25"/>
  <c r="F34" i="25"/>
  <c r="N34" i="25"/>
  <c r="F35" i="25"/>
  <c r="N35" i="25"/>
  <c r="F36" i="25"/>
  <c r="B37" i="25"/>
  <c r="B38" i="25"/>
  <c r="B39" i="25"/>
  <c r="B40" i="25"/>
  <c r="G41" i="25"/>
  <c r="O41" i="25"/>
  <c r="K42" i="25"/>
  <c r="G43" i="25"/>
  <c r="O43" i="25"/>
  <c r="K44" i="25"/>
  <c r="G45" i="25"/>
  <c r="O45" i="25"/>
  <c r="K46" i="25"/>
  <c r="G47" i="25"/>
  <c r="O47" i="25"/>
  <c r="K48" i="25"/>
  <c r="G49" i="25"/>
  <c r="O49" i="25"/>
  <c r="K51" i="25"/>
  <c r="G52" i="25"/>
  <c r="O52" i="25"/>
  <c r="K53" i="25"/>
  <c r="G54" i="25"/>
  <c r="O54" i="25"/>
  <c r="K55" i="25"/>
  <c r="G56" i="25"/>
  <c r="O56" i="25"/>
  <c r="K57" i="25"/>
  <c r="G58" i="25"/>
  <c r="O58" i="25"/>
  <c r="K59" i="25"/>
  <c r="G60" i="25"/>
  <c r="O60" i="25"/>
  <c r="K61" i="25"/>
  <c r="G62" i="25"/>
  <c r="O62" i="25"/>
  <c r="K63" i="25"/>
  <c r="L36" i="25"/>
  <c r="L37" i="25"/>
  <c r="L38" i="25"/>
  <c r="L39" i="25"/>
  <c r="L40" i="25"/>
  <c r="H41" i="25"/>
  <c r="P41" i="25"/>
  <c r="H42" i="25"/>
  <c r="P42" i="25"/>
  <c r="H43" i="25"/>
  <c r="P43" i="25"/>
  <c r="H44" i="25"/>
  <c r="P44" i="25"/>
  <c r="H45" i="25"/>
  <c r="P45" i="25"/>
  <c r="H46" i="25"/>
  <c r="P46" i="25"/>
  <c r="H47" i="25"/>
  <c r="P47" i="25"/>
  <c r="H48" i="25"/>
  <c r="P48" i="25"/>
  <c r="H49" i="25"/>
  <c r="P49" i="25"/>
  <c r="H51" i="25"/>
  <c r="P51" i="25"/>
  <c r="H52" i="25"/>
  <c r="P52" i="25"/>
  <c r="H53" i="25"/>
  <c r="P53" i="25"/>
  <c r="H54" i="25"/>
  <c r="P54" i="25"/>
  <c r="H55" i="25"/>
  <c r="P55" i="25"/>
  <c r="H56" i="25"/>
  <c r="P56" i="25"/>
  <c r="H57" i="25"/>
  <c r="P57" i="25"/>
  <c r="H58" i="25"/>
  <c r="P58" i="25"/>
  <c r="H59" i="25"/>
  <c r="P59" i="25"/>
  <c r="H60" i="25"/>
  <c r="P60" i="25"/>
  <c r="H61" i="25"/>
  <c r="P61" i="25"/>
  <c r="H62" i="25"/>
  <c r="P62" i="25"/>
  <c r="H63" i="25"/>
  <c r="P63" i="25"/>
  <c r="G7" i="25"/>
  <c r="O7" i="25"/>
  <c r="G8" i="25"/>
  <c r="O8" i="25"/>
  <c r="G9" i="25"/>
  <c r="O9" i="25"/>
  <c r="G10" i="25"/>
  <c r="O10" i="25"/>
  <c r="G11" i="25"/>
  <c r="O11" i="25"/>
  <c r="G12" i="25"/>
  <c r="O12" i="25"/>
  <c r="G13" i="25"/>
  <c r="O13" i="25"/>
  <c r="G14" i="25"/>
  <c r="O14" i="25"/>
  <c r="G15" i="25"/>
  <c r="O15" i="25"/>
  <c r="G16" i="25"/>
  <c r="O16" i="25"/>
  <c r="G17" i="25"/>
  <c r="O17" i="25"/>
  <c r="G18" i="25"/>
  <c r="O18" i="25"/>
  <c r="G19" i="25"/>
  <c r="O19" i="25"/>
  <c r="G20" i="25"/>
  <c r="O20" i="25"/>
  <c r="G21" i="25"/>
  <c r="O21" i="25"/>
  <c r="G22" i="25"/>
  <c r="O22" i="25"/>
  <c r="G23" i="25"/>
  <c r="O23" i="25"/>
  <c r="G24" i="25"/>
  <c r="O24" i="25"/>
  <c r="G25" i="25"/>
  <c r="O25" i="25"/>
  <c r="G26" i="25"/>
  <c r="O26" i="25"/>
  <c r="G27" i="25"/>
  <c r="O27" i="25"/>
  <c r="G28" i="25"/>
  <c r="O28" i="25"/>
  <c r="G29" i="25"/>
  <c r="O29" i="25"/>
  <c r="G30" i="25"/>
  <c r="O30" i="25"/>
  <c r="G31" i="25"/>
  <c r="O31" i="25"/>
  <c r="G32" i="25"/>
  <c r="O32" i="25"/>
  <c r="G33" i="25"/>
  <c r="O33" i="25"/>
  <c r="G34" i="25"/>
  <c r="O34" i="25"/>
  <c r="G35" i="25"/>
  <c r="O35" i="25"/>
  <c r="G36" i="25"/>
  <c r="O36" i="25"/>
  <c r="G37" i="25"/>
  <c r="O37" i="25"/>
  <c r="G38" i="25"/>
  <c r="O38" i="25"/>
  <c r="G39" i="25"/>
  <c r="O39" i="25"/>
  <c r="G40" i="25"/>
  <c r="O40" i="25"/>
  <c r="D7" i="25"/>
  <c r="L7" i="25"/>
  <c r="D8" i="25"/>
  <c r="L8" i="25"/>
  <c r="D9" i="25"/>
  <c r="L9" i="25"/>
  <c r="D10" i="25"/>
  <c r="L10" i="25"/>
  <c r="D11" i="25"/>
  <c r="L11" i="25"/>
  <c r="D12" i="25"/>
  <c r="L12" i="25"/>
  <c r="D13" i="25"/>
  <c r="L13" i="25"/>
  <c r="D14" i="25"/>
  <c r="L14" i="25"/>
  <c r="D15" i="25"/>
  <c r="L15" i="25"/>
  <c r="D16" i="25"/>
  <c r="L16" i="25"/>
  <c r="D17" i="25"/>
  <c r="L17" i="25"/>
  <c r="D18" i="25"/>
  <c r="L18" i="25"/>
  <c r="D19" i="25"/>
  <c r="L19" i="25"/>
  <c r="D20" i="25"/>
  <c r="L20" i="25"/>
  <c r="D21" i="25"/>
  <c r="L21" i="25"/>
  <c r="D22" i="25"/>
  <c r="L22" i="25"/>
  <c r="D23" i="25"/>
  <c r="L23" i="25"/>
  <c r="D24" i="25"/>
  <c r="L24" i="25"/>
  <c r="D25" i="25"/>
  <c r="L25" i="25"/>
  <c r="D26" i="25"/>
  <c r="L26" i="25"/>
  <c r="D27" i="25"/>
  <c r="L27" i="25"/>
  <c r="D28" i="25"/>
  <c r="L28" i="25"/>
  <c r="D29" i="25"/>
  <c r="L29" i="25"/>
  <c r="D30" i="25"/>
  <c r="L30" i="25"/>
  <c r="D31" i="25"/>
  <c r="L31" i="25"/>
  <c r="D32" i="25"/>
  <c r="L32" i="25"/>
  <c r="D33" i="25"/>
  <c r="L33" i="25"/>
  <c r="D34" i="25"/>
  <c r="L34" i="25"/>
  <c r="D35" i="25"/>
  <c r="L35" i="25"/>
  <c r="D36" i="25"/>
  <c r="N36" i="25"/>
  <c r="N37" i="25"/>
  <c r="N38" i="25"/>
  <c r="N39" i="25"/>
  <c r="N40" i="25"/>
  <c r="I41" i="25"/>
  <c r="Q41" i="25"/>
  <c r="I42" i="25"/>
  <c r="Q42" i="25"/>
  <c r="I43" i="25"/>
  <c r="Q43" i="25"/>
  <c r="I44" i="25"/>
  <c r="Q44" i="25"/>
  <c r="I45" i="25"/>
  <c r="Q45" i="25"/>
  <c r="I46" i="25"/>
  <c r="Q46" i="25"/>
  <c r="I47" i="25"/>
  <c r="Q47" i="25"/>
  <c r="I48" i="25"/>
  <c r="Q48" i="25"/>
  <c r="I49" i="25"/>
  <c r="Q49" i="25"/>
  <c r="I51" i="25"/>
  <c r="Q51" i="25"/>
  <c r="I52" i="25"/>
  <c r="Q52" i="25"/>
  <c r="I53" i="25"/>
  <c r="Q53" i="25"/>
  <c r="I54" i="25"/>
  <c r="Q54" i="25"/>
  <c r="I55" i="25"/>
  <c r="Q55" i="25"/>
  <c r="I56" i="25"/>
  <c r="Q56" i="25"/>
  <c r="I57" i="25"/>
  <c r="Q57" i="25"/>
  <c r="I58" i="25"/>
  <c r="Q58" i="25"/>
  <c r="I59" i="25"/>
  <c r="Q59" i="25"/>
  <c r="I60" i="25"/>
  <c r="Q60" i="25"/>
  <c r="I61" i="25"/>
  <c r="Q61" i="25"/>
  <c r="I62" i="25"/>
  <c r="Q62" i="25"/>
  <c r="I63" i="25"/>
  <c r="Q63" i="25"/>
  <c r="H37" i="25"/>
  <c r="H38" i="25"/>
  <c r="H39" i="25"/>
  <c r="H40" i="25"/>
  <c r="F41" i="25"/>
  <c r="N41" i="25"/>
  <c r="F42" i="25"/>
  <c r="N42" i="25"/>
  <c r="F43" i="25"/>
  <c r="N43" i="25"/>
  <c r="F44" i="25"/>
  <c r="N44" i="25"/>
  <c r="F45" i="25"/>
  <c r="N45" i="25"/>
  <c r="F46" i="25"/>
  <c r="N46" i="25"/>
  <c r="F47" i="25"/>
  <c r="N47" i="25"/>
  <c r="F48" i="25"/>
  <c r="N48" i="25"/>
  <c r="F49" i="25"/>
  <c r="N49" i="25"/>
  <c r="F51" i="25"/>
  <c r="N51" i="25"/>
  <c r="F52" i="25"/>
  <c r="N52" i="25"/>
  <c r="F53" i="25"/>
  <c r="N53" i="25"/>
  <c r="F54" i="25"/>
  <c r="N54" i="25"/>
  <c r="F55" i="25"/>
  <c r="N55" i="25"/>
  <c r="F56" i="25"/>
  <c r="N56" i="25"/>
  <c r="F57" i="25"/>
  <c r="N57" i="25"/>
  <c r="F58" i="25"/>
  <c r="N58" i="25"/>
  <c r="F59" i="25"/>
  <c r="N59" i="25"/>
  <c r="F60" i="25"/>
  <c r="N60" i="25"/>
  <c r="F61" i="25"/>
  <c r="N61" i="25"/>
  <c r="F62" i="25"/>
  <c r="N62" i="25"/>
  <c r="F63" i="25"/>
  <c r="N63" i="25"/>
  <c r="E50" i="28"/>
  <c r="E50" i="29" s="1"/>
  <c r="P50" i="28"/>
  <c r="P50" i="29" s="1"/>
  <c r="H50" i="28"/>
  <c r="H50" i="29" s="1"/>
  <c r="C46" i="25"/>
  <c r="C42" i="25"/>
  <c r="E38" i="25"/>
  <c r="E34" i="25"/>
  <c r="E30" i="25"/>
  <c r="E28" i="25"/>
  <c r="E24" i="25"/>
  <c r="E20" i="25"/>
  <c r="E16" i="25"/>
  <c r="E8" i="25"/>
  <c r="C60" i="25"/>
  <c r="E9" i="25"/>
  <c r="C53" i="25"/>
  <c r="C61" i="25"/>
  <c r="B50" i="28"/>
  <c r="B50" i="29" s="1"/>
  <c r="K50" i="28"/>
  <c r="K50" i="29" s="1"/>
  <c r="C52" i="25"/>
  <c r="N50" i="28"/>
  <c r="N50" i="29" s="1"/>
  <c r="F50" i="28"/>
  <c r="F50" i="29" s="1"/>
  <c r="C45" i="25"/>
  <c r="B41" i="25"/>
  <c r="E37" i="25"/>
  <c r="E33" i="25"/>
  <c r="E27" i="25"/>
  <c r="E23" i="25"/>
  <c r="E19" i="25"/>
  <c r="E15" i="25"/>
  <c r="E10" i="25"/>
  <c r="C54" i="25"/>
  <c r="C62" i="25"/>
  <c r="E7" i="25"/>
  <c r="C59" i="25"/>
  <c r="C50" i="28"/>
  <c r="C50" i="29" s="1"/>
  <c r="W51" i="24"/>
  <c r="W49" i="24"/>
  <c r="W50" i="24"/>
  <c r="W19" i="24"/>
  <c r="W17" i="24"/>
  <c r="W15" i="24"/>
  <c r="W13" i="24"/>
  <c r="W21" i="24"/>
  <c r="W25" i="24"/>
  <c r="W27" i="24"/>
  <c r="W29" i="24"/>
  <c r="W31" i="24"/>
  <c r="W33" i="24"/>
  <c r="W35" i="24"/>
  <c r="W37" i="24"/>
  <c r="W39" i="24"/>
  <c r="W41" i="24"/>
  <c r="W43" i="24"/>
  <c r="W45" i="24"/>
  <c r="W47" i="24"/>
  <c r="W52" i="24"/>
  <c r="W53" i="24"/>
  <c r="W55" i="24"/>
  <c r="W57" i="24"/>
  <c r="W59" i="24"/>
  <c r="W61" i="24"/>
  <c r="W11" i="24"/>
  <c r="D65" i="24"/>
  <c r="L65" i="24"/>
  <c r="T65" i="24"/>
  <c r="I65" i="24"/>
  <c r="Q65" i="24"/>
  <c r="W6" i="24"/>
  <c r="W8" i="24"/>
  <c r="W10" i="24"/>
  <c r="W14" i="24"/>
  <c r="W18" i="24"/>
  <c r="W20" i="24"/>
  <c r="W22" i="24"/>
  <c r="W24" i="24"/>
  <c r="F65" i="24"/>
  <c r="N65" i="24"/>
  <c r="W65" i="24"/>
  <c r="X50" i="24" s="1"/>
  <c r="W4" i="24"/>
  <c r="B65" i="24"/>
  <c r="C65" i="24"/>
  <c r="K65" i="24"/>
  <c r="S65" i="24"/>
  <c r="W23" i="24"/>
  <c r="W26" i="24"/>
  <c r="W28" i="24"/>
  <c r="W30" i="24"/>
  <c r="W32" i="24"/>
  <c r="W34" i="24"/>
  <c r="W36" i="24"/>
  <c r="W38" i="24"/>
  <c r="W40" i="24"/>
  <c r="W42" i="24"/>
  <c r="W44" i="24"/>
  <c r="W46" i="24"/>
  <c r="W48" i="24"/>
  <c r="W54" i="24"/>
  <c r="W56" i="24"/>
  <c r="W58" i="24"/>
  <c r="W60" i="24"/>
  <c r="W62" i="24"/>
  <c r="H65" i="24"/>
  <c r="P65" i="24"/>
  <c r="E65" i="24"/>
  <c r="M65" i="24"/>
  <c r="W5" i="24"/>
  <c r="W7" i="24"/>
  <c r="W9" i="24"/>
  <c r="W12" i="24"/>
  <c r="W16" i="24"/>
  <c r="U65" i="24"/>
  <c r="J65" i="24"/>
  <c r="R65" i="24"/>
  <c r="W63" i="24"/>
  <c r="G65" i="24"/>
  <c r="O65" i="24"/>
  <c r="U13" i="28" l="1"/>
  <c r="U13" i="29" s="1"/>
  <c r="U11" i="28"/>
  <c r="U11" i="29" s="1"/>
  <c r="U10" i="28"/>
  <c r="U10" i="29" s="1"/>
  <c r="U7" i="28"/>
  <c r="U7" i="29" s="1"/>
  <c r="U4" i="28"/>
  <c r="U4" i="29" s="1"/>
  <c r="S49" i="28"/>
  <c r="S49" i="29" s="1"/>
  <c r="U14" i="28"/>
  <c r="U14" i="29" s="1"/>
  <c r="U8" i="28"/>
  <c r="U8" i="29" s="1"/>
  <c r="U9" i="28"/>
  <c r="U9" i="29" s="1"/>
  <c r="U5" i="28"/>
  <c r="U5" i="29" s="1"/>
  <c r="S50" i="28"/>
  <c r="S50" i="29" s="1"/>
  <c r="U6" i="28"/>
  <c r="U6" i="29" s="1"/>
  <c r="U12" i="28"/>
  <c r="U12" i="29" s="1"/>
  <c r="S53" i="28"/>
  <c r="S53" i="29" s="1"/>
  <c r="S52" i="28"/>
  <c r="S52" i="29" s="1"/>
  <c r="S51" i="28"/>
  <c r="S51" i="29" s="1"/>
  <c r="S45" i="28"/>
  <c r="S45" i="29" s="1"/>
  <c r="S40" i="28"/>
  <c r="S40" i="29" s="1"/>
  <c r="S41" i="28"/>
  <c r="S41" i="29" s="1"/>
  <c r="S47" i="28"/>
  <c r="S47" i="29" s="1"/>
  <c r="S46" i="28"/>
  <c r="S46" i="29" s="1"/>
  <c r="S48" i="28"/>
  <c r="S48" i="29" s="1"/>
  <c r="S43" i="28"/>
  <c r="S43" i="29" s="1"/>
  <c r="S42" i="28"/>
  <c r="S42" i="29" s="1"/>
  <c r="S44" i="28"/>
  <c r="S44" i="29" s="1"/>
  <c r="S39" i="28"/>
  <c r="S39" i="29" s="1"/>
  <c r="U61" i="28"/>
  <c r="U61" i="29" s="1"/>
  <c r="U60" i="28"/>
  <c r="U60" i="29" s="1"/>
  <c r="U57" i="28"/>
  <c r="U57" i="29" s="1"/>
  <c r="U55" i="28"/>
  <c r="U55" i="29" s="1"/>
  <c r="S57" i="28"/>
  <c r="S57" i="29" s="1"/>
  <c r="S63" i="28"/>
  <c r="S63" i="29" s="1"/>
  <c r="S60" i="28"/>
  <c r="S60" i="29" s="1"/>
  <c r="S62" i="28"/>
  <c r="S62" i="29" s="1"/>
  <c r="S59" i="28"/>
  <c r="S59" i="29" s="1"/>
  <c r="S56" i="28"/>
  <c r="S56" i="29" s="1"/>
  <c r="S58" i="28"/>
  <c r="S58" i="29" s="1"/>
  <c r="S55" i="28"/>
  <c r="S55" i="29" s="1"/>
  <c r="S61" i="28"/>
  <c r="S61" i="29" s="1"/>
  <c r="S54" i="28"/>
  <c r="S54" i="29" s="1"/>
  <c r="U52" i="28"/>
  <c r="U52" i="29" s="1"/>
  <c r="E7" i="28"/>
  <c r="E7" i="29" s="1"/>
  <c r="C54" i="28"/>
  <c r="C54" i="29" s="1"/>
  <c r="E15" i="28"/>
  <c r="E15" i="29" s="1"/>
  <c r="E23" i="28"/>
  <c r="E23" i="29" s="1"/>
  <c r="E33" i="28"/>
  <c r="E33" i="29" s="1"/>
  <c r="B41" i="28"/>
  <c r="B41" i="29" s="1"/>
  <c r="C52" i="28"/>
  <c r="C52" i="29" s="1"/>
  <c r="C53" i="28"/>
  <c r="C53" i="29" s="1"/>
  <c r="C60" i="28"/>
  <c r="C60" i="29" s="1"/>
  <c r="E16" i="28"/>
  <c r="E16" i="29" s="1"/>
  <c r="E24" i="28"/>
  <c r="E24" i="29" s="1"/>
  <c r="E30" i="28"/>
  <c r="E30" i="29" s="1"/>
  <c r="E38" i="28"/>
  <c r="E38" i="29" s="1"/>
  <c r="C46" i="28"/>
  <c r="C46" i="29" s="1"/>
  <c r="N63" i="28"/>
  <c r="N63" i="29" s="1"/>
  <c r="N61" i="28"/>
  <c r="N61" i="29" s="1"/>
  <c r="N58" i="28"/>
  <c r="N58" i="29" s="1"/>
  <c r="N57" i="28"/>
  <c r="N57" i="29" s="1"/>
  <c r="N56" i="28"/>
  <c r="N56" i="29" s="1"/>
  <c r="N55" i="28"/>
  <c r="N55" i="29" s="1"/>
  <c r="N51" i="28"/>
  <c r="N51" i="29" s="1"/>
  <c r="N49" i="28"/>
  <c r="N49" i="29" s="1"/>
  <c r="N48" i="28"/>
  <c r="N48" i="29" s="1"/>
  <c r="N47" i="28"/>
  <c r="N47" i="29" s="1"/>
  <c r="N44" i="28"/>
  <c r="N44" i="29" s="1"/>
  <c r="N43" i="28"/>
  <c r="N43" i="29" s="1"/>
  <c r="H40" i="28"/>
  <c r="H40" i="29" s="1"/>
  <c r="N36" i="28"/>
  <c r="N36" i="29" s="1"/>
  <c r="L35" i="28"/>
  <c r="L35" i="29" s="1"/>
  <c r="L32" i="28"/>
  <c r="L32" i="29" s="1"/>
  <c r="U50" i="28"/>
  <c r="U50" i="29" s="1"/>
  <c r="U56" i="28"/>
  <c r="U56" i="29" s="1"/>
  <c r="U63" i="28"/>
  <c r="U63" i="29" s="1"/>
  <c r="U62" i="28"/>
  <c r="U62" i="29" s="1"/>
  <c r="U59" i="28"/>
  <c r="U59" i="29" s="1"/>
  <c r="U58" i="28"/>
  <c r="U58" i="29" s="1"/>
  <c r="U49" i="28"/>
  <c r="U49" i="29" s="1"/>
  <c r="U53" i="28"/>
  <c r="U53" i="29" s="1"/>
  <c r="U51" i="28"/>
  <c r="U51" i="29" s="1"/>
  <c r="U54" i="28"/>
  <c r="U54" i="29" s="1"/>
  <c r="U48" i="28"/>
  <c r="U48" i="29" s="1"/>
  <c r="U40" i="28"/>
  <c r="U40" i="29" s="1"/>
  <c r="U26" i="28"/>
  <c r="U26" i="29" s="1"/>
  <c r="U33" i="28"/>
  <c r="U33" i="29" s="1"/>
  <c r="U17" i="28"/>
  <c r="U17" i="29" s="1"/>
  <c r="U41" i="28"/>
  <c r="U41" i="29" s="1"/>
  <c r="U28" i="28"/>
  <c r="U28" i="29" s="1"/>
  <c r="U35" i="28"/>
  <c r="U35" i="29" s="1"/>
  <c r="U19" i="28"/>
  <c r="U19" i="29" s="1"/>
  <c r="U42" i="28"/>
  <c r="U42" i="29" s="1"/>
  <c r="U30" i="28"/>
  <c r="U30" i="29" s="1"/>
  <c r="U37" i="28"/>
  <c r="U37" i="29" s="1"/>
  <c r="U21" i="28"/>
  <c r="U21" i="29" s="1"/>
  <c r="U43" i="28"/>
  <c r="U43" i="29" s="1"/>
  <c r="U32" i="28"/>
  <c r="U32" i="29" s="1"/>
  <c r="U16" i="28"/>
  <c r="U16" i="29" s="1"/>
  <c r="U23" i="28"/>
  <c r="U23" i="29" s="1"/>
  <c r="U44" i="28"/>
  <c r="U44" i="29" s="1"/>
  <c r="U34" i="28"/>
  <c r="U34" i="29" s="1"/>
  <c r="U18" i="28"/>
  <c r="U18" i="29" s="1"/>
  <c r="U25" i="28"/>
  <c r="U25" i="29" s="1"/>
  <c r="U45" i="28"/>
  <c r="U45" i="29" s="1"/>
  <c r="U36" i="28"/>
  <c r="U36" i="29" s="1"/>
  <c r="U20" i="28"/>
  <c r="U20" i="29" s="1"/>
  <c r="U27" i="28"/>
  <c r="U27" i="29" s="1"/>
  <c r="U46" i="28"/>
  <c r="U46" i="29" s="1"/>
  <c r="U38" i="28"/>
  <c r="U38" i="29" s="1"/>
  <c r="U22" i="28"/>
  <c r="U22" i="29" s="1"/>
  <c r="U29" i="28"/>
  <c r="U29" i="29" s="1"/>
  <c r="U47" i="28"/>
  <c r="U47" i="29" s="1"/>
  <c r="U39" i="28"/>
  <c r="U39" i="29" s="1"/>
  <c r="U24" i="28"/>
  <c r="U24" i="29" s="1"/>
  <c r="U31" i="28"/>
  <c r="U31" i="29" s="1"/>
  <c r="U15" i="28"/>
  <c r="U15" i="29" s="1"/>
  <c r="T15" i="28"/>
  <c r="T15" i="29" s="1"/>
  <c r="T13" i="28"/>
  <c r="T13" i="29" s="1"/>
  <c r="T11" i="28"/>
  <c r="T11" i="29" s="1"/>
  <c r="T10" i="28"/>
  <c r="T10" i="29" s="1"/>
  <c r="T7" i="28"/>
  <c r="T7" i="29" s="1"/>
  <c r="S32" i="28"/>
  <c r="S32" i="29" s="1"/>
  <c r="S17" i="28"/>
  <c r="S17" i="29" s="1"/>
  <c r="S18" i="28"/>
  <c r="S18" i="29" s="1"/>
  <c r="S6" i="28"/>
  <c r="S6" i="29" s="1"/>
  <c r="S34" i="28"/>
  <c r="S34" i="29" s="1"/>
  <c r="S26" i="28"/>
  <c r="S26" i="29" s="1"/>
  <c r="S11" i="28"/>
  <c r="S11" i="29" s="1"/>
  <c r="S37" i="28"/>
  <c r="S37" i="29" s="1"/>
  <c r="S28" i="28"/>
  <c r="S28" i="29" s="1"/>
  <c r="S12" i="28"/>
  <c r="S12" i="29" s="1"/>
  <c r="S21" i="28"/>
  <c r="S21" i="29" s="1"/>
  <c r="S22" i="28"/>
  <c r="S22" i="29" s="1"/>
  <c r="S23" i="28"/>
  <c r="S23" i="29" s="1"/>
  <c r="S7" i="28"/>
  <c r="S7" i="29" s="1"/>
  <c r="S33" i="28"/>
  <c r="S33" i="29" s="1"/>
  <c r="S25" i="28"/>
  <c r="S25" i="29" s="1"/>
  <c r="S8" i="28"/>
  <c r="S8" i="29" s="1"/>
  <c r="S5" i="28"/>
  <c r="S5" i="29" s="1"/>
  <c r="S24" i="28"/>
  <c r="S24" i="29" s="1"/>
  <c r="S9" i="28"/>
  <c r="S9" i="29" s="1"/>
  <c r="S35" i="28"/>
  <c r="S35" i="29" s="1"/>
  <c r="S27" i="28"/>
  <c r="S27" i="29" s="1"/>
  <c r="S10" i="28"/>
  <c r="S10" i="29" s="1"/>
  <c r="S19" i="28"/>
  <c r="S19" i="29" s="1"/>
  <c r="S20" i="28"/>
  <c r="S20" i="29" s="1"/>
  <c r="S36" i="28"/>
  <c r="S36" i="29" s="1"/>
  <c r="S29" i="28"/>
  <c r="S29" i="29" s="1"/>
  <c r="S13" i="28"/>
  <c r="S13" i="29" s="1"/>
  <c r="S4" i="28"/>
  <c r="S4" i="29" s="1"/>
  <c r="S30" i="28"/>
  <c r="S30" i="29" s="1"/>
  <c r="S14" i="28"/>
  <c r="S14" i="29" s="1"/>
  <c r="S38" i="28"/>
  <c r="S38" i="29" s="1"/>
  <c r="S31" i="28"/>
  <c r="S31" i="29" s="1"/>
  <c r="S15" i="28"/>
  <c r="S15" i="29" s="1"/>
  <c r="S16" i="28"/>
  <c r="S16" i="29" s="1"/>
  <c r="R35" i="28"/>
  <c r="R35" i="29" s="1"/>
  <c r="R33" i="28"/>
  <c r="R33" i="29" s="1"/>
  <c r="R31" i="28"/>
  <c r="R31" i="29" s="1"/>
  <c r="R29" i="28"/>
  <c r="R29" i="29" s="1"/>
  <c r="R27" i="28"/>
  <c r="R27" i="29" s="1"/>
  <c r="R25" i="28"/>
  <c r="R25" i="29" s="1"/>
  <c r="R23" i="28"/>
  <c r="R23" i="29" s="1"/>
  <c r="R21" i="28"/>
  <c r="R21" i="29" s="1"/>
  <c r="R19" i="28"/>
  <c r="R19" i="29" s="1"/>
  <c r="R17" i="28"/>
  <c r="R17" i="29" s="1"/>
  <c r="T4" i="28"/>
  <c r="T4" i="29" s="1"/>
  <c r="T34" i="28"/>
  <c r="T34" i="29" s="1"/>
  <c r="T18" i="28"/>
  <c r="T18" i="29" s="1"/>
  <c r="T57" i="28"/>
  <c r="T57" i="29" s="1"/>
  <c r="T41" i="28"/>
  <c r="T41" i="29" s="1"/>
  <c r="T25" i="28"/>
  <c r="T25" i="29" s="1"/>
  <c r="T60" i="28"/>
  <c r="T60" i="29" s="1"/>
  <c r="T44" i="28"/>
  <c r="T44" i="29" s="1"/>
  <c r="T28" i="28"/>
  <c r="T28" i="29" s="1"/>
  <c r="T12" i="28"/>
  <c r="T12" i="29" s="1"/>
  <c r="T55" i="28"/>
  <c r="T55" i="29" s="1"/>
  <c r="T39" i="28"/>
  <c r="T39" i="29" s="1"/>
  <c r="T23" i="28"/>
  <c r="T23" i="29" s="1"/>
  <c r="T62" i="28"/>
  <c r="T62" i="29" s="1"/>
  <c r="T46" i="28"/>
  <c r="T46" i="29" s="1"/>
  <c r="T30" i="28"/>
  <c r="T30" i="29" s="1"/>
  <c r="T14" i="28"/>
  <c r="T14" i="29" s="1"/>
  <c r="T53" i="28"/>
  <c r="T53" i="29" s="1"/>
  <c r="T37" i="28"/>
  <c r="T37" i="29" s="1"/>
  <c r="T21" i="28"/>
  <c r="T21" i="29" s="1"/>
  <c r="T5" i="28"/>
  <c r="T5" i="29" s="1"/>
  <c r="T48" i="28"/>
  <c r="T48" i="29" s="1"/>
  <c r="T32" i="28"/>
  <c r="T32" i="29" s="1"/>
  <c r="T16" i="28"/>
  <c r="T16" i="29" s="1"/>
  <c r="T59" i="28"/>
  <c r="T59" i="29" s="1"/>
  <c r="T43" i="28"/>
  <c r="T43" i="29" s="1"/>
  <c r="T27" i="28"/>
  <c r="T27" i="29" s="1"/>
  <c r="R39" i="28"/>
  <c r="R39" i="29" s="1"/>
  <c r="R37" i="28"/>
  <c r="R37" i="29" s="1"/>
  <c r="R63" i="28"/>
  <c r="R63" i="29" s="1"/>
  <c r="R62" i="28"/>
  <c r="R62" i="29" s="1"/>
  <c r="R59" i="28"/>
  <c r="R59" i="29" s="1"/>
  <c r="R58" i="28"/>
  <c r="R58" i="29" s="1"/>
  <c r="R56" i="28"/>
  <c r="R56" i="29" s="1"/>
  <c r="R55" i="28"/>
  <c r="R55" i="29" s="1"/>
  <c r="R54" i="28"/>
  <c r="R54" i="29" s="1"/>
  <c r="R52" i="28"/>
  <c r="R52" i="29" s="1"/>
  <c r="R51" i="28"/>
  <c r="R51" i="29" s="1"/>
  <c r="R49" i="28"/>
  <c r="R49" i="29" s="1"/>
  <c r="R48" i="28"/>
  <c r="R48" i="29" s="1"/>
  <c r="R47" i="28"/>
  <c r="R47" i="29" s="1"/>
  <c r="R46" i="28"/>
  <c r="R46" i="29" s="1"/>
  <c r="R45" i="28"/>
  <c r="R45" i="29" s="1"/>
  <c r="R44" i="28"/>
  <c r="R44" i="29" s="1"/>
  <c r="R43" i="28"/>
  <c r="R43" i="29" s="1"/>
  <c r="R42" i="28"/>
  <c r="R42" i="29" s="1"/>
  <c r="T58" i="28"/>
  <c r="T58" i="29" s="1"/>
  <c r="T42" i="28"/>
  <c r="T42" i="29" s="1"/>
  <c r="T26" i="28"/>
  <c r="T26" i="29" s="1"/>
  <c r="T6" i="28"/>
  <c r="T6" i="29" s="1"/>
  <c r="T49" i="28"/>
  <c r="T49" i="29" s="1"/>
  <c r="T33" i="28"/>
  <c r="T33" i="29" s="1"/>
  <c r="T17" i="28"/>
  <c r="T17" i="29" s="1"/>
  <c r="T52" i="28"/>
  <c r="T52" i="29" s="1"/>
  <c r="T36" i="28"/>
  <c r="T36" i="29" s="1"/>
  <c r="T20" i="28"/>
  <c r="T20" i="29" s="1"/>
  <c r="T63" i="28"/>
  <c r="T63" i="29" s="1"/>
  <c r="T47" i="28"/>
  <c r="T47" i="29" s="1"/>
  <c r="T31" i="28"/>
  <c r="T31" i="29" s="1"/>
  <c r="R50" i="28"/>
  <c r="R50" i="29" s="1"/>
  <c r="T54" i="28"/>
  <c r="T54" i="29" s="1"/>
  <c r="T38" i="28"/>
  <c r="T38" i="29" s="1"/>
  <c r="T22" i="28"/>
  <c r="T22" i="29" s="1"/>
  <c r="T61" i="28"/>
  <c r="T61" i="29" s="1"/>
  <c r="T45" i="28"/>
  <c r="T45" i="29" s="1"/>
  <c r="T29" i="28"/>
  <c r="T29" i="29" s="1"/>
  <c r="T9" i="28"/>
  <c r="T9" i="29" s="1"/>
  <c r="T56" i="28"/>
  <c r="T56" i="29" s="1"/>
  <c r="T40" i="28"/>
  <c r="T40" i="29" s="1"/>
  <c r="T24" i="28"/>
  <c r="T24" i="29" s="1"/>
  <c r="T8" i="28"/>
  <c r="T8" i="29" s="1"/>
  <c r="T51" i="28"/>
  <c r="T51" i="29" s="1"/>
  <c r="T35" i="28"/>
  <c r="T35" i="29" s="1"/>
  <c r="T19" i="28"/>
  <c r="T19" i="29" s="1"/>
  <c r="O5" i="28"/>
  <c r="O5" i="29" s="1"/>
  <c r="Q6" i="28"/>
  <c r="Q6" i="29" s="1"/>
  <c r="R60" i="28"/>
  <c r="R60" i="29" s="1"/>
  <c r="R34" i="28"/>
  <c r="R34" i="29" s="1"/>
  <c r="R26" i="28"/>
  <c r="R26" i="29" s="1"/>
  <c r="R18" i="28"/>
  <c r="R18" i="29" s="1"/>
  <c r="R10" i="28"/>
  <c r="R10" i="29" s="1"/>
  <c r="R57" i="28"/>
  <c r="R57" i="29" s="1"/>
  <c r="R11" i="28"/>
  <c r="R11" i="29" s="1"/>
  <c r="R5" i="28"/>
  <c r="R5" i="29" s="1"/>
  <c r="R36" i="28"/>
  <c r="R36" i="29" s="1"/>
  <c r="R28" i="28"/>
  <c r="R28" i="29" s="1"/>
  <c r="R20" i="28"/>
  <c r="R20" i="29" s="1"/>
  <c r="R12" i="28"/>
  <c r="R12" i="29" s="1"/>
  <c r="R61" i="28"/>
  <c r="R61" i="29" s="1"/>
  <c r="R41" i="28"/>
  <c r="R41" i="29" s="1"/>
  <c r="R9" i="28"/>
  <c r="R9" i="29" s="1"/>
  <c r="R4" i="28"/>
  <c r="R4" i="29" s="1"/>
  <c r="R38" i="28"/>
  <c r="R38" i="29" s="1"/>
  <c r="R30" i="28"/>
  <c r="R30" i="29" s="1"/>
  <c r="R22" i="28"/>
  <c r="R22" i="29" s="1"/>
  <c r="R14" i="28"/>
  <c r="R14" i="29" s="1"/>
  <c r="R6" i="28"/>
  <c r="R6" i="29" s="1"/>
  <c r="R15" i="28"/>
  <c r="R15" i="29" s="1"/>
  <c r="R7" i="28"/>
  <c r="R7" i="29" s="1"/>
  <c r="R40" i="28"/>
  <c r="R40" i="29" s="1"/>
  <c r="R32" i="28"/>
  <c r="R32" i="29" s="1"/>
  <c r="R24" i="28"/>
  <c r="R24" i="29" s="1"/>
  <c r="R16" i="28"/>
  <c r="R16" i="29" s="1"/>
  <c r="R8" i="28"/>
  <c r="R8" i="29" s="1"/>
  <c r="R53" i="28"/>
  <c r="R53" i="29" s="1"/>
  <c r="R13" i="28"/>
  <c r="R13" i="29" s="1"/>
  <c r="B6" i="28"/>
  <c r="B6" i="29" s="1"/>
  <c r="I6" i="28"/>
  <c r="I6" i="29" s="1"/>
  <c r="H6" i="28"/>
  <c r="H6" i="29" s="1"/>
  <c r="G6" i="28"/>
  <c r="G6" i="29" s="1"/>
  <c r="F6" i="28"/>
  <c r="F6" i="29" s="1"/>
  <c r="E6" i="28"/>
  <c r="E6" i="29" s="1"/>
  <c r="D6" i="28"/>
  <c r="D6" i="29" s="1"/>
  <c r="C6" i="28"/>
  <c r="C6" i="29" s="1"/>
  <c r="E10" i="28"/>
  <c r="E10" i="29" s="1"/>
  <c r="E19" i="28"/>
  <c r="E19" i="29" s="1"/>
  <c r="E27" i="28"/>
  <c r="E27" i="29" s="1"/>
  <c r="E37" i="28"/>
  <c r="E37" i="29" s="1"/>
  <c r="C45" i="28"/>
  <c r="C45" i="29" s="1"/>
  <c r="E9" i="28"/>
  <c r="E9" i="29" s="1"/>
  <c r="E8" i="28"/>
  <c r="E8" i="29" s="1"/>
  <c r="E20" i="28"/>
  <c r="E20" i="29" s="1"/>
  <c r="E28" i="28"/>
  <c r="E28" i="29" s="1"/>
  <c r="E34" i="28"/>
  <c r="E34" i="29" s="1"/>
  <c r="H39" i="28"/>
  <c r="H39" i="29" s="1"/>
  <c r="C4" i="28"/>
  <c r="C4" i="29" s="1"/>
  <c r="P6" i="28"/>
  <c r="P6" i="29" s="1"/>
  <c r="O6" i="28"/>
  <c r="O6" i="29" s="1"/>
  <c r="N6" i="28"/>
  <c r="N6" i="29" s="1"/>
  <c r="M6" i="28"/>
  <c r="M6" i="29" s="1"/>
  <c r="L6" i="28"/>
  <c r="L6" i="29" s="1"/>
  <c r="K6" i="28"/>
  <c r="K6" i="29" s="1"/>
  <c r="J6" i="28"/>
  <c r="J6" i="29" s="1"/>
  <c r="N62" i="28"/>
  <c r="N62" i="29" s="1"/>
  <c r="N59" i="28"/>
  <c r="N59" i="29" s="1"/>
  <c r="L31" i="28"/>
  <c r="L31" i="29" s="1"/>
  <c r="L29" i="28"/>
  <c r="L29" i="29" s="1"/>
  <c r="L26" i="28"/>
  <c r="L26" i="29" s="1"/>
  <c r="L25" i="28"/>
  <c r="L25" i="29" s="1"/>
  <c r="L22" i="28"/>
  <c r="L22" i="29" s="1"/>
  <c r="B5" i="28"/>
  <c r="B5" i="29" s="1"/>
  <c r="Q5" i="28"/>
  <c r="Q5" i="29" s="1"/>
  <c r="D5" i="28"/>
  <c r="D5" i="29" s="1"/>
  <c r="I5" i="28"/>
  <c r="I5" i="29" s="1"/>
  <c r="M5" i="28"/>
  <c r="M5" i="29" s="1"/>
  <c r="P5" i="28"/>
  <c r="P5" i="29" s="1"/>
  <c r="E5" i="28"/>
  <c r="E5" i="29" s="1"/>
  <c r="N5" i="28"/>
  <c r="N5" i="29" s="1"/>
  <c r="L5" i="28"/>
  <c r="L5" i="29" s="1"/>
  <c r="K5" i="28"/>
  <c r="K5" i="29" s="1"/>
  <c r="J5" i="28"/>
  <c r="J5" i="29" s="1"/>
  <c r="G5" i="28"/>
  <c r="G5" i="29" s="1"/>
  <c r="H5" i="28"/>
  <c r="H5" i="29" s="1"/>
  <c r="C5" i="28"/>
  <c r="C5" i="29" s="1"/>
  <c r="F5" i="28"/>
  <c r="F5" i="29" s="1"/>
  <c r="L21" i="28"/>
  <c r="L21" i="29" s="1"/>
  <c r="L18" i="28"/>
  <c r="L18" i="29" s="1"/>
  <c r="L17" i="28"/>
  <c r="L17" i="29" s="1"/>
  <c r="L14" i="28"/>
  <c r="L14" i="29" s="1"/>
  <c r="L13" i="28"/>
  <c r="L13" i="29" s="1"/>
  <c r="L12" i="28"/>
  <c r="L12" i="29" s="1"/>
  <c r="L11" i="28"/>
  <c r="L11" i="29" s="1"/>
  <c r="E40" i="28"/>
  <c r="E40" i="29" s="1"/>
  <c r="B4" i="28"/>
  <c r="B4" i="29" s="1"/>
  <c r="Q4" i="28"/>
  <c r="Q4" i="29" s="1"/>
  <c r="O4" i="28"/>
  <c r="O4" i="29" s="1"/>
  <c r="H4" i="28"/>
  <c r="H4" i="29" s="1"/>
  <c r="M4" i="28"/>
  <c r="M4" i="29" s="1"/>
  <c r="N4" i="28"/>
  <c r="N4" i="29" s="1"/>
  <c r="K4" i="28"/>
  <c r="K4" i="29" s="1"/>
  <c r="C42" i="28"/>
  <c r="C42" i="29" s="1"/>
  <c r="J4" i="28"/>
  <c r="J4" i="29" s="1"/>
  <c r="I4" i="28"/>
  <c r="I4" i="29" s="1"/>
  <c r="P4" i="28"/>
  <c r="P4" i="29" s="1"/>
  <c r="F4" i="28"/>
  <c r="F4" i="29" s="1"/>
  <c r="G4" i="28"/>
  <c r="G4" i="29" s="1"/>
  <c r="L4" i="28"/>
  <c r="L4" i="29" s="1"/>
  <c r="E4" i="28"/>
  <c r="E4" i="29" s="1"/>
  <c r="D4" i="28"/>
  <c r="D4" i="29" s="1"/>
  <c r="C59" i="28"/>
  <c r="C59" i="29" s="1"/>
  <c r="C62" i="28"/>
  <c r="C62" i="29" s="1"/>
  <c r="C61" i="28"/>
  <c r="C61" i="29" s="1"/>
  <c r="F63" i="28"/>
  <c r="F63" i="29" s="1"/>
  <c r="F62" i="28"/>
  <c r="F62" i="29" s="1"/>
  <c r="F61" i="28"/>
  <c r="F61" i="29" s="1"/>
  <c r="F60" i="28"/>
  <c r="F60" i="29" s="1"/>
  <c r="F59" i="28"/>
  <c r="F59" i="29" s="1"/>
  <c r="F58" i="28"/>
  <c r="F58" i="29" s="1"/>
  <c r="F57" i="28"/>
  <c r="F57" i="29" s="1"/>
  <c r="F56" i="28"/>
  <c r="F56" i="29" s="1"/>
  <c r="F55" i="28"/>
  <c r="F55" i="29" s="1"/>
  <c r="F54" i="28"/>
  <c r="F54" i="29" s="1"/>
  <c r="F53" i="28"/>
  <c r="F53" i="29" s="1"/>
  <c r="F52" i="28"/>
  <c r="F52" i="29" s="1"/>
  <c r="F51" i="28"/>
  <c r="F51" i="29" s="1"/>
  <c r="F49" i="28"/>
  <c r="F49" i="29" s="1"/>
  <c r="F48" i="28"/>
  <c r="F48" i="29" s="1"/>
  <c r="F47" i="28"/>
  <c r="F47" i="29" s="1"/>
  <c r="F46" i="28"/>
  <c r="F46" i="29" s="1"/>
  <c r="F45" i="28"/>
  <c r="F45" i="29" s="1"/>
  <c r="F44" i="28"/>
  <c r="F44" i="29" s="1"/>
  <c r="F43" i="28"/>
  <c r="F43" i="29" s="1"/>
  <c r="F42" i="28"/>
  <c r="F42" i="29" s="1"/>
  <c r="F41" i="28"/>
  <c r="F41" i="29" s="1"/>
  <c r="H37" i="28"/>
  <c r="H37" i="29" s="1"/>
  <c r="I63" i="28"/>
  <c r="I63" i="29" s="1"/>
  <c r="I62" i="28"/>
  <c r="I62" i="29" s="1"/>
  <c r="I61" i="28"/>
  <c r="I61" i="29" s="1"/>
  <c r="I60" i="28"/>
  <c r="I60" i="29" s="1"/>
  <c r="I59" i="28"/>
  <c r="I59" i="29" s="1"/>
  <c r="I58" i="28"/>
  <c r="I58" i="29" s="1"/>
  <c r="I57" i="28"/>
  <c r="I57" i="29" s="1"/>
  <c r="I56" i="28"/>
  <c r="I56" i="29" s="1"/>
  <c r="I55" i="28"/>
  <c r="I55" i="29" s="1"/>
  <c r="I54" i="28"/>
  <c r="I54" i="29" s="1"/>
  <c r="I53" i="28"/>
  <c r="I53" i="29" s="1"/>
  <c r="I52" i="28"/>
  <c r="I52" i="29" s="1"/>
  <c r="I51" i="28"/>
  <c r="I51" i="29" s="1"/>
  <c r="I49" i="28"/>
  <c r="I49" i="29" s="1"/>
  <c r="I48" i="28"/>
  <c r="I48" i="29" s="1"/>
  <c r="I47" i="28"/>
  <c r="I47" i="29" s="1"/>
  <c r="I46" i="28"/>
  <c r="I46" i="29" s="1"/>
  <c r="I45" i="28"/>
  <c r="I45" i="29" s="1"/>
  <c r="I44" i="28"/>
  <c r="I44" i="29" s="1"/>
  <c r="I43" i="28"/>
  <c r="I43" i="29" s="1"/>
  <c r="I42" i="28"/>
  <c r="I42" i="29" s="1"/>
  <c r="I41" i="28"/>
  <c r="I41" i="29" s="1"/>
  <c r="N39" i="28"/>
  <c r="N39" i="29" s="1"/>
  <c r="N37" i="28"/>
  <c r="N37" i="29" s="1"/>
  <c r="D36" i="28"/>
  <c r="D36" i="29" s="1"/>
  <c r="D35" i="28"/>
  <c r="D35" i="29" s="1"/>
  <c r="D34" i="28"/>
  <c r="D34" i="29" s="1"/>
  <c r="D33" i="28"/>
  <c r="D33" i="29" s="1"/>
  <c r="D32" i="28"/>
  <c r="D32" i="29" s="1"/>
  <c r="D31" i="28"/>
  <c r="D31" i="29" s="1"/>
  <c r="D30" i="28"/>
  <c r="D30" i="29" s="1"/>
  <c r="D29" i="28"/>
  <c r="D29" i="29" s="1"/>
  <c r="D28" i="28"/>
  <c r="D28" i="29" s="1"/>
  <c r="D27" i="28"/>
  <c r="D27" i="29" s="1"/>
  <c r="D26" i="28"/>
  <c r="D26" i="29" s="1"/>
  <c r="D25" i="28"/>
  <c r="D25" i="29" s="1"/>
  <c r="D24" i="28"/>
  <c r="D24" i="29" s="1"/>
  <c r="D23" i="28"/>
  <c r="D23" i="29" s="1"/>
  <c r="D22" i="28"/>
  <c r="D22" i="29" s="1"/>
  <c r="D21" i="28"/>
  <c r="D21" i="29" s="1"/>
  <c r="D20" i="28"/>
  <c r="D20" i="29" s="1"/>
  <c r="D19" i="28"/>
  <c r="D19" i="29" s="1"/>
  <c r="D18" i="28"/>
  <c r="D18" i="29" s="1"/>
  <c r="D17" i="28"/>
  <c r="D17" i="29" s="1"/>
  <c r="D16" i="28"/>
  <c r="D16" i="29" s="1"/>
  <c r="D15" i="28"/>
  <c r="D15" i="29" s="1"/>
  <c r="D14" i="28"/>
  <c r="D14" i="29" s="1"/>
  <c r="D13" i="28"/>
  <c r="D13" i="29" s="1"/>
  <c r="D12" i="28"/>
  <c r="D12" i="29" s="1"/>
  <c r="D11" i="28"/>
  <c r="D11" i="29" s="1"/>
  <c r="D10" i="28"/>
  <c r="D10" i="29" s="1"/>
  <c r="D9" i="28"/>
  <c r="D9" i="29" s="1"/>
  <c r="D8" i="28"/>
  <c r="D8" i="29" s="1"/>
  <c r="D7" i="28"/>
  <c r="D7" i="29" s="1"/>
  <c r="G40" i="28"/>
  <c r="G40" i="29" s="1"/>
  <c r="G39" i="28"/>
  <c r="G39" i="29" s="1"/>
  <c r="G38" i="28"/>
  <c r="G38" i="29" s="1"/>
  <c r="G37" i="28"/>
  <c r="G37" i="29" s="1"/>
  <c r="G36" i="28"/>
  <c r="G36" i="29" s="1"/>
  <c r="G35" i="28"/>
  <c r="G35" i="29" s="1"/>
  <c r="G34" i="28"/>
  <c r="G34" i="29" s="1"/>
  <c r="G33" i="28"/>
  <c r="G33" i="29" s="1"/>
  <c r="G32" i="28"/>
  <c r="G32" i="29" s="1"/>
  <c r="G31" i="28"/>
  <c r="G31" i="29" s="1"/>
  <c r="G30" i="28"/>
  <c r="G30" i="29" s="1"/>
  <c r="O28" i="28"/>
  <c r="O28" i="29" s="1"/>
  <c r="O27" i="28"/>
  <c r="O27" i="29" s="1"/>
  <c r="O26" i="28"/>
  <c r="O26" i="29" s="1"/>
  <c r="O25" i="28"/>
  <c r="O25" i="29" s="1"/>
  <c r="O24" i="28"/>
  <c r="O24" i="29" s="1"/>
  <c r="O23" i="28"/>
  <c r="O23" i="29" s="1"/>
  <c r="O22" i="28"/>
  <c r="O22" i="29" s="1"/>
  <c r="O21" i="28"/>
  <c r="O21" i="29" s="1"/>
  <c r="O20" i="28"/>
  <c r="O20" i="29" s="1"/>
  <c r="O19" i="28"/>
  <c r="O19" i="29" s="1"/>
  <c r="O18" i="28"/>
  <c r="O18" i="29" s="1"/>
  <c r="O17" i="28"/>
  <c r="O17" i="29" s="1"/>
  <c r="O16" i="28"/>
  <c r="O16" i="29" s="1"/>
  <c r="O15" i="28"/>
  <c r="O15" i="29" s="1"/>
  <c r="O14" i="28"/>
  <c r="O14" i="29" s="1"/>
  <c r="O13" i="28"/>
  <c r="O13" i="29" s="1"/>
  <c r="O12" i="28"/>
  <c r="O12" i="29" s="1"/>
  <c r="O11" i="28"/>
  <c r="O11" i="29" s="1"/>
  <c r="O10" i="28"/>
  <c r="O10" i="29" s="1"/>
  <c r="O9" i="28"/>
  <c r="O9" i="29" s="1"/>
  <c r="O8" i="28"/>
  <c r="O8" i="29" s="1"/>
  <c r="O7" i="28"/>
  <c r="O7" i="29" s="1"/>
  <c r="H63" i="28"/>
  <c r="H63" i="29" s="1"/>
  <c r="H62" i="28"/>
  <c r="H62" i="29" s="1"/>
  <c r="H61" i="28"/>
  <c r="H61" i="29" s="1"/>
  <c r="H60" i="28"/>
  <c r="H60" i="29" s="1"/>
  <c r="H59" i="28"/>
  <c r="H59" i="29" s="1"/>
  <c r="H58" i="28"/>
  <c r="H58" i="29" s="1"/>
  <c r="H57" i="28"/>
  <c r="H57" i="29" s="1"/>
  <c r="H56" i="28"/>
  <c r="H56" i="29" s="1"/>
  <c r="H55" i="28"/>
  <c r="H55" i="29" s="1"/>
  <c r="H54" i="28"/>
  <c r="H54" i="29" s="1"/>
  <c r="H53" i="28"/>
  <c r="H53" i="29" s="1"/>
  <c r="H52" i="28"/>
  <c r="H52" i="29" s="1"/>
  <c r="H51" i="28"/>
  <c r="H51" i="29" s="1"/>
  <c r="H49" i="28"/>
  <c r="H49" i="29" s="1"/>
  <c r="H48" i="28"/>
  <c r="H48" i="29" s="1"/>
  <c r="H47" i="28"/>
  <c r="H47" i="29" s="1"/>
  <c r="H46" i="28"/>
  <c r="H46" i="29" s="1"/>
  <c r="H45" i="28"/>
  <c r="H45" i="29" s="1"/>
  <c r="H44" i="28"/>
  <c r="H44" i="29" s="1"/>
  <c r="H43" i="28"/>
  <c r="H43" i="29" s="1"/>
  <c r="H42" i="28"/>
  <c r="H42" i="29" s="1"/>
  <c r="H41" i="28"/>
  <c r="H41" i="29" s="1"/>
  <c r="L39" i="28"/>
  <c r="L39" i="29" s="1"/>
  <c r="L37" i="28"/>
  <c r="L37" i="29" s="1"/>
  <c r="K63" i="28"/>
  <c r="K63" i="29" s="1"/>
  <c r="G62" i="28"/>
  <c r="G62" i="29" s="1"/>
  <c r="O60" i="28"/>
  <c r="O60" i="29" s="1"/>
  <c r="K59" i="28"/>
  <c r="K59" i="29" s="1"/>
  <c r="G58" i="28"/>
  <c r="G58" i="29" s="1"/>
  <c r="O56" i="28"/>
  <c r="O56" i="29" s="1"/>
  <c r="K55" i="28"/>
  <c r="K55" i="29" s="1"/>
  <c r="G54" i="28"/>
  <c r="G54" i="29" s="1"/>
  <c r="O52" i="28"/>
  <c r="O52" i="29" s="1"/>
  <c r="K51" i="28"/>
  <c r="K51" i="29" s="1"/>
  <c r="G49" i="28"/>
  <c r="G49" i="29" s="1"/>
  <c r="O47" i="28"/>
  <c r="O47" i="29" s="1"/>
  <c r="K46" i="28"/>
  <c r="K46" i="29" s="1"/>
  <c r="G45" i="28"/>
  <c r="G45" i="29" s="1"/>
  <c r="O43" i="28"/>
  <c r="O43" i="29" s="1"/>
  <c r="K42" i="28"/>
  <c r="K42" i="29" s="1"/>
  <c r="G41" i="28"/>
  <c r="G41" i="29" s="1"/>
  <c r="B39" i="28"/>
  <c r="B39" i="29" s="1"/>
  <c r="B37" i="28"/>
  <c r="B37" i="29" s="1"/>
  <c r="N35" i="28"/>
  <c r="N35" i="29" s="1"/>
  <c r="N34" i="28"/>
  <c r="N34" i="29" s="1"/>
  <c r="N33" i="28"/>
  <c r="N33" i="29" s="1"/>
  <c r="N32" i="28"/>
  <c r="N32" i="29" s="1"/>
  <c r="N31" i="28"/>
  <c r="N31" i="29" s="1"/>
  <c r="N30" i="28"/>
  <c r="N30" i="29" s="1"/>
  <c r="N29" i="28"/>
  <c r="N29" i="29" s="1"/>
  <c r="N28" i="28"/>
  <c r="N28" i="29" s="1"/>
  <c r="N27" i="28"/>
  <c r="N27" i="29" s="1"/>
  <c r="N26" i="28"/>
  <c r="N26" i="29" s="1"/>
  <c r="N25" i="28"/>
  <c r="N25" i="29" s="1"/>
  <c r="N24" i="28"/>
  <c r="N24" i="29" s="1"/>
  <c r="N23" i="28"/>
  <c r="N23" i="29" s="1"/>
  <c r="N22" i="28"/>
  <c r="N22" i="29" s="1"/>
  <c r="N21" i="28"/>
  <c r="N21" i="29" s="1"/>
  <c r="N20" i="28"/>
  <c r="N20" i="29" s="1"/>
  <c r="N19" i="28"/>
  <c r="N19" i="29" s="1"/>
  <c r="N18" i="28"/>
  <c r="N18" i="29" s="1"/>
  <c r="N17" i="28"/>
  <c r="N17" i="29" s="1"/>
  <c r="N16" i="28"/>
  <c r="N16" i="29" s="1"/>
  <c r="N15" i="28"/>
  <c r="N15" i="29" s="1"/>
  <c r="N14" i="28"/>
  <c r="N14" i="29" s="1"/>
  <c r="N13" i="28"/>
  <c r="N13" i="29" s="1"/>
  <c r="N12" i="28"/>
  <c r="N12" i="29" s="1"/>
  <c r="N11" i="28"/>
  <c r="N11" i="29" s="1"/>
  <c r="N10" i="28"/>
  <c r="N10" i="29" s="1"/>
  <c r="N9" i="28"/>
  <c r="N9" i="29" s="1"/>
  <c r="N8" i="28"/>
  <c r="N8" i="29" s="1"/>
  <c r="N7" i="28"/>
  <c r="N7" i="29" s="1"/>
  <c r="Q40" i="28"/>
  <c r="Q40" i="29" s="1"/>
  <c r="M39" i="28"/>
  <c r="M39" i="29" s="1"/>
  <c r="I38" i="28"/>
  <c r="I38" i="29" s="1"/>
  <c r="Q36" i="28"/>
  <c r="Q36" i="29" s="1"/>
  <c r="M35" i="28"/>
  <c r="M35" i="29" s="1"/>
  <c r="I34" i="28"/>
  <c r="I34" i="29" s="1"/>
  <c r="Q32" i="28"/>
  <c r="Q32" i="29" s="1"/>
  <c r="M31" i="28"/>
  <c r="M31" i="29" s="1"/>
  <c r="I30" i="28"/>
  <c r="I30" i="29" s="1"/>
  <c r="I28" i="28"/>
  <c r="I28" i="29" s="1"/>
  <c r="Q26" i="28"/>
  <c r="Q26" i="29" s="1"/>
  <c r="M25" i="28"/>
  <c r="M25" i="29" s="1"/>
  <c r="I24" i="28"/>
  <c r="I24" i="29" s="1"/>
  <c r="Q22" i="28"/>
  <c r="Q22" i="29" s="1"/>
  <c r="M21" i="28"/>
  <c r="M21" i="29" s="1"/>
  <c r="I20" i="28"/>
  <c r="I20" i="29" s="1"/>
  <c r="Q18" i="28"/>
  <c r="Q18" i="29" s="1"/>
  <c r="M17" i="28"/>
  <c r="M17" i="29" s="1"/>
  <c r="I16" i="28"/>
  <c r="I16" i="29" s="1"/>
  <c r="Q14" i="28"/>
  <c r="Q14" i="29" s="1"/>
  <c r="M13" i="28"/>
  <c r="M13" i="29" s="1"/>
  <c r="Q10" i="28"/>
  <c r="Q10" i="29" s="1"/>
  <c r="I8" i="28"/>
  <c r="I8" i="29" s="1"/>
  <c r="C63" i="28"/>
  <c r="C63" i="29" s="1"/>
  <c r="E11" i="28"/>
  <c r="E11" i="29" s="1"/>
  <c r="E13" i="28"/>
  <c r="E13" i="29" s="1"/>
  <c r="E21" i="28"/>
  <c r="E21" i="29" s="1"/>
  <c r="E29" i="28"/>
  <c r="E29" i="29" s="1"/>
  <c r="E35" i="28"/>
  <c r="E35" i="29" s="1"/>
  <c r="C47" i="28"/>
  <c r="C47" i="29" s="1"/>
  <c r="C49" i="28"/>
  <c r="C49" i="29" s="1"/>
  <c r="C57" i="28"/>
  <c r="C57" i="29" s="1"/>
  <c r="E12" i="28"/>
  <c r="E12" i="29" s="1"/>
  <c r="E18" i="28"/>
  <c r="E18" i="29" s="1"/>
  <c r="E26" i="28"/>
  <c r="E26" i="29" s="1"/>
  <c r="E36" i="28"/>
  <c r="E36" i="29" s="1"/>
  <c r="C48" i="28"/>
  <c r="C48" i="29" s="1"/>
  <c r="C51" i="28"/>
  <c r="C51" i="29" s="1"/>
  <c r="B63" i="28"/>
  <c r="B63" i="29" s="1"/>
  <c r="B62" i="28"/>
  <c r="B62" i="29" s="1"/>
  <c r="B61" i="28"/>
  <c r="B61" i="29" s="1"/>
  <c r="B60" i="28"/>
  <c r="B60" i="29" s="1"/>
  <c r="B59" i="28"/>
  <c r="B59" i="29" s="1"/>
  <c r="B58" i="28"/>
  <c r="B58" i="29" s="1"/>
  <c r="B57" i="28"/>
  <c r="B57" i="29" s="1"/>
  <c r="B56" i="28"/>
  <c r="B56" i="29" s="1"/>
  <c r="B55" i="28"/>
  <c r="B55" i="29" s="1"/>
  <c r="B54" i="28"/>
  <c r="B54" i="29" s="1"/>
  <c r="B53" i="28"/>
  <c r="B53" i="29" s="1"/>
  <c r="B52" i="28"/>
  <c r="B52" i="29" s="1"/>
  <c r="B51" i="28"/>
  <c r="B51" i="29" s="1"/>
  <c r="B49" i="28"/>
  <c r="B49" i="29" s="1"/>
  <c r="B48" i="28"/>
  <c r="B48" i="29" s="1"/>
  <c r="B47" i="28"/>
  <c r="B47" i="29" s="1"/>
  <c r="B46" i="28"/>
  <c r="B46" i="29" s="1"/>
  <c r="B45" i="28"/>
  <c r="B45" i="29" s="1"/>
  <c r="B44" i="28"/>
  <c r="B44" i="29" s="1"/>
  <c r="B43" i="28"/>
  <c r="B43" i="29" s="1"/>
  <c r="B42" i="28"/>
  <c r="B42" i="29" s="1"/>
  <c r="P40" i="28"/>
  <c r="P40" i="29" s="1"/>
  <c r="P38" i="28"/>
  <c r="P38" i="29" s="1"/>
  <c r="P36" i="28"/>
  <c r="P36" i="29" s="1"/>
  <c r="E63" i="28"/>
  <c r="E63" i="29" s="1"/>
  <c r="E62" i="28"/>
  <c r="E62" i="29" s="1"/>
  <c r="E61" i="28"/>
  <c r="E61" i="29" s="1"/>
  <c r="E60" i="28"/>
  <c r="E60" i="29" s="1"/>
  <c r="E59" i="28"/>
  <c r="E59" i="29" s="1"/>
  <c r="E58" i="28"/>
  <c r="E58" i="29" s="1"/>
  <c r="E57" i="28"/>
  <c r="E57" i="29" s="1"/>
  <c r="E56" i="28"/>
  <c r="E56" i="29" s="1"/>
  <c r="E55" i="28"/>
  <c r="E55" i="29" s="1"/>
  <c r="E54" i="28"/>
  <c r="E54" i="29" s="1"/>
  <c r="E53" i="28"/>
  <c r="E53" i="29" s="1"/>
  <c r="E52" i="28"/>
  <c r="E52" i="29" s="1"/>
  <c r="E51" i="28"/>
  <c r="E51" i="29" s="1"/>
  <c r="E49" i="28"/>
  <c r="E49" i="29" s="1"/>
  <c r="E48" i="28"/>
  <c r="E48" i="29" s="1"/>
  <c r="E47" i="28"/>
  <c r="E47" i="29" s="1"/>
  <c r="E46" i="28"/>
  <c r="E46" i="29" s="1"/>
  <c r="E45" i="28"/>
  <c r="E45" i="29" s="1"/>
  <c r="E44" i="28"/>
  <c r="E44" i="29" s="1"/>
  <c r="E43" i="28"/>
  <c r="E43" i="29" s="1"/>
  <c r="E42" i="28"/>
  <c r="E42" i="29" s="1"/>
  <c r="E41" i="28"/>
  <c r="E41" i="29" s="1"/>
  <c r="F39" i="28"/>
  <c r="F39" i="29" s="1"/>
  <c r="F37" i="28"/>
  <c r="F37" i="29" s="1"/>
  <c r="P35" i="28"/>
  <c r="P35" i="29" s="1"/>
  <c r="P34" i="28"/>
  <c r="P34" i="29" s="1"/>
  <c r="P33" i="28"/>
  <c r="P33" i="29" s="1"/>
  <c r="P32" i="28"/>
  <c r="P32" i="29" s="1"/>
  <c r="P31" i="28"/>
  <c r="P31" i="29" s="1"/>
  <c r="P30" i="28"/>
  <c r="P30" i="29" s="1"/>
  <c r="P29" i="28"/>
  <c r="P29" i="29" s="1"/>
  <c r="P28" i="28"/>
  <c r="P28" i="29" s="1"/>
  <c r="P27" i="28"/>
  <c r="P27" i="29" s="1"/>
  <c r="P26" i="28"/>
  <c r="P26" i="29" s="1"/>
  <c r="P25" i="28"/>
  <c r="P25" i="29" s="1"/>
  <c r="P24" i="28"/>
  <c r="P24" i="29" s="1"/>
  <c r="P23" i="28"/>
  <c r="P23" i="29" s="1"/>
  <c r="P22" i="28"/>
  <c r="P22" i="29" s="1"/>
  <c r="P21" i="28"/>
  <c r="P21" i="29" s="1"/>
  <c r="P20" i="28"/>
  <c r="P20" i="29" s="1"/>
  <c r="P19" i="28"/>
  <c r="P19" i="29" s="1"/>
  <c r="P18" i="28"/>
  <c r="P18" i="29" s="1"/>
  <c r="P17" i="28"/>
  <c r="P17" i="29" s="1"/>
  <c r="P16" i="28"/>
  <c r="P16" i="29" s="1"/>
  <c r="P15" i="28"/>
  <c r="P15" i="29" s="1"/>
  <c r="P14" i="28"/>
  <c r="P14" i="29" s="1"/>
  <c r="P13" i="28"/>
  <c r="P13" i="29" s="1"/>
  <c r="P12" i="28"/>
  <c r="P12" i="29" s="1"/>
  <c r="P11" i="28"/>
  <c r="P11" i="29" s="1"/>
  <c r="P10" i="28"/>
  <c r="P10" i="29" s="1"/>
  <c r="P9" i="28"/>
  <c r="P9" i="29" s="1"/>
  <c r="P8" i="28"/>
  <c r="P8" i="29" s="1"/>
  <c r="P7" i="28"/>
  <c r="P7" i="29" s="1"/>
  <c r="C41" i="28"/>
  <c r="C41" i="29" s="1"/>
  <c r="C40" i="28"/>
  <c r="C40" i="29" s="1"/>
  <c r="C39" i="28"/>
  <c r="C39" i="29" s="1"/>
  <c r="C38" i="28"/>
  <c r="C38" i="29" s="1"/>
  <c r="C37" i="28"/>
  <c r="C37" i="29" s="1"/>
  <c r="C36" i="28"/>
  <c r="C36" i="29" s="1"/>
  <c r="C35" i="28"/>
  <c r="C35" i="29" s="1"/>
  <c r="C34" i="28"/>
  <c r="C34" i="29" s="1"/>
  <c r="C33" i="28"/>
  <c r="C33" i="29" s="1"/>
  <c r="C32" i="28"/>
  <c r="C32" i="29" s="1"/>
  <c r="C31" i="28"/>
  <c r="C31" i="29" s="1"/>
  <c r="C30" i="28"/>
  <c r="C30" i="29" s="1"/>
  <c r="K28" i="28"/>
  <c r="K28" i="29" s="1"/>
  <c r="K27" i="28"/>
  <c r="K27" i="29" s="1"/>
  <c r="K26" i="28"/>
  <c r="K26" i="29" s="1"/>
  <c r="K25" i="28"/>
  <c r="K25" i="29" s="1"/>
  <c r="K24" i="28"/>
  <c r="K24" i="29" s="1"/>
  <c r="K23" i="28"/>
  <c r="K23" i="29" s="1"/>
  <c r="K22" i="28"/>
  <c r="K22" i="29" s="1"/>
  <c r="K21" i="28"/>
  <c r="K21" i="29" s="1"/>
  <c r="K20" i="28"/>
  <c r="K20" i="29" s="1"/>
  <c r="K19" i="28"/>
  <c r="K19" i="29" s="1"/>
  <c r="K18" i="28"/>
  <c r="K18" i="29" s="1"/>
  <c r="K17" i="28"/>
  <c r="K17" i="29" s="1"/>
  <c r="K16" i="28"/>
  <c r="K16" i="29" s="1"/>
  <c r="K15" i="28"/>
  <c r="K15" i="29" s="1"/>
  <c r="K14" i="28"/>
  <c r="K14" i="29" s="1"/>
  <c r="K13" i="28"/>
  <c r="K13" i="29" s="1"/>
  <c r="K12" i="28"/>
  <c r="K12" i="29" s="1"/>
  <c r="K11" i="28"/>
  <c r="K11" i="29" s="1"/>
  <c r="K10" i="28"/>
  <c r="K10" i="29" s="1"/>
  <c r="K9" i="28"/>
  <c r="K9" i="29" s="1"/>
  <c r="K8" i="28"/>
  <c r="K8" i="29" s="1"/>
  <c r="K7" i="28"/>
  <c r="K7" i="29" s="1"/>
  <c r="D63" i="28"/>
  <c r="D63" i="29" s="1"/>
  <c r="D62" i="28"/>
  <c r="D62" i="29" s="1"/>
  <c r="D61" i="28"/>
  <c r="D61" i="29" s="1"/>
  <c r="D60" i="28"/>
  <c r="D60" i="29" s="1"/>
  <c r="D59" i="28"/>
  <c r="D59" i="29" s="1"/>
  <c r="D58" i="28"/>
  <c r="D58" i="29" s="1"/>
  <c r="D57" i="28"/>
  <c r="D57" i="29" s="1"/>
  <c r="D56" i="28"/>
  <c r="D56" i="29" s="1"/>
  <c r="D55" i="28"/>
  <c r="D55" i="29" s="1"/>
  <c r="D54" i="28"/>
  <c r="D54" i="29" s="1"/>
  <c r="D53" i="28"/>
  <c r="D53" i="29" s="1"/>
  <c r="D52" i="28"/>
  <c r="D52" i="29" s="1"/>
  <c r="D51" i="28"/>
  <c r="D51" i="29" s="1"/>
  <c r="D49" i="28"/>
  <c r="D49" i="29" s="1"/>
  <c r="D48" i="28"/>
  <c r="D48" i="29" s="1"/>
  <c r="D47" i="28"/>
  <c r="D47" i="29" s="1"/>
  <c r="D46" i="28"/>
  <c r="D46" i="29" s="1"/>
  <c r="D45" i="28"/>
  <c r="D45" i="29" s="1"/>
  <c r="D44" i="28"/>
  <c r="D44" i="29" s="1"/>
  <c r="D43" i="28"/>
  <c r="D43" i="29" s="1"/>
  <c r="D42" i="28"/>
  <c r="D42" i="29" s="1"/>
  <c r="D41" i="28"/>
  <c r="D41" i="29" s="1"/>
  <c r="D39" i="28"/>
  <c r="D39" i="29" s="1"/>
  <c r="D37" i="28"/>
  <c r="D37" i="29" s="1"/>
  <c r="G63" i="28"/>
  <c r="G63" i="29" s="1"/>
  <c r="O61" i="28"/>
  <c r="O61" i="29" s="1"/>
  <c r="K60" i="28"/>
  <c r="K60" i="29" s="1"/>
  <c r="G59" i="28"/>
  <c r="G59" i="29" s="1"/>
  <c r="O57" i="28"/>
  <c r="O57" i="29" s="1"/>
  <c r="K56" i="28"/>
  <c r="K56" i="29" s="1"/>
  <c r="G55" i="28"/>
  <c r="G55" i="29" s="1"/>
  <c r="O53" i="28"/>
  <c r="O53" i="29" s="1"/>
  <c r="K52" i="28"/>
  <c r="K52" i="29" s="1"/>
  <c r="G51" i="28"/>
  <c r="G51" i="29" s="1"/>
  <c r="O48" i="28"/>
  <c r="O48" i="29" s="1"/>
  <c r="K47" i="28"/>
  <c r="K47" i="29" s="1"/>
  <c r="G46" i="28"/>
  <c r="G46" i="29" s="1"/>
  <c r="O44" i="28"/>
  <c r="O44" i="29" s="1"/>
  <c r="K43" i="28"/>
  <c r="K43" i="29" s="1"/>
  <c r="G42" i="28"/>
  <c r="G42" i="29" s="1"/>
  <c r="J40" i="28"/>
  <c r="J40" i="29" s="1"/>
  <c r="J38" i="28"/>
  <c r="J38" i="29" s="1"/>
  <c r="J36" i="28"/>
  <c r="J36" i="29" s="1"/>
  <c r="J35" i="28"/>
  <c r="J35" i="29" s="1"/>
  <c r="J34" i="28"/>
  <c r="J34" i="29" s="1"/>
  <c r="J33" i="28"/>
  <c r="J33" i="29" s="1"/>
  <c r="J32" i="28"/>
  <c r="J32" i="29" s="1"/>
  <c r="J31" i="28"/>
  <c r="J31" i="29" s="1"/>
  <c r="J30" i="28"/>
  <c r="J30" i="29" s="1"/>
  <c r="J29" i="28"/>
  <c r="J29" i="29" s="1"/>
  <c r="J28" i="28"/>
  <c r="J28" i="29" s="1"/>
  <c r="J27" i="28"/>
  <c r="J27" i="29" s="1"/>
  <c r="J26" i="28"/>
  <c r="J26" i="29" s="1"/>
  <c r="J25" i="28"/>
  <c r="J25" i="29" s="1"/>
  <c r="J24" i="28"/>
  <c r="J24" i="29" s="1"/>
  <c r="J23" i="28"/>
  <c r="J23" i="29" s="1"/>
  <c r="J22" i="28"/>
  <c r="J22" i="29" s="1"/>
  <c r="J21" i="28"/>
  <c r="J21" i="29" s="1"/>
  <c r="J20" i="28"/>
  <c r="J20" i="29" s="1"/>
  <c r="J19" i="28"/>
  <c r="J19" i="29" s="1"/>
  <c r="J18" i="28"/>
  <c r="J18" i="29" s="1"/>
  <c r="J17" i="28"/>
  <c r="J17" i="29" s="1"/>
  <c r="J16" i="28"/>
  <c r="J16" i="29" s="1"/>
  <c r="J15" i="28"/>
  <c r="J15" i="29" s="1"/>
  <c r="J14" i="28"/>
  <c r="J14" i="29" s="1"/>
  <c r="J13" i="28"/>
  <c r="J13" i="29" s="1"/>
  <c r="J12" i="28"/>
  <c r="J12" i="29" s="1"/>
  <c r="J11" i="28"/>
  <c r="J11" i="29" s="1"/>
  <c r="J10" i="28"/>
  <c r="J10" i="29" s="1"/>
  <c r="J9" i="28"/>
  <c r="J9" i="29" s="1"/>
  <c r="J8" i="28"/>
  <c r="J8" i="29" s="1"/>
  <c r="J7" i="28"/>
  <c r="J7" i="29" s="1"/>
  <c r="M40" i="28"/>
  <c r="M40" i="29" s="1"/>
  <c r="I39" i="28"/>
  <c r="I39" i="29" s="1"/>
  <c r="Q37" i="28"/>
  <c r="Q37" i="29" s="1"/>
  <c r="M36" i="28"/>
  <c r="M36" i="29" s="1"/>
  <c r="I35" i="28"/>
  <c r="I35" i="29" s="1"/>
  <c r="Q33" i="28"/>
  <c r="Q33" i="29" s="1"/>
  <c r="M32" i="28"/>
  <c r="M32" i="29" s="1"/>
  <c r="I31" i="28"/>
  <c r="I31" i="29" s="1"/>
  <c r="Q29" i="28"/>
  <c r="Q29" i="29" s="1"/>
  <c r="Q27" i="28"/>
  <c r="Q27" i="29" s="1"/>
  <c r="M26" i="28"/>
  <c r="M26" i="29" s="1"/>
  <c r="I25" i="28"/>
  <c r="I25" i="29" s="1"/>
  <c r="Q23" i="28"/>
  <c r="Q23" i="29" s="1"/>
  <c r="M22" i="28"/>
  <c r="M22" i="29" s="1"/>
  <c r="I21" i="28"/>
  <c r="I21" i="29" s="1"/>
  <c r="Q19" i="28"/>
  <c r="Q19" i="29" s="1"/>
  <c r="M18" i="28"/>
  <c r="M18" i="29" s="1"/>
  <c r="I17" i="28"/>
  <c r="I17" i="29" s="1"/>
  <c r="Q15" i="28"/>
  <c r="Q15" i="29" s="1"/>
  <c r="M14" i="28"/>
  <c r="M14" i="29" s="1"/>
  <c r="I13" i="28"/>
  <c r="I13" i="29" s="1"/>
  <c r="Q11" i="28"/>
  <c r="Q11" i="29" s="1"/>
  <c r="M10" i="28"/>
  <c r="M10" i="29" s="1"/>
  <c r="I9" i="28"/>
  <c r="I9" i="29" s="1"/>
  <c r="Q7" i="28"/>
  <c r="Q7" i="29" s="1"/>
  <c r="Q12" i="28"/>
  <c r="Q12" i="29" s="1"/>
  <c r="I10" i="28"/>
  <c r="I10" i="29" s="1"/>
  <c r="M7" i="28"/>
  <c r="M7" i="29" s="1"/>
  <c r="N60" i="28"/>
  <c r="N60" i="29" s="1"/>
  <c r="N54" i="28"/>
  <c r="N54" i="29" s="1"/>
  <c r="N53" i="28"/>
  <c r="N53" i="29" s="1"/>
  <c r="N52" i="28"/>
  <c r="N52" i="29" s="1"/>
  <c r="N46" i="28"/>
  <c r="N46" i="29" s="1"/>
  <c r="N45" i="28"/>
  <c r="N45" i="29" s="1"/>
  <c r="N42" i="28"/>
  <c r="N42" i="29" s="1"/>
  <c r="N41" i="28"/>
  <c r="N41" i="29" s="1"/>
  <c r="H38" i="28"/>
  <c r="H38" i="29" s="1"/>
  <c r="Q63" i="28"/>
  <c r="Q63" i="29" s="1"/>
  <c r="Q62" i="28"/>
  <c r="Q62" i="29" s="1"/>
  <c r="Q61" i="28"/>
  <c r="Q61" i="29" s="1"/>
  <c r="Q60" i="28"/>
  <c r="Q60" i="29" s="1"/>
  <c r="Q59" i="28"/>
  <c r="Q59" i="29" s="1"/>
  <c r="Q58" i="28"/>
  <c r="Q58" i="29" s="1"/>
  <c r="Q57" i="28"/>
  <c r="Q57" i="29" s="1"/>
  <c r="Q56" i="28"/>
  <c r="Q56" i="29" s="1"/>
  <c r="Q55" i="28"/>
  <c r="Q55" i="29" s="1"/>
  <c r="Q54" i="28"/>
  <c r="Q54" i="29" s="1"/>
  <c r="Q53" i="28"/>
  <c r="Q53" i="29" s="1"/>
  <c r="Q52" i="28"/>
  <c r="Q52" i="29" s="1"/>
  <c r="Q51" i="28"/>
  <c r="Q51" i="29" s="1"/>
  <c r="Q49" i="28"/>
  <c r="Q49" i="29" s="1"/>
  <c r="Q48" i="28"/>
  <c r="Q48" i="29" s="1"/>
  <c r="Q47" i="28"/>
  <c r="Q47" i="29" s="1"/>
  <c r="Q46" i="28"/>
  <c r="Q46" i="29" s="1"/>
  <c r="Q45" i="28"/>
  <c r="Q45" i="29" s="1"/>
  <c r="Q44" i="28"/>
  <c r="Q44" i="29" s="1"/>
  <c r="Q43" i="28"/>
  <c r="Q43" i="29" s="1"/>
  <c r="Q42" i="28"/>
  <c r="Q42" i="29" s="1"/>
  <c r="Q41" i="28"/>
  <c r="Q41" i="29" s="1"/>
  <c r="N40" i="28"/>
  <c r="N40" i="29" s="1"/>
  <c r="N38" i="28"/>
  <c r="N38" i="29" s="1"/>
  <c r="L34" i="28"/>
  <c r="L34" i="29" s="1"/>
  <c r="L33" i="28"/>
  <c r="L33" i="29" s="1"/>
  <c r="L30" i="28"/>
  <c r="L30" i="29" s="1"/>
  <c r="L28" i="28"/>
  <c r="L28" i="29" s="1"/>
  <c r="L27" i="28"/>
  <c r="L27" i="29" s="1"/>
  <c r="L24" i="28"/>
  <c r="L24" i="29" s="1"/>
  <c r="L23" i="28"/>
  <c r="L23" i="29" s="1"/>
  <c r="L20" i="28"/>
  <c r="L20" i="29" s="1"/>
  <c r="L19" i="28"/>
  <c r="L19" i="29" s="1"/>
  <c r="L16" i="28"/>
  <c r="L16" i="29" s="1"/>
  <c r="L15" i="28"/>
  <c r="L15" i="29" s="1"/>
  <c r="L10" i="28"/>
  <c r="L10" i="29" s="1"/>
  <c r="L9" i="28"/>
  <c r="L9" i="29" s="1"/>
  <c r="L8" i="28"/>
  <c r="L8" i="29" s="1"/>
  <c r="L7" i="28"/>
  <c r="L7" i="29" s="1"/>
  <c r="O40" i="28"/>
  <c r="O40" i="29" s="1"/>
  <c r="O39" i="28"/>
  <c r="O39" i="29" s="1"/>
  <c r="O38" i="28"/>
  <c r="O38" i="29" s="1"/>
  <c r="O37" i="28"/>
  <c r="O37" i="29" s="1"/>
  <c r="O36" i="28"/>
  <c r="O36" i="29" s="1"/>
  <c r="O35" i="28"/>
  <c r="O35" i="29" s="1"/>
  <c r="O34" i="28"/>
  <c r="O34" i="29" s="1"/>
  <c r="O33" i="28"/>
  <c r="O33" i="29" s="1"/>
  <c r="O32" i="28"/>
  <c r="O32" i="29" s="1"/>
  <c r="O31" i="28"/>
  <c r="O31" i="29" s="1"/>
  <c r="O30" i="28"/>
  <c r="O30" i="29" s="1"/>
  <c r="O29" i="28"/>
  <c r="O29" i="29" s="1"/>
  <c r="G29" i="28"/>
  <c r="G29" i="29" s="1"/>
  <c r="G28" i="28"/>
  <c r="G28" i="29" s="1"/>
  <c r="G27" i="28"/>
  <c r="G27" i="29" s="1"/>
  <c r="G26" i="28"/>
  <c r="G26" i="29" s="1"/>
  <c r="G25" i="28"/>
  <c r="G25" i="29" s="1"/>
  <c r="G24" i="28"/>
  <c r="G24" i="29" s="1"/>
  <c r="G23" i="28"/>
  <c r="G23" i="29" s="1"/>
  <c r="G22" i="28"/>
  <c r="G22" i="29" s="1"/>
  <c r="G21" i="28"/>
  <c r="G21" i="29" s="1"/>
  <c r="G20" i="28"/>
  <c r="G20" i="29" s="1"/>
  <c r="G19" i="28"/>
  <c r="G19" i="29" s="1"/>
  <c r="G18" i="28"/>
  <c r="G18" i="29" s="1"/>
  <c r="G17" i="28"/>
  <c r="G17" i="29" s="1"/>
  <c r="G16" i="28"/>
  <c r="G16" i="29" s="1"/>
  <c r="G15" i="28"/>
  <c r="G15" i="29" s="1"/>
  <c r="G14" i="28"/>
  <c r="G14" i="29" s="1"/>
  <c r="G13" i="28"/>
  <c r="G13" i="29" s="1"/>
  <c r="G12" i="28"/>
  <c r="G12" i="29" s="1"/>
  <c r="G11" i="28"/>
  <c r="G11" i="29" s="1"/>
  <c r="G10" i="28"/>
  <c r="G10" i="29" s="1"/>
  <c r="G9" i="28"/>
  <c r="G9" i="29" s="1"/>
  <c r="G8" i="28"/>
  <c r="G8" i="29" s="1"/>
  <c r="G7" i="28"/>
  <c r="G7" i="29" s="1"/>
  <c r="P63" i="28"/>
  <c r="P63" i="29" s="1"/>
  <c r="P62" i="28"/>
  <c r="P62" i="29" s="1"/>
  <c r="P61" i="28"/>
  <c r="P61" i="29" s="1"/>
  <c r="P60" i="28"/>
  <c r="P60" i="29" s="1"/>
  <c r="P59" i="28"/>
  <c r="P59" i="29" s="1"/>
  <c r="P58" i="28"/>
  <c r="P58" i="29" s="1"/>
  <c r="P57" i="28"/>
  <c r="P57" i="29" s="1"/>
  <c r="P56" i="28"/>
  <c r="P56" i="29" s="1"/>
  <c r="P55" i="28"/>
  <c r="P55" i="29" s="1"/>
  <c r="P54" i="28"/>
  <c r="P54" i="29" s="1"/>
  <c r="P53" i="28"/>
  <c r="P53" i="29" s="1"/>
  <c r="P52" i="28"/>
  <c r="P52" i="29" s="1"/>
  <c r="P51" i="28"/>
  <c r="P51" i="29" s="1"/>
  <c r="P49" i="28"/>
  <c r="P49" i="29" s="1"/>
  <c r="P48" i="28"/>
  <c r="P48" i="29" s="1"/>
  <c r="P47" i="28"/>
  <c r="P47" i="29" s="1"/>
  <c r="P46" i="28"/>
  <c r="P46" i="29" s="1"/>
  <c r="P45" i="28"/>
  <c r="P45" i="29" s="1"/>
  <c r="P44" i="28"/>
  <c r="P44" i="29" s="1"/>
  <c r="P43" i="28"/>
  <c r="P43" i="29" s="1"/>
  <c r="P42" i="28"/>
  <c r="P42" i="29" s="1"/>
  <c r="P41" i="28"/>
  <c r="P41" i="29" s="1"/>
  <c r="L40" i="28"/>
  <c r="L40" i="29" s="1"/>
  <c r="L38" i="28"/>
  <c r="L38" i="29" s="1"/>
  <c r="L36" i="28"/>
  <c r="L36" i="29" s="1"/>
  <c r="O62" i="28"/>
  <c r="O62" i="29" s="1"/>
  <c r="K61" i="28"/>
  <c r="K61" i="29" s="1"/>
  <c r="G60" i="28"/>
  <c r="G60" i="29" s="1"/>
  <c r="O58" i="28"/>
  <c r="O58" i="29" s="1"/>
  <c r="K57" i="28"/>
  <c r="K57" i="29" s="1"/>
  <c r="G56" i="28"/>
  <c r="G56" i="29" s="1"/>
  <c r="O54" i="28"/>
  <c r="O54" i="29" s="1"/>
  <c r="K53" i="28"/>
  <c r="K53" i="29" s="1"/>
  <c r="G52" i="28"/>
  <c r="G52" i="29" s="1"/>
  <c r="O49" i="28"/>
  <c r="O49" i="29" s="1"/>
  <c r="K48" i="28"/>
  <c r="K48" i="29" s="1"/>
  <c r="G47" i="28"/>
  <c r="G47" i="29" s="1"/>
  <c r="O45" i="28"/>
  <c r="O45" i="29" s="1"/>
  <c r="K44" i="28"/>
  <c r="K44" i="29" s="1"/>
  <c r="G43" i="28"/>
  <c r="G43" i="29" s="1"/>
  <c r="O41" i="28"/>
  <c r="O41" i="29" s="1"/>
  <c r="B40" i="28"/>
  <c r="B40" i="29" s="1"/>
  <c r="B38" i="28"/>
  <c r="B38" i="29" s="1"/>
  <c r="F36" i="28"/>
  <c r="F36" i="29" s="1"/>
  <c r="F35" i="28"/>
  <c r="F35" i="29" s="1"/>
  <c r="F34" i="28"/>
  <c r="F34" i="29" s="1"/>
  <c r="F33" i="28"/>
  <c r="F33" i="29" s="1"/>
  <c r="F32" i="28"/>
  <c r="F32" i="29" s="1"/>
  <c r="F31" i="28"/>
  <c r="F31" i="29" s="1"/>
  <c r="F30" i="28"/>
  <c r="F30" i="29" s="1"/>
  <c r="F29" i="28"/>
  <c r="F29" i="29" s="1"/>
  <c r="F28" i="28"/>
  <c r="F28" i="29" s="1"/>
  <c r="F27" i="28"/>
  <c r="F27" i="29" s="1"/>
  <c r="F26" i="28"/>
  <c r="F26" i="29" s="1"/>
  <c r="F25" i="28"/>
  <c r="F25" i="29" s="1"/>
  <c r="F24" i="28"/>
  <c r="F24" i="29" s="1"/>
  <c r="F23" i="28"/>
  <c r="F23" i="29" s="1"/>
  <c r="F22" i="28"/>
  <c r="F22" i="29" s="1"/>
  <c r="F21" i="28"/>
  <c r="F21" i="29" s="1"/>
  <c r="F20" i="28"/>
  <c r="F20" i="29" s="1"/>
  <c r="F19" i="28"/>
  <c r="F19" i="29" s="1"/>
  <c r="F18" i="28"/>
  <c r="F18" i="29" s="1"/>
  <c r="F17" i="28"/>
  <c r="F17" i="29" s="1"/>
  <c r="F16" i="28"/>
  <c r="F16" i="29" s="1"/>
  <c r="F15" i="28"/>
  <c r="F15" i="29" s="1"/>
  <c r="F14" i="28"/>
  <c r="F14" i="29" s="1"/>
  <c r="F13" i="28"/>
  <c r="F13" i="29" s="1"/>
  <c r="F12" i="28"/>
  <c r="F12" i="29" s="1"/>
  <c r="F11" i="28"/>
  <c r="F11" i="29" s="1"/>
  <c r="F10" i="28"/>
  <c r="F10" i="29" s="1"/>
  <c r="F9" i="28"/>
  <c r="F9" i="29" s="1"/>
  <c r="F8" i="28"/>
  <c r="F8" i="29" s="1"/>
  <c r="F7" i="28"/>
  <c r="F7" i="29" s="1"/>
  <c r="I40" i="28"/>
  <c r="I40" i="29" s="1"/>
  <c r="Q38" i="28"/>
  <c r="Q38" i="29" s="1"/>
  <c r="M37" i="28"/>
  <c r="M37" i="29" s="1"/>
  <c r="I36" i="28"/>
  <c r="I36" i="29" s="1"/>
  <c r="Q34" i="28"/>
  <c r="Q34" i="29" s="1"/>
  <c r="M33" i="28"/>
  <c r="M33" i="29" s="1"/>
  <c r="I32" i="28"/>
  <c r="I32" i="29" s="1"/>
  <c r="Q30" i="28"/>
  <c r="Q30" i="29" s="1"/>
  <c r="M29" i="28"/>
  <c r="M29" i="29" s="1"/>
  <c r="Q28" i="28"/>
  <c r="Q28" i="29" s="1"/>
  <c r="M27" i="28"/>
  <c r="M27" i="29" s="1"/>
  <c r="I26" i="28"/>
  <c r="I26" i="29" s="1"/>
  <c r="Q24" i="28"/>
  <c r="Q24" i="29" s="1"/>
  <c r="M23" i="28"/>
  <c r="M23" i="29" s="1"/>
  <c r="I22" i="28"/>
  <c r="I22" i="29" s="1"/>
  <c r="Q20" i="28"/>
  <c r="Q20" i="29" s="1"/>
  <c r="M19" i="28"/>
  <c r="M19" i="29" s="1"/>
  <c r="I18" i="28"/>
  <c r="I18" i="29" s="1"/>
  <c r="Q16" i="28"/>
  <c r="Q16" i="29" s="1"/>
  <c r="M15" i="28"/>
  <c r="M15" i="29" s="1"/>
  <c r="I14" i="28"/>
  <c r="I14" i="29" s="1"/>
  <c r="I12" i="28"/>
  <c r="I12" i="29" s="1"/>
  <c r="M9" i="28"/>
  <c r="M9" i="29" s="1"/>
  <c r="C55" i="28"/>
  <c r="C55" i="29" s="1"/>
  <c r="C58" i="28"/>
  <c r="C58" i="29" s="1"/>
  <c r="E17" i="28"/>
  <c r="E17" i="29" s="1"/>
  <c r="E25" i="28"/>
  <c r="E25" i="29" s="1"/>
  <c r="E31" i="28"/>
  <c r="E31" i="29" s="1"/>
  <c r="C43" i="28"/>
  <c r="C43" i="29" s="1"/>
  <c r="C56" i="28"/>
  <c r="C56" i="29" s="1"/>
  <c r="E14" i="28"/>
  <c r="E14" i="29" s="1"/>
  <c r="E22" i="28"/>
  <c r="E22" i="29" s="1"/>
  <c r="E32" i="28"/>
  <c r="E32" i="29" s="1"/>
  <c r="C44" i="28"/>
  <c r="C44" i="29" s="1"/>
  <c r="J63" i="28"/>
  <c r="J63" i="29" s="1"/>
  <c r="J62" i="28"/>
  <c r="J62" i="29" s="1"/>
  <c r="J61" i="28"/>
  <c r="J61" i="29" s="1"/>
  <c r="J60" i="28"/>
  <c r="J60" i="29" s="1"/>
  <c r="J59" i="28"/>
  <c r="J59" i="29" s="1"/>
  <c r="J58" i="28"/>
  <c r="J58" i="29" s="1"/>
  <c r="J57" i="28"/>
  <c r="J57" i="29" s="1"/>
  <c r="J56" i="28"/>
  <c r="J56" i="29" s="1"/>
  <c r="J55" i="28"/>
  <c r="J55" i="29" s="1"/>
  <c r="J54" i="28"/>
  <c r="J54" i="29" s="1"/>
  <c r="J53" i="28"/>
  <c r="J53" i="29" s="1"/>
  <c r="J52" i="28"/>
  <c r="J52" i="29" s="1"/>
  <c r="J51" i="28"/>
  <c r="J51" i="29" s="1"/>
  <c r="J49" i="28"/>
  <c r="J49" i="29" s="1"/>
  <c r="J48" i="28"/>
  <c r="J48" i="29" s="1"/>
  <c r="J47" i="28"/>
  <c r="J47" i="29" s="1"/>
  <c r="J46" i="28"/>
  <c r="J46" i="29" s="1"/>
  <c r="J45" i="28"/>
  <c r="J45" i="29" s="1"/>
  <c r="J44" i="28"/>
  <c r="J44" i="29" s="1"/>
  <c r="J43" i="28"/>
  <c r="J43" i="29" s="1"/>
  <c r="J42" i="28"/>
  <c r="J42" i="29" s="1"/>
  <c r="J41" i="28"/>
  <c r="J41" i="29" s="1"/>
  <c r="P39" i="28"/>
  <c r="P39" i="29" s="1"/>
  <c r="P37" i="28"/>
  <c r="P37" i="29" s="1"/>
  <c r="M63" i="28"/>
  <c r="M63" i="29" s="1"/>
  <c r="M62" i="28"/>
  <c r="M62" i="29" s="1"/>
  <c r="M61" i="28"/>
  <c r="M61" i="29" s="1"/>
  <c r="M60" i="28"/>
  <c r="M60" i="29" s="1"/>
  <c r="M59" i="28"/>
  <c r="M59" i="29" s="1"/>
  <c r="M58" i="28"/>
  <c r="M58" i="29" s="1"/>
  <c r="M57" i="28"/>
  <c r="M57" i="29" s="1"/>
  <c r="M56" i="28"/>
  <c r="M56" i="29" s="1"/>
  <c r="M55" i="28"/>
  <c r="M55" i="29" s="1"/>
  <c r="M54" i="28"/>
  <c r="M54" i="29" s="1"/>
  <c r="M53" i="28"/>
  <c r="M53" i="29" s="1"/>
  <c r="M52" i="28"/>
  <c r="M52" i="29" s="1"/>
  <c r="M51" i="28"/>
  <c r="M51" i="29" s="1"/>
  <c r="M49" i="28"/>
  <c r="M49" i="29" s="1"/>
  <c r="M48" i="28"/>
  <c r="M48" i="29" s="1"/>
  <c r="M47" i="28"/>
  <c r="M47" i="29" s="1"/>
  <c r="M46" i="28"/>
  <c r="M46" i="29" s="1"/>
  <c r="M45" i="28"/>
  <c r="M45" i="29" s="1"/>
  <c r="M44" i="28"/>
  <c r="M44" i="29" s="1"/>
  <c r="M43" i="28"/>
  <c r="M43" i="29" s="1"/>
  <c r="M42" i="28"/>
  <c r="M42" i="29" s="1"/>
  <c r="M41" i="28"/>
  <c r="M41" i="29" s="1"/>
  <c r="F40" i="28"/>
  <c r="F40" i="29" s="1"/>
  <c r="F38" i="28"/>
  <c r="F38" i="29" s="1"/>
  <c r="H36" i="28"/>
  <c r="H36" i="29" s="1"/>
  <c r="H35" i="28"/>
  <c r="H35" i="29" s="1"/>
  <c r="H34" i="28"/>
  <c r="H34" i="29" s="1"/>
  <c r="H33" i="28"/>
  <c r="H33" i="29" s="1"/>
  <c r="H32" i="28"/>
  <c r="H32" i="29" s="1"/>
  <c r="H31" i="28"/>
  <c r="H31" i="29" s="1"/>
  <c r="H30" i="28"/>
  <c r="H30" i="29" s="1"/>
  <c r="H29" i="28"/>
  <c r="H29" i="29" s="1"/>
  <c r="H28" i="28"/>
  <c r="H28" i="29" s="1"/>
  <c r="H27" i="28"/>
  <c r="H27" i="29" s="1"/>
  <c r="H26" i="28"/>
  <c r="H26" i="29" s="1"/>
  <c r="H25" i="28"/>
  <c r="H25" i="29" s="1"/>
  <c r="H24" i="28"/>
  <c r="H24" i="29" s="1"/>
  <c r="H23" i="28"/>
  <c r="H23" i="29" s="1"/>
  <c r="H22" i="28"/>
  <c r="H22" i="29" s="1"/>
  <c r="H21" i="28"/>
  <c r="H21" i="29" s="1"/>
  <c r="H20" i="28"/>
  <c r="H20" i="29" s="1"/>
  <c r="H19" i="28"/>
  <c r="H19" i="29" s="1"/>
  <c r="H18" i="28"/>
  <c r="H18" i="29" s="1"/>
  <c r="H17" i="28"/>
  <c r="H17" i="29" s="1"/>
  <c r="H16" i="28"/>
  <c r="H16" i="29" s="1"/>
  <c r="H15" i="28"/>
  <c r="H15" i="29" s="1"/>
  <c r="H14" i="28"/>
  <c r="H14" i="29" s="1"/>
  <c r="H13" i="28"/>
  <c r="H13" i="29" s="1"/>
  <c r="H12" i="28"/>
  <c r="H12" i="29" s="1"/>
  <c r="H11" i="28"/>
  <c r="H11" i="29" s="1"/>
  <c r="H10" i="28"/>
  <c r="H10" i="29" s="1"/>
  <c r="H9" i="28"/>
  <c r="H9" i="29" s="1"/>
  <c r="H8" i="28"/>
  <c r="H8" i="29" s="1"/>
  <c r="H7" i="28"/>
  <c r="H7" i="29" s="1"/>
  <c r="K40" i="28"/>
  <c r="K40" i="29" s="1"/>
  <c r="K39" i="28"/>
  <c r="K39" i="29" s="1"/>
  <c r="K38" i="28"/>
  <c r="K38" i="29" s="1"/>
  <c r="K37" i="28"/>
  <c r="K37" i="29" s="1"/>
  <c r="K36" i="28"/>
  <c r="K36" i="29" s="1"/>
  <c r="K35" i="28"/>
  <c r="K35" i="29" s="1"/>
  <c r="K34" i="28"/>
  <c r="K34" i="29" s="1"/>
  <c r="K33" i="28"/>
  <c r="K33" i="29" s="1"/>
  <c r="K32" i="28"/>
  <c r="K32" i="29" s="1"/>
  <c r="K31" i="28"/>
  <c r="K31" i="29" s="1"/>
  <c r="K30" i="28"/>
  <c r="K30" i="29" s="1"/>
  <c r="K29" i="28"/>
  <c r="K29" i="29" s="1"/>
  <c r="C29" i="28"/>
  <c r="C29" i="29" s="1"/>
  <c r="C28" i="28"/>
  <c r="C28" i="29" s="1"/>
  <c r="C27" i="28"/>
  <c r="C27" i="29" s="1"/>
  <c r="C26" i="28"/>
  <c r="C26" i="29" s="1"/>
  <c r="C25" i="28"/>
  <c r="C25" i="29" s="1"/>
  <c r="C24" i="28"/>
  <c r="C24" i="29" s="1"/>
  <c r="C23" i="28"/>
  <c r="C23" i="29" s="1"/>
  <c r="C22" i="28"/>
  <c r="C22" i="29" s="1"/>
  <c r="C21" i="28"/>
  <c r="C21" i="29" s="1"/>
  <c r="C20" i="28"/>
  <c r="C20" i="29" s="1"/>
  <c r="C19" i="28"/>
  <c r="C19" i="29" s="1"/>
  <c r="C18" i="28"/>
  <c r="C18" i="29" s="1"/>
  <c r="C17" i="28"/>
  <c r="C17" i="29" s="1"/>
  <c r="C16" i="28"/>
  <c r="C16" i="29" s="1"/>
  <c r="C15" i="28"/>
  <c r="C15" i="29" s="1"/>
  <c r="C14" i="28"/>
  <c r="C14" i="29" s="1"/>
  <c r="C13" i="28"/>
  <c r="C13" i="29" s="1"/>
  <c r="C12" i="28"/>
  <c r="C12" i="29" s="1"/>
  <c r="C11" i="28"/>
  <c r="C11" i="29" s="1"/>
  <c r="C10" i="28"/>
  <c r="C10" i="29" s="1"/>
  <c r="C9" i="28"/>
  <c r="C9" i="29" s="1"/>
  <c r="C8" i="28"/>
  <c r="C8" i="29" s="1"/>
  <c r="C7" i="28"/>
  <c r="C7" i="29" s="1"/>
  <c r="L63" i="28"/>
  <c r="L63" i="29" s="1"/>
  <c r="L62" i="28"/>
  <c r="L62" i="29" s="1"/>
  <c r="L61" i="28"/>
  <c r="L61" i="29" s="1"/>
  <c r="L60" i="28"/>
  <c r="L60" i="29" s="1"/>
  <c r="L59" i="28"/>
  <c r="L59" i="29" s="1"/>
  <c r="L58" i="28"/>
  <c r="L58" i="29" s="1"/>
  <c r="L57" i="28"/>
  <c r="L57" i="29" s="1"/>
  <c r="L56" i="28"/>
  <c r="L56" i="29" s="1"/>
  <c r="L55" i="28"/>
  <c r="L55" i="29" s="1"/>
  <c r="L54" i="28"/>
  <c r="L54" i="29" s="1"/>
  <c r="L53" i="28"/>
  <c r="L53" i="29" s="1"/>
  <c r="L52" i="28"/>
  <c r="L52" i="29" s="1"/>
  <c r="L51" i="28"/>
  <c r="L51" i="29" s="1"/>
  <c r="L49" i="28"/>
  <c r="L49" i="29" s="1"/>
  <c r="L48" i="28"/>
  <c r="L48" i="29" s="1"/>
  <c r="L47" i="28"/>
  <c r="L47" i="29" s="1"/>
  <c r="L46" i="28"/>
  <c r="L46" i="29" s="1"/>
  <c r="L45" i="28"/>
  <c r="L45" i="29" s="1"/>
  <c r="L44" i="28"/>
  <c r="L44" i="29" s="1"/>
  <c r="L43" i="28"/>
  <c r="L43" i="29" s="1"/>
  <c r="L42" i="28"/>
  <c r="L42" i="29" s="1"/>
  <c r="L41" i="28"/>
  <c r="L41" i="29" s="1"/>
  <c r="D40" i="28"/>
  <c r="D40" i="29" s="1"/>
  <c r="D38" i="28"/>
  <c r="D38" i="29" s="1"/>
  <c r="O63" i="28"/>
  <c r="O63" i="29" s="1"/>
  <c r="K62" i="28"/>
  <c r="K62" i="29" s="1"/>
  <c r="G61" i="28"/>
  <c r="G61" i="29" s="1"/>
  <c r="O59" i="28"/>
  <c r="O59" i="29" s="1"/>
  <c r="K58" i="28"/>
  <c r="K58" i="29" s="1"/>
  <c r="G57" i="28"/>
  <c r="G57" i="29" s="1"/>
  <c r="O55" i="28"/>
  <c r="O55" i="29" s="1"/>
  <c r="K54" i="28"/>
  <c r="K54" i="29" s="1"/>
  <c r="G53" i="28"/>
  <c r="G53" i="29" s="1"/>
  <c r="O51" i="28"/>
  <c r="O51" i="29" s="1"/>
  <c r="K49" i="28"/>
  <c r="K49" i="29" s="1"/>
  <c r="G48" i="28"/>
  <c r="G48" i="29" s="1"/>
  <c r="O46" i="28"/>
  <c r="O46" i="29" s="1"/>
  <c r="K45" i="28"/>
  <c r="K45" i="29" s="1"/>
  <c r="G44" i="28"/>
  <c r="G44" i="29" s="1"/>
  <c r="O42" i="28"/>
  <c r="O42" i="29" s="1"/>
  <c r="K41" i="28"/>
  <c r="K41" i="29" s="1"/>
  <c r="J39" i="28"/>
  <c r="J39" i="29" s="1"/>
  <c r="J37" i="28"/>
  <c r="J37" i="29" s="1"/>
  <c r="B36" i="28"/>
  <c r="B36" i="29" s="1"/>
  <c r="B35" i="28"/>
  <c r="B35" i="29" s="1"/>
  <c r="B34" i="28"/>
  <c r="B34" i="29" s="1"/>
  <c r="B33" i="28"/>
  <c r="B33" i="29" s="1"/>
  <c r="B32" i="28"/>
  <c r="B32" i="29" s="1"/>
  <c r="B31" i="28"/>
  <c r="B31" i="29" s="1"/>
  <c r="B30" i="28"/>
  <c r="B30" i="29" s="1"/>
  <c r="B29" i="28"/>
  <c r="B29" i="29" s="1"/>
  <c r="B28" i="28"/>
  <c r="B28" i="29" s="1"/>
  <c r="B27" i="28"/>
  <c r="B27" i="29" s="1"/>
  <c r="B26" i="28"/>
  <c r="B26" i="29" s="1"/>
  <c r="B25" i="28"/>
  <c r="B25" i="29" s="1"/>
  <c r="B24" i="28"/>
  <c r="B24" i="29" s="1"/>
  <c r="B23" i="28"/>
  <c r="B23" i="29" s="1"/>
  <c r="B22" i="28"/>
  <c r="B22" i="29" s="1"/>
  <c r="B21" i="28"/>
  <c r="B21" i="29" s="1"/>
  <c r="B20" i="28"/>
  <c r="B20" i="29" s="1"/>
  <c r="B19" i="28"/>
  <c r="B19" i="29" s="1"/>
  <c r="B18" i="28"/>
  <c r="B18" i="29" s="1"/>
  <c r="B17" i="28"/>
  <c r="B17" i="29" s="1"/>
  <c r="B16" i="28"/>
  <c r="B16" i="29" s="1"/>
  <c r="B15" i="28"/>
  <c r="B15" i="29" s="1"/>
  <c r="B14" i="28"/>
  <c r="B14" i="29" s="1"/>
  <c r="B13" i="28"/>
  <c r="B13" i="29" s="1"/>
  <c r="B12" i="28"/>
  <c r="B12" i="29" s="1"/>
  <c r="B11" i="28"/>
  <c r="B11" i="29" s="1"/>
  <c r="B10" i="28"/>
  <c r="B10" i="29" s="1"/>
  <c r="B9" i="28"/>
  <c r="B9" i="29" s="1"/>
  <c r="B8" i="28"/>
  <c r="B8" i="29" s="1"/>
  <c r="B7" i="28"/>
  <c r="B7" i="29" s="1"/>
  <c r="Q39" i="28"/>
  <c r="Q39" i="29" s="1"/>
  <c r="M38" i="28"/>
  <c r="M38" i="29" s="1"/>
  <c r="I37" i="28"/>
  <c r="I37" i="29" s="1"/>
  <c r="Q35" i="28"/>
  <c r="Q35" i="29" s="1"/>
  <c r="M34" i="28"/>
  <c r="M34" i="29" s="1"/>
  <c r="I33" i="28"/>
  <c r="I33" i="29" s="1"/>
  <c r="Q31" i="28"/>
  <c r="Q31" i="29" s="1"/>
  <c r="M30" i="28"/>
  <c r="M30" i="29" s="1"/>
  <c r="I29" i="28"/>
  <c r="I29" i="29" s="1"/>
  <c r="M28" i="28"/>
  <c r="M28" i="29" s="1"/>
  <c r="I27" i="28"/>
  <c r="I27" i="29" s="1"/>
  <c r="Q25" i="28"/>
  <c r="Q25" i="29" s="1"/>
  <c r="M24" i="28"/>
  <c r="M24" i="29" s="1"/>
  <c r="I23" i="28"/>
  <c r="I23" i="29" s="1"/>
  <c r="Q21" i="28"/>
  <c r="Q21" i="29" s="1"/>
  <c r="M20" i="28"/>
  <c r="M20" i="29" s="1"/>
  <c r="I19" i="28"/>
  <c r="I19" i="29" s="1"/>
  <c r="Q17" i="28"/>
  <c r="Q17" i="29" s="1"/>
  <c r="M16" i="28"/>
  <c r="M16" i="29" s="1"/>
  <c r="I15" i="28"/>
  <c r="I15" i="29" s="1"/>
  <c r="Q13" i="28"/>
  <c r="Q13" i="29" s="1"/>
  <c r="M12" i="28"/>
  <c r="M12" i="29" s="1"/>
  <c r="I11" i="28"/>
  <c r="I11" i="29" s="1"/>
  <c r="Q9" i="28"/>
  <c r="Q9" i="29" s="1"/>
  <c r="M8" i="28"/>
  <c r="M8" i="29" s="1"/>
  <c r="I7" i="28"/>
  <c r="I7" i="29" s="1"/>
  <c r="M11" i="28"/>
  <c r="M11" i="29" s="1"/>
  <c r="Q8" i="28"/>
  <c r="Q8" i="29" s="1"/>
  <c r="E39" i="28"/>
  <c r="E39" i="29" s="1"/>
  <c r="G66" i="24"/>
  <c r="R66" i="24"/>
  <c r="U66" i="24"/>
  <c r="X12" i="24"/>
  <c r="X7" i="24"/>
  <c r="M66" i="24"/>
  <c r="P66" i="24"/>
  <c r="X27" i="24"/>
  <c r="O66" i="24"/>
  <c r="X63" i="24"/>
  <c r="J66" i="24"/>
  <c r="X16" i="24"/>
  <c r="X9" i="24"/>
  <c r="X5" i="24"/>
  <c r="S66" i="24"/>
  <c r="C66" i="24"/>
  <c r="B66" i="24"/>
  <c r="V3" i="25"/>
  <c r="E66" i="24"/>
  <c r="H66" i="24"/>
  <c r="X60" i="24"/>
  <c r="X56" i="24"/>
  <c r="X48" i="24"/>
  <c r="X44" i="24"/>
  <c r="X40" i="24"/>
  <c r="X36" i="24"/>
  <c r="X32" i="24"/>
  <c r="X28" i="24"/>
  <c r="X23" i="24"/>
  <c r="F66" i="24"/>
  <c r="X22" i="24"/>
  <c r="X18" i="24"/>
  <c r="X10" i="24"/>
  <c r="X6" i="24"/>
  <c r="I66" i="24"/>
  <c r="L66" i="24"/>
  <c r="X61" i="24"/>
  <c r="X57" i="24"/>
  <c r="X53" i="24"/>
  <c r="X49" i="24"/>
  <c r="X45" i="24"/>
  <c r="X41" i="24"/>
  <c r="X37" i="24"/>
  <c r="X31" i="24"/>
  <c r="X25" i="24"/>
  <c r="X52" i="24"/>
  <c r="X15" i="24"/>
  <c r="X19" i="24"/>
  <c r="X62" i="24"/>
  <c r="X58" i="24"/>
  <c r="X54" i="24"/>
  <c r="X46" i="24"/>
  <c r="X42" i="24"/>
  <c r="X38" i="24"/>
  <c r="X34" i="24"/>
  <c r="X30" i="24"/>
  <c r="X26" i="24"/>
  <c r="X33" i="24"/>
  <c r="K66" i="24"/>
  <c r="X4" i="24"/>
  <c r="N66" i="24"/>
  <c r="X24" i="24"/>
  <c r="X20" i="24"/>
  <c r="X14" i="24"/>
  <c r="X8" i="24"/>
  <c r="Q66" i="24"/>
  <c r="T66" i="24"/>
  <c r="D66" i="24"/>
  <c r="X59" i="24"/>
  <c r="X55" i="24"/>
  <c r="X51" i="24"/>
  <c r="X47" i="24"/>
  <c r="X43" i="24"/>
  <c r="X39" i="24"/>
  <c r="X35" i="24"/>
  <c r="X29" i="24"/>
  <c r="X21" i="24"/>
  <c r="X11" i="24"/>
  <c r="X13" i="24"/>
  <c r="X17" i="24"/>
  <c r="U7" i="30" l="1"/>
  <c r="U7" i="33" s="1"/>
  <c r="U13" i="30"/>
  <c r="U13" i="33" s="1"/>
  <c r="U4" i="30"/>
  <c r="U4" i="33" s="1"/>
  <c r="U11" i="30"/>
  <c r="U11" i="33" s="1"/>
  <c r="U10" i="30"/>
  <c r="U10" i="33" s="1"/>
  <c r="U5" i="30"/>
  <c r="U5" i="33" s="1"/>
  <c r="U9" i="30"/>
  <c r="U9" i="33" s="1"/>
  <c r="U8" i="30"/>
  <c r="U8" i="33" s="1"/>
  <c r="U14" i="30"/>
  <c r="U14" i="33" s="1"/>
  <c r="U12" i="30"/>
  <c r="U12" i="33" s="1"/>
  <c r="U6" i="30"/>
  <c r="U6" i="33" s="1"/>
  <c r="S50" i="30"/>
  <c r="S50" i="33" s="1"/>
  <c r="S49" i="30"/>
  <c r="S49" i="33" s="1"/>
  <c r="S47" i="30"/>
  <c r="S47" i="33" s="1"/>
  <c r="S41" i="30"/>
  <c r="S41" i="33" s="1"/>
  <c r="S40" i="30"/>
  <c r="S40" i="33" s="1"/>
  <c r="S45" i="30"/>
  <c r="S45" i="33" s="1"/>
  <c r="S39" i="30"/>
  <c r="S39" i="33" s="1"/>
  <c r="S44" i="30"/>
  <c r="S44" i="33" s="1"/>
  <c r="S42" i="30"/>
  <c r="S42" i="33" s="1"/>
  <c r="S43" i="30"/>
  <c r="S43" i="33" s="1"/>
  <c r="S48" i="30"/>
  <c r="S48" i="33" s="1"/>
  <c r="S46" i="30"/>
  <c r="S46" i="33" s="1"/>
  <c r="S53" i="30"/>
  <c r="S53" i="33" s="1"/>
  <c r="S52" i="30"/>
  <c r="S52" i="33" s="1"/>
  <c r="S51" i="30"/>
  <c r="S51" i="33" s="1"/>
  <c r="S59" i="30"/>
  <c r="S59" i="33" s="1"/>
  <c r="S62" i="30"/>
  <c r="S62" i="33" s="1"/>
  <c r="S60" i="30"/>
  <c r="S60" i="33" s="1"/>
  <c r="S63" i="30"/>
  <c r="S63" i="33" s="1"/>
  <c r="S57" i="30"/>
  <c r="S57" i="33" s="1"/>
  <c r="S54" i="30"/>
  <c r="S54" i="33" s="1"/>
  <c r="S61" i="30"/>
  <c r="S61" i="33" s="1"/>
  <c r="S55" i="30"/>
  <c r="S55" i="33" s="1"/>
  <c r="S58" i="30"/>
  <c r="S58" i="33" s="1"/>
  <c r="S56" i="30"/>
  <c r="S56" i="33" s="1"/>
  <c r="U61" i="30"/>
  <c r="U61" i="33" s="1"/>
  <c r="U55" i="30"/>
  <c r="U55" i="33" s="1"/>
  <c r="U57" i="30"/>
  <c r="U57" i="33" s="1"/>
  <c r="U60" i="30"/>
  <c r="U60" i="33" s="1"/>
  <c r="U63" i="30"/>
  <c r="U63" i="33" s="1"/>
  <c r="U56" i="30"/>
  <c r="U56" i="33" s="1"/>
  <c r="U58" i="30"/>
  <c r="U58" i="33" s="1"/>
  <c r="U59" i="30"/>
  <c r="U59" i="33" s="1"/>
  <c r="U62" i="30"/>
  <c r="U62" i="33" s="1"/>
  <c r="U50" i="30"/>
  <c r="U50" i="33" s="1"/>
  <c r="U52" i="30"/>
  <c r="U52" i="33" s="1"/>
  <c r="U51" i="30"/>
  <c r="U51" i="33" s="1"/>
  <c r="U53" i="30"/>
  <c r="U53" i="33" s="1"/>
  <c r="U54" i="30"/>
  <c r="U54" i="33" s="1"/>
  <c r="U49" i="30"/>
  <c r="U49" i="33" s="1"/>
  <c r="U23" i="30"/>
  <c r="U23" i="33" s="1"/>
  <c r="U16" i="30"/>
  <c r="U16" i="33" s="1"/>
  <c r="U32" i="30"/>
  <c r="U32" i="33" s="1"/>
  <c r="U43" i="30"/>
  <c r="U43" i="33" s="1"/>
  <c r="U21" i="30"/>
  <c r="U21" i="33" s="1"/>
  <c r="U37" i="30"/>
  <c r="U37" i="33" s="1"/>
  <c r="U30" i="30"/>
  <c r="U30" i="33" s="1"/>
  <c r="U42" i="30"/>
  <c r="U42" i="33" s="1"/>
  <c r="U19" i="30"/>
  <c r="U19" i="33" s="1"/>
  <c r="U35" i="30"/>
  <c r="U35" i="33" s="1"/>
  <c r="U28" i="30"/>
  <c r="U28" i="33" s="1"/>
  <c r="U41" i="30"/>
  <c r="U41" i="33" s="1"/>
  <c r="U17" i="30"/>
  <c r="U17" i="33" s="1"/>
  <c r="U33" i="30"/>
  <c r="U33" i="33" s="1"/>
  <c r="U26" i="30"/>
  <c r="U26" i="33" s="1"/>
  <c r="U40" i="30"/>
  <c r="U40" i="33" s="1"/>
  <c r="U48" i="30"/>
  <c r="U48" i="33" s="1"/>
  <c r="U15" i="30"/>
  <c r="U15" i="33" s="1"/>
  <c r="U31" i="30"/>
  <c r="U31" i="33" s="1"/>
  <c r="U24" i="30"/>
  <c r="U24" i="33" s="1"/>
  <c r="U39" i="30"/>
  <c r="U39" i="33" s="1"/>
  <c r="U47" i="30"/>
  <c r="U47" i="33" s="1"/>
  <c r="U29" i="30"/>
  <c r="U29" i="33" s="1"/>
  <c r="U22" i="30"/>
  <c r="U22" i="33" s="1"/>
  <c r="U38" i="30"/>
  <c r="U38" i="33" s="1"/>
  <c r="U46" i="30"/>
  <c r="U46" i="33" s="1"/>
  <c r="U27" i="30"/>
  <c r="U27" i="33" s="1"/>
  <c r="U20" i="30"/>
  <c r="U20" i="33" s="1"/>
  <c r="U36" i="30"/>
  <c r="U36" i="33" s="1"/>
  <c r="U45" i="30"/>
  <c r="U45" i="33" s="1"/>
  <c r="U25" i="30"/>
  <c r="U25" i="33" s="1"/>
  <c r="U18" i="30"/>
  <c r="U18" i="33" s="1"/>
  <c r="U34" i="30"/>
  <c r="U34" i="33" s="1"/>
  <c r="U44" i="30"/>
  <c r="U44" i="33" s="1"/>
  <c r="S8" i="30"/>
  <c r="S8" i="33" s="1"/>
  <c r="S25" i="30"/>
  <c r="S25" i="33" s="1"/>
  <c r="S33" i="30"/>
  <c r="S33" i="33" s="1"/>
  <c r="S7" i="30"/>
  <c r="S7" i="33" s="1"/>
  <c r="S23" i="30"/>
  <c r="S23" i="33" s="1"/>
  <c r="S22" i="30"/>
  <c r="S22" i="33" s="1"/>
  <c r="S21" i="30"/>
  <c r="S21" i="33" s="1"/>
  <c r="S12" i="30"/>
  <c r="S12" i="33" s="1"/>
  <c r="S28" i="30"/>
  <c r="S28" i="33" s="1"/>
  <c r="S37" i="30"/>
  <c r="S37" i="33" s="1"/>
  <c r="S11" i="30"/>
  <c r="S11" i="33" s="1"/>
  <c r="S26" i="30"/>
  <c r="S26" i="33" s="1"/>
  <c r="S34" i="30"/>
  <c r="S34" i="33" s="1"/>
  <c r="S6" i="30"/>
  <c r="S6" i="33" s="1"/>
  <c r="S18" i="30"/>
  <c r="S18" i="33" s="1"/>
  <c r="S17" i="30"/>
  <c r="S17" i="33" s="1"/>
  <c r="S32" i="30"/>
  <c r="S32" i="33" s="1"/>
  <c r="S16" i="30"/>
  <c r="S16" i="33" s="1"/>
  <c r="S15" i="30"/>
  <c r="S15" i="33" s="1"/>
  <c r="S31" i="30"/>
  <c r="S31" i="33" s="1"/>
  <c r="S38" i="30"/>
  <c r="S38" i="33" s="1"/>
  <c r="S14" i="30"/>
  <c r="S14" i="33" s="1"/>
  <c r="S30" i="30"/>
  <c r="S30" i="33" s="1"/>
  <c r="S4" i="30"/>
  <c r="S4" i="33" s="1"/>
  <c r="S13" i="30"/>
  <c r="S13" i="33" s="1"/>
  <c r="S29" i="30"/>
  <c r="S29" i="33" s="1"/>
  <c r="S36" i="30"/>
  <c r="S36" i="33" s="1"/>
  <c r="S20" i="30"/>
  <c r="S20" i="33" s="1"/>
  <c r="S19" i="30"/>
  <c r="S19" i="33" s="1"/>
  <c r="S10" i="30"/>
  <c r="S10" i="33" s="1"/>
  <c r="S27" i="30"/>
  <c r="S27" i="33" s="1"/>
  <c r="S35" i="30"/>
  <c r="S35" i="33" s="1"/>
  <c r="S9" i="30"/>
  <c r="S9" i="33" s="1"/>
  <c r="S24" i="30"/>
  <c r="S24" i="33" s="1"/>
  <c r="S5" i="30"/>
  <c r="S5" i="33" s="1"/>
  <c r="T7" i="30"/>
  <c r="T7" i="33" s="1"/>
  <c r="T13" i="30"/>
  <c r="T13" i="33" s="1"/>
  <c r="T11" i="30"/>
  <c r="T11" i="33" s="1"/>
  <c r="T10" i="30"/>
  <c r="T10" i="33" s="1"/>
  <c r="T15" i="30"/>
  <c r="T15" i="33" s="1"/>
  <c r="T27" i="30"/>
  <c r="T27" i="33" s="1"/>
  <c r="T43" i="30"/>
  <c r="T43" i="33" s="1"/>
  <c r="T59" i="30"/>
  <c r="T59" i="33" s="1"/>
  <c r="T16" i="30"/>
  <c r="T16" i="33" s="1"/>
  <c r="T32" i="30"/>
  <c r="T32" i="33" s="1"/>
  <c r="T48" i="30"/>
  <c r="T48" i="33" s="1"/>
  <c r="T5" i="30"/>
  <c r="T5" i="33" s="1"/>
  <c r="T21" i="30"/>
  <c r="T21" i="33" s="1"/>
  <c r="T37" i="30"/>
  <c r="T37" i="33" s="1"/>
  <c r="T53" i="30"/>
  <c r="T53" i="33" s="1"/>
  <c r="T14" i="30"/>
  <c r="T14" i="33" s="1"/>
  <c r="T30" i="30"/>
  <c r="T30" i="33" s="1"/>
  <c r="T46" i="30"/>
  <c r="T46" i="33" s="1"/>
  <c r="T62" i="30"/>
  <c r="T62" i="33" s="1"/>
  <c r="T23" i="30"/>
  <c r="T23" i="33" s="1"/>
  <c r="T39" i="30"/>
  <c r="T39" i="33" s="1"/>
  <c r="T55" i="30"/>
  <c r="T55" i="33" s="1"/>
  <c r="T12" i="30"/>
  <c r="T12" i="33" s="1"/>
  <c r="T28" i="30"/>
  <c r="T28" i="33" s="1"/>
  <c r="T44" i="30"/>
  <c r="T44" i="33" s="1"/>
  <c r="T60" i="30"/>
  <c r="T60" i="33" s="1"/>
  <c r="T25" i="30"/>
  <c r="T25" i="33" s="1"/>
  <c r="T41" i="30"/>
  <c r="T41" i="33" s="1"/>
  <c r="T57" i="30"/>
  <c r="T57" i="33" s="1"/>
  <c r="T18" i="30"/>
  <c r="T18" i="33" s="1"/>
  <c r="T34" i="30"/>
  <c r="T34" i="33" s="1"/>
  <c r="T50" i="30"/>
  <c r="T50" i="33" s="1"/>
  <c r="T4" i="30"/>
  <c r="T4" i="33" s="1"/>
  <c r="T19" i="30"/>
  <c r="T19" i="33" s="1"/>
  <c r="T35" i="30"/>
  <c r="T35" i="33" s="1"/>
  <c r="T51" i="30"/>
  <c r="T51" i="33" s="1"/>
  <c r="T8" i="30"/>
  <c r="T8" i="33" s="1"/>
  <c r="T24" i="30"/>
  <c r="T40" i="30"/>
  <c r="T40" i="33" s="1"/>
  <c r="T56" i="30"/>
  <c r="T56" i="33" s="1"/>
  <c r="T9" i="30"/>
  <c r="T9" i="33" s="1"/>
  <c r="T29" i="30"/>
  <c r="T29" i="33" s="1"/>
  <c r="T45" i="30"/>
  <c r="T45" i="33" s="1"/>
  <c r="T61" i="30"/>
  <c r="T61" i="33" s="1"/>
  <c r="T22" i="30"/>
  <c r="T22" i="33" s="1"/>
  <c r="T38" i="30"/>
  <c r="T38" i="33" s="1"/>
  <c r="T54" i="30"/>
  <c r="T54" i="33" s="1"/>
  <c r="T31" i="30"/>
  <c r="T31" i="33" s="1"/>
  <c r="T47" i="30"/>
  <c r="T47" i="33" s="1"/>
  <c r="T63" i="30"/>
  <c r="T63" i="33" s="1"/>
  <c r="T20" i="30"/>
  <c r="T20" i="33" s="1"/>
  <c r="T36" i="30"/>
  <c r="T36" i="33" s="1"/>
  <c r="T52" i="30"/>
  <c r="T52" i="33" s="1"/>
  <c r="T17" i="30"/>
  <c r="T17" i="33" s="1"/>
  <c r="T33" i="30"/>
  <c r="T33" i="33" s="1"/>
  <c r="T49" i="30"/>
  <c r="T49" i="33" s="1"/>
  <c r="T6" i="30"/>
  <c r="T6" i="33" s="1"/>
  <c r="T26" i="30"/>
  <c r="T26" i="33" s="1"/>
  <c r="T42" i="30"/>
  <c r="T42" i="33" s="1"/>
  <c r="T58" i="30"/>
  <c r="T58" i="33" s="1"/>
  <c r="R59" i="30"/>
  <c r="R59" i="33" s="1"/>
  <c r="R42" i="30"/>
  <c r="R42" i="33" s="1"/>
  <c r="R46" i="30"/>
  <c r="R46" i="33" s="1"/>
  <c r="R51" i="30"/>
  <c r="R51" i="33" s="1"/>
  <c r="R63" i="30"/>
  <c r="R63" i="33" s="1"/>
  <c r="R62" i="30"/>
  <c r="R62" i="33" s="1"/>
  <c r="R54" i="30"/>
  <c r="R54" i="33" s="1"/>
  <c r="R19" i="30"/>
  <c r="R19" i="33" s="1"/>
  <c r="R23" i="30"/>
  <c r="R23" i="33" s="1"/>
  <c r="R27" i="30"/>
  <c r="R27" i="33" s="1"/>
  <c r="R31" i="30"/>
  <c r="R31" i="33" s="1"/>
  <c r="R35" i="30"/>
  <c r="R35" i="33" s="1"/>
  <c r="R39" i="30"/>
  <c r="R39" i="33" s="1"/>
  <c r="R45" i="30"/>
  <c r="R45" i="33" s="1"/>
  <c r="R52" i="30"/>
  <c r="R52" i="33" s="1"/>
  <c r="R49" i="30"/>
  <c r="R49" i="33" s="1"/>
  <c r="R56" i="30"/>
  <c r="R56" i="33" s="1"/>
  <c r="R44" i="30"/>
  <c r="R44" i="33" s="1"/>
  <c r="R48" i="30"/>
  <c r="R48" i="33" s="1"/>
  <c r="R50" i="30"/>
  <c r="R50" i="33" s="1"/>
  <c r="R55" i="30"/>
  <c r="R55" i="33" s="1"/>
  <c r="R58" i="30"/>
  <c r="R58" i="33" s="1"/>
  <c r="R17" i="30"/>
  <c r="R17" i="33" s="1"/>
  <c r="R21" i="30"/>
  <c r="R21" i="33" s="1"/>
  <c r="R25" i="30"/>
  <c r="R25" i="33" s="1"/>
  <c r="R29" i="30"/>
  <c r="R29" i="33" s="1"/>
  <c r="R33" i="30"/>
  <c r="R33" i="33" s="1"/>
  <c r="R37" i="30"/>
  <c r="R37" i="33" s="1"/>
  <c r="R43" i="30"/>
  <c r="R43" i="33" s="1"/>
  <c r="R47" i="30"/>
  <c r="R47" i="33" s="1"/>
  <c r="R13" i="30"/>
  <c r="R13" i="33" s="1"/>
  <c r="R53" i="30"/>
  <c r="R53" i="33" s="1"/>
  <c r="R8" i="30"/>
  <c r="R8" i="33" s="1"/>
  <c r="R16" i="30"/>
  <c r="R16" i="33" s="1"/>
  <c r="R24" i="30"/>
  <c r="R32" i="30"/>
  <c r="R32" i="33" s="1"/>
  <c r="R40" i="30"/>
  <c r="R40" i="33" s="1"/>
  <c r="R7" i="30"/>
  <c r="R7" i="33" s="1"/>
  <c r="R15" i="30"/>
  <c r="R15" i="33" s="1"/>
  <c r="R6" i="30"/>
  <c r="R6" i="33" s="1"/>
  <c r="R14" i="30"/>
  <c r="R14" i="33" s="1"/>
  <c r="R22" i="30"/>
  <c r="R22" i="33" s="1"/>
  <c r="R30" i="30"/>
  <c r="R30" i="33" s="1"/>
  <c r="R38" i="30"/>
  <c r="R38" i="33" s="1"/>
  <c r="R9" i="30"/>
  <c r="R9" i="33" s="1"/>
  <c r="R41" i="30"/>
  <c r="R41" i="33" s="1"/>
  <c r="R61" i="30"/>
  <c r="R61" i="33" s="1"/>
  <c r="R12" i="30"/>
  <c r="R12" i="33" s="1"/>
  <c r="R20" i="30"/>
  <c r="R20" i="33" s="1"/>
  <c r="R28" i="30"/>
  <c r="R28" i="33" s="1"/>
  <c r="R36" i="30"/>
  <c r="R36" i="33" s="1"/>
  <c r="R5" i="30"/>
  <c r="R5" i="33" s="1"/>
  <c r="R11" i="30"/>
  <c r="R11" i="33" s="1"/>
  <c r="R57" i="30"/>
  <c r="R57" i="33" s="1"/>
  <c r="R10" i="30"/>
  <c r="R10" i="33" s="1"/>
  <c r="R18" i="30"/>
  <c r="R18" i="33" s="1"/>
  <c r="R26" i="30"/>
  <c r="R26" i="33" s="1"/>
  <c r="R34" i="30"/>
  <c r="R34" i="33" s="1"/>
  <c r="R60" i="30"/>
  <c r="R60" i="33" s="1"/>
  <c r="R4" i="30"/>
  <c r="R4" i="33" s="1"/>
  <c r="B6" i="30"/>
  <c r="J6" i="30"/>
  <c r="C6" i="30"/>
  <c r="L6" i="30"/>
  <c r="L6" i="33" s="1"/>
  <c r="E6" i="30"/>
  <c r="N6" i="30"/>
  <c r="N6" i="33" s="1"/>
  <c r="G6" i="30"/>
  <c r="G6" i="33" s="1"/>
  <c r="P6" i="30"/>
  <c r="P6" i="33" s="1"/>
  <c r="I6" i="30"/>
  <c r="K6" i="30"/>
  <c r="K6" i="33" s="1"/>
  <c r="D6" i="30"/>
  <c r="M6" i="30"/>
  <c r="M6" i="33" s="1"/>
  <c r="F6" i="30"/>
  <c r="O6" i="30"/>
  <c r="O6" i="33" s="1"/>
  <c r="H6" i="30"/>
  <c r="Q6" i="30"/>
  <c r="B5" i="30"/>
  <c r="N5" i="30"/>
  <c r="N5" i="33" s="1"/>
  <c r="E5" i="30"/>
  <c r="P5" i="30"/>
  <c r="M5" i="30"/>
  <c r="M5" i="33" s="1"/>
  <c r="I5" i="30"/>
  <c r="I5" i="33" s="1"/>
  <c r="D5" i="30"/>
  <c r="Q5" i="30"/>
  <c r="Q5" i="33" s="1"/>
  <c r="F5" i="30"/>
  <c r="C5" i="30"/>
  <c r="H5" i="30"/>
  <c r="H5" i="33" s="1"/>
  <c r="G5" i="30"/>
  <c r="J5" i="30"/>
  <c r="J5" i="33" s="1"/>
  <c r="K5" i="30"/>
  <c r="L5" i="30"/>
  <c r="L5" i="33" s="1"/>
  <c r="O5" i="30"/>
  <c r="C4" i="30"/>
  <c r="K4" i="30"/>
  <c r="D4" i="30"/>
  <c r="D4" i="33" s="1"/>
  <c r="N4" i="30"/>
  <c r="N4" i="33" s="1"/>
  <c r="M4" i="30"/>
  <c r="M4" i="33" s="1"/>
  <c r="H4" i="30"/>
  <c r="O4" i="30"/>
  <c r="Q4" i="30"/>
  <c r="Q4" i="33" s="1"/>
  <c r="B4" i="30"/>
  <c r="E4" i="30"/>
  <c r="L4" i="30"/>
  <c r="G4" i="30"/>
  <c r="F4" i="30"/>
  <c r="P4" i="30"/>
  <c r="P4" i="33" s="1"/>
  <c r="I4" i="30"/>
  <c r="J4" i="30"/>
  <c r="C63" i="30"/>
  <c r="C63" i="33" s="1"/>
  <c r="C55" i="30"/>
  <c r="C55" i="33" s="1"/>
  <c r="E11" i="30"/>
  <c r="C58" i="30"/>
  <c r="C58" i="33" s="1"/>
  <c r="E13" i="30"/>
  <c r="E13" i="33" s="1"/>
  <c r="E17" i="30"/>
  <c r="E17" i="33" s="1"/>
  <c r="E21" i="30"/>
  <c r="E25" i="30"/>
  <c r="E29" i="30"/>
  <c r="E29" i="33" s="1"/>
  <c r="E31" i="30"/>
  <c r="E31" i="33" s="1"/>
  <c r="E35" i="30"/>
  <c r="E35" i="33" s="1"/>
  <c r="E39" i="30"/>
  <c r="E39" i="33" s="1"/>
  <c r="C43" i="30"/>
  <c r="C43" i="33" s="1"/>
  <c r="C47" i="30"/>
  <c r="C47" i="33" s="1"/>
  <c r="J50" i="30"/>
  <c r="J50" i="33" s="1"/>
  <c r="C49" i="30"/>
  <c r="C49" i="33" s="1"/>
  <c r="G50" i="30"/>
  <c r="G50" i="33" s="1"/>
  <c r="O50" i="30"/>
  <c r="O50" i="33" s="1"/>
  <c r="D50" i="30"/>
  <c r="D50" i="33" s="1"/>
  <c r="C57" i="30"/>
  <c r="C57" i="33" s="1"/>
  <c r="C56" i="30"/>
  <c r="C56" i="33" s="1"/>
  <c r="E12" i="30"/>
  <c r="E12" i="33" s="1"/>
  <c r="E14" i="30"/>
  <c r="E18" i="30"/>
  <c r="E18" i="33" s="1"/>
  <c r="E22" i="30"/>
  <c r="E22" i="33" s="1"/>
  <c r="E26" i="30"/>
  <c r="E32" i="30"/>
  <c r="E32" i="33" s="1"/>
  <c r="E36" i="30"/>
  <c r="E36" i="33" s="1"/>
  <c r="E40" i="30"/>
  <c r="E40" i="33" s="1"/>
  <c r="C44" i="30"/>
  <c r="C44" i="33" s="1"/>
  <c r="C48" i="30"/>
  <c r="C48" i="33" s="1"/>
  <c r="L50" i="30"/>
  <c r="L50" i="33" s="1"/>
  <c r="C51" i="30"/>
  <c r="C51" i="33" s="1"/>
  <c r="I50" i="30"/>
  <c r="I50" i="33" s="1"/>
  <c r="Q50" i="30"/>
  <c r="Q50" i="33" s="1"/>
  <c r="C50" i="30"/>
  <c r="C50" i="33" s="1"/>
  <c r="C59" i="30"/>
  <c r="C59" i="33" s="1"/>
  <c r="E7" i="30"/>
  <c r="E7" i="33" s="1"/>
  <c r="C62" i="30"/>
  <c r="C62" i="33" s="1"/>
  <c r="C54" i="30"/>
  <c r="C54" i="33" s="1"/>
  <c r="E10" i="30"/>
  <c r="E10" i="33" s="1"/>
  <c r="E15" i="30"/>
  <c r="E19" i="30"/>
  <c r="E23" i="30"/>
  <c r="E23" i="33" s="1"/>
  <c r="E27" i="30"/>
  <c r="E27" i="33" s="1"/>
  <c r="E33" i="30"/>
  <c r="E33" i="33" s="1"/>
  <c r="E37" i="30"/>
  <c r="E37" i="33" s="1"/>
  <c r="B41" i="30"/>
  <c r="B41" i="33" s="1"/>
  <c r="C45" i="30"/>
  <c r="C45" i="33" s="1"/>
  <c r="F50" i="30"/>
  <c r="F50" i="33" s="1"/>
  <c r="N50" i="30"/>
  <c r="N50" i="33" s="1"/>
  <c r="C52" i="30"/>
  <c r="C52" i="33" s="1"/>
  <c r="K50" i="30"/>
  <c r="K50" i="33" s="1"/>
  <c r="B50" i="30"/>
  <c r="B50" i="33" s="1"/>
  <c r="C61" i="30"/>
  <c r="C61" i="33" s="1"/>
  <c r="C53" i="30"/>
  <c r="C53" i="33" s="1"/>
  <c r="E9" i="30"/>
  <c r="E9" i="33" s="1"/>
  <c r="C60" i="30"/>
  <c r="C60" i="33" s="1"/>
  <c r="E8" i="30"/>
  <c r="E8" i="33" s="1"/>
  <c r="E16" i="30"/>
  <c r="E16" i="33" s="1"/>
  <c r="E20" i="30"/>
  <c r="E24" i="30"/>
  <c r="E24" i="33" s="1"/>
  <c r="E28" i="30"/>
  <c r="E28" i="33" s="1"/>
  <c r="E30" i="30"/>
  <c r="E30" i="33" s="1"/>
  <c r="E34" i="30"/>
  <c r="E34" i="33" s="1"/>
  <c r="E38" i="30"/>
  <c r="E38" i="33" s="1"/>
  <c r="C42" i="30"/>
  <c r="C42" i="33" s="1"/>
  <c r="C46" i="30"/>
  <c r="C46" i="33" s="1"/>
  <c r="H50" i="30"/>
  <c r="H50" i="33" s="1"/>
  <c r="P50" i="30"/>
  <c r="P50" i="33" s="1"/>
  <c r="E50" i="30"/>
  <c r="E50" i="33" s="1"/>
  <c r="M50" i="30"/>
  <c r="M50" i="33" s="1"/>
  <c r="M7" i="30"/>
  <c r="I10" i="30"/>
  <c r="I10" i="33" s="1"/>
  <c r="Q12" i="30"/>
  <c r="Q12" i="33" s="1"/>
  <c r="Q7" i="30"/>
  <c r="Q7" i="33" s="1"/>
  <c r="I9" i="30"/>
  <c r="M10" i="30"/>
  <c r="Q11" i="30"/>
  <c r="Q11" i="33" s="1"/>
  <c r="I13" i="30"/>
  <c r="M14" i="30"/>
  <c r="Q15" i="30"/>
  <c r="Q15" i="33" s="1"/>
  <c r="I17" i="30"/>
  <c r="I17" i="33" s="1"/>
  <c r="M18" i="30"/>
  <c r="Q19" i="30"/>
  <c r="Q19" i="33" s="1"/>
  <c r="I21" i="30"/>
  <c r="I21" i="33" s="1"/>
  <c r="M22" i="30"/>
  <c r="M22" i="33" s="1"/>
  <c r="Q23" i="30"/>
  <c r="Q23" i="33" s="1"/>
  <c r="I25" i="30"/>
  <c r="I25" i="33" s="1"/>
  <c r="M26" i="30"/>
  <c r="M26" i="33" s="1"/>
  <c r="Q27" i="30"/>
  <c r="Q27" i="33" s="1"/>
  <c r="Q29" i="30"/>
  <c r="Q29" i="33" s="1"/>
  <c r="I31" i="30"/>
  <c r="M32" i="30"/>
  <c r="Q33" i="30"/>
  <c r="Q33" i="33" s="1"/>
  <c r="I35" i="30"/>
  <c r="I35" i="33" s="1"/>
  <c r="M36" i="30"/>
  <c r="M36" i="33" s="1"/>
  <c r="Q37" i="30"/>
  <c r="Q37" i="33" s="1"/>
  <c r="I39" i="30"/>
  <c r="I39" i="33" s="1"/>
  <c r="M40" i="30"/>
  <c r="M40" i="33" s="1"/>
  <c r="J7" i="30"/>
  <c r="J7" i="33" s="1"/>
  <c r="J8" i="30"/>
  <c r="J8" i="33" s="1"/>
  <c r="J9" i="30"/>
  <c r="J10" i="30"/>
  <c r="J10" i="33" s="1"/>
  <c r="J11" i="30"/>
  <c r="J11" i="33" s="1"/>
  <c r="J12" i="30"/>
  <c r="J12" i="33" s="1"/>
  <c r="J13" i="30"/>
  <c r="J13" i="33" s="1"/>
  <c r="J14" i="30"/>
  <c r="J14" i="33" s="1"/>
  <c r="J15" i="30"/>
  <c r="J15" i="33" s="1"/>
  <c r="J16" i="30"/>
  <c r="J17" i="30"/>
  <c r="J17" i="33" s="1"/>
  <c r="J18" i="30"/>
  <c r="J18" i="33" s="1"/>
  <c r="J19" i="30"/>
  <c r="J19" i="33" s="1"/>
  <c r="J20" i="30"/>
  <c r="J20" i="33" s="1"/>
  <c r="J21" i="30"/>
  <c r="J21" i="33" s="1"/>
  <c r="J22" i="30"/>
  <c r="J22" i="33" s="1"/>
  <c r="J23" i="30"/>
  <c r="J23" i="33" s="1"/>
  <c r="J24" i="30"/>
  <c r="J25" i="30"/>
  <c r="J25" i="33" s="1"/>
  <c r="J26" i="30"/>
  <c r="J27" i="30"/>
  <c r="J27" i="33" s="1"/>
  <c r="J28" i="30"/>
  <c r="J29" i="30"/>
  <c r="J29" i="33" s="1"/>
  <c r="J30" i="30"/>
  <c r="J30" i="33" s="1"/>
  <c r="J31" i="30"/>
  <c r="J32" i="30"/>
  <c r="J33" i="30"/>
  <c r="J33" i="33" s="1"/>
  <c r="J34" i="30"/>
  <c r="J34" i="33" s="1"/>
  <c r="J35" i="30"/>
  <c r="J35" i="33" s="1"/>
  <c r="J36" i="30"/>
  <c r="J36" i="33" s="1"/>
  <c r="J38" i="30"/>
  <c r="J38" i="33" s="1"/>
  <c r="J40" i="30"/>
  <c r="J40" i="33" s="1"/>
  <c r="G42" i="30"/>
  <c r="G42" i="33" s="1"/>
  <c r="K43" i="30"/>
  <c r="K43" i="33" s="1"/>
  <c r="O44" i="30"/>
  <c r="O44" i="33" s="1"/>
  <c r="G46" i="30"/>
  <c r="G46" i="33" s="1"/>
  <c r="K47" i="30"/>
  <c r="K47" i="33" s="1"/>
  <c r="O48" i="30"/>
  <c r="O48" i="33" s="1"/>
  <c r="G51" i="30"/>
  <c r="G51" i="33" s="1"/>
  <c r="K52" i="30"/>
  <c r="K52" i="33" s="1"/>
  <c r="O53" i="30"/>
  <c r="O53" i="33" s="1"/>
  <c r="G55" i="30"/>
  <c r="G55" i="33" s="1"/>
  <c r="K56" i="30"/>
  <c r="K56" i="33" s="1"/>
  <c r="O57" i="30"/>
  <c r="O57" i="33" s="1"/>
  <c r="G59" i="30"/>
  <c r="G59" i="33" s="1"/>
  <c r="K60" i="30"/>
  <c r="K60" i="33" s="1"/>
  <c r="O61" i="30"/>
  <c r="O61" i="33" s="1"/>
  <c r="G63" i="30"/>
  <c r="G63" i="33" s="1"/>
  <c r="D37" i="30"/>
  <c r="D37" i="33" s="1"/>
  <c r="D39" i="30"/>
  <c r="D39" i="33" s="1"/>
  <c r="D41" i="30"/>
  <c r="D41" i="33" s="1"/>
  <c r="D42" i="30"/>
  <c r="D42" i="33" s="1"/>
  <c r="D43" i="30"/>
  <c r="D43" i="33" s="1"/>
  <c r="D44" i="30"/>
  <c r="D44" i="33" s="1"/>
  <c r="D45" i="30"/>
  <c r="D45" i="33" s="1"/>
  <c r="D46" i="30"/>
  <c r="D46" i="33" s="1"/>
  <c r="D47" i="30"/>
  <c r="D47" i="33" s="1"/>
  <c r="D48" i="30"/>
  <c r="D48" i="33" s="1"/>
  <c r="D49" i="30"/>
  <c r="D49" i="33" s="1"/>
  <c r="D51" i="30"/>
  <c r="D51" i="33" s="1"/>
  <c r="D52" i="30"/>
  <c r="D52" i="33" s="1"/>
  <c r="D53" i="30"/>
  <c r="D53" i="33" s="1"/>
  <c r="D54" i="30"/>
  <c r="D54" i="33" s="1"/>
  <c r="D55" i="30"/>
  <c r="D55" i="33" s="1"/>
  <c r="D56" i="30"/>
  <c r="D56" i="33" s="1"/>
  <c r="D57" i="30"/>
  <c r="D57" i="33" s="1"/>
  <c r="D58" i="30"/>
  <c r="D58" i="33" s="1"/>
  <c r="D59" i="30"/>
  <c r="D59" i="33" s="1"/>
  <c r="D60" i="30"/>
  <c r="D60" i="33" s="1"/>
  <c r="D61" i="30"/>
  <c r="D61" i="33" s="1"/>
  <c r="D62" i="30"/>
  <c r="D62" i="33" s="1"/>
  <c r="D63" i="30"/>
  <c r="D63" i="33" s="1"/>
  <c r="K7" i="30"/>
  <c r="K7" i="33" s="1"/>
  <c r="K8" i="30"/>
  <c r="K9" i="30"/>
  <c r="K9" i="33" s="1"/>
  <c r="K10" i="30"/>
  <c r="K10" i="33" s="1"/>
  <c r="K11" i="30"/>
  <c r="K11" i="33" s="1"/>
  <c r="K12" i="30"/>
  <c r="K12" i="33" s="1"/>
  <c r="K13" i="30"/>
  <c r="K14" i="30"/>
  <c r="K15" i="30"/>
  <c r="K16" i="30"/>
  <c r="K17" i="30"/>
  <c r="K17" i="33" s="1"/>
  <c r="K18" i="30"/>
  <c r="K19" i="30"/>
  <c r="K19" i="33" s="1"/>
  <c r="K20" i="30"/>
  <c r="K20" i="33" s="1"/>
  <c r="K21" i="30"/>
  <c r="K21" i="33" s="1"/>
  <c r="K22" i="30"/>
  <c r="K22" i="33" s="1"/>
  <c r="K23" i="30"/>
  <c r="K23" i="33" s="1"/>
  <c r="K24" i="30"/>
  <c r="K24" i="33" s="1"/>
  <c r="K25" i="30"/>
  <c r="K25" i="33" s="1"/>
  <c r="K26" i="30"/>
  <c r="K26" i="33" s="1"/>
  <c r="K27" i="30"/>
  <c r="K28" i="30"/>
  <c r="C30" i="30"/>
  <c r="C30" i="33" s="1"/>
  <c r="C31" i="30"/>
  <c r="C31" i="33" s="1"/>
  <c r="C32" i="30"/>
  <c r="C32" i="33" s="1"/>
  <c r="C33" i="30"/>
  <c r="C33" i="33" s="1"/>
  <c r="C34" i="30"/>
  <c r="C34" i="33" s="1"/>
  <c r="C35" i="30"/>
  <c r="C35" i="33" s="1"/>
  <c r="C36" i="30"/>
  <c r="C36" i="33" s="1"/>
  <c r="C37" i="30"/>
  <c r="C37" i="33" s="1"/>
  <c r="C38" i="30"/>
  <c r="C38" i="33" s="1"/>
  <c r="C39" i="30"/>
  <c r="C39" i="33" s="1"/>
  <c r="C40" i="30"/>
  <c r="C40" i="33" s="1"/>
  <c r="C41" i="30"/>
  <c r="C41" i="33" s="1"/>
  <c r="P7" i="30"/>
  <c r="P7" i="33" s="1"/>
  <c r="P8" i="30"/>
  <c r="P8" i="33" s="1"/>
  <c r="P9" i="30"/>
  <c r="P9" i="33" s="1"/>
  <c r="P10" i="30"/>
  <c r="P10" i="33" s="1"/>
  <c r="P11" i="30"/>
  <c r="P11" i="33" s="1"/>
  <c r="P12" i="30"/>
  <c r="P13" i="30"/>
  <c r="P14" i="30"/>
  <c r="P14" i="33" s="1"/>
  <c r="P15" i="30"/>
  <c r="P16" i="30"/>
  <c r="P16" i="33" s="1"/>
  <c r="P17" i="30"/>
  <c r="P17" i="33" s="1"/>
  <c r="P18" i="30"/>
  <c r="P18" i="33" s="1"/>
  <c r="P19" i="30"/>
  <c r="P19" i="33" s="1"/>
  <c r="P20" i="30"/>
  <c r="P20" i="33" s="1"/>
  <c r="P21" i="30"/>
  <c r="P21" i="33" s="1"/>
  <c r="P22" i="30"/>
  <c r="P22" i="33" s="1"/>
  <c r="P23" i="30"/>
  <c r="P23" i="33" s="1"/>
  <c r="P24" i="30"/>
  <c r="P24" i="33" s="1"/>
  <c r="P25" i="30"/>
  <c r="P25" i="33" s="1"/>
  <c r="P26" i="30"/>
  <c r="P26" i="33" s="1"/>
  <c r="P27" i="30"/>
  <c r="P27" i="33" s="1"/>
  <c r="P28" i="30"/>
  <c r="P28" i="33" s="1"/>
  <c r="P29" i="30"/>
  <c r="P29" i="33" s="1"/>
  <c r="P30" i="30"/>
  <c r="P30" i="33" s="1"/>
  <c r="P31" i="30"/>
  <c r="P31" i="33" s="1"/>
  <c r="P32" i="30"/>
  <c r="P32" i="33" s="1"/>
  <c r="P33" i="30"/>
  <c r="P33" i="33" s="1"/>
  <c r="P34" i="30"/>
  <c r="P34" i="33" s="1"/>
  <c r="P35" i="30"/>
  <c r="P35" i="33" s="1"/>
  <c r="F37" i="30"/>
  <c r="F37" i="33" s="1"/>
  <c r="F39" i="30"/>
  <c r="F39" i="33" s="1"/>
  <c r="E41" i="30"/>
  <c r="E41" i="33" s="1"/>
  <c r="E42" i="30"/>
  <c r="E42" i="33" s="1"/>
  <c r="E43" i="30"/>
  <c r="E43" i="33" s="1"/>
  <c r="E44" i="30"/>
  <c r="E44" i="33" s="1"/>
  <c r="E45" i="30"/>
  <c r="E45" i="33" s="1"/>
  <c r="E46" i="30"/>
  <c r="E46" i="33" s="1"/>
  <c r="E47" i="30"/>
  <c r="E47" i="33" s="1"/>
  <c r="E48" i="30"/>
  <c r="E48" i="33" s="1"/>
  <c r="E49" i="30"/>
  <c r="E49" i="33" s="1"/>
  <c r="E51" i="30"/>
  <c r="E51" i="33" s="1"/>
  <c r="E52" i="30"/>
  <c r="E52" i="33" s="1"/>
  <c r="E53" i="30"/>
  <c r="E53" i="33" s="1"/>
  <c r="E54" i="30"/>
  <c r="E54" i="33" s="1"/>
  <c r="E55" i="30"/>
  <c r="E55" i="33" s="1"/>
  <c r="E56" i="30"/>
  <c r="E56" i="33" s="1"/>
  <c r="E57" i="30"/>
  <c r="E57" i="33" s="1"/>
  <c r="E58" i="30"/>
  <c r="E58" i="33" s="1"/>
  <c r="E59" i="30"/>
  <c r="E59" i="33" s="1"/>
  <c r="E60" i="30"/>
  <c r="E60" i="33" s="1"/>
  <c r="E61" i="30"/>
  <c r="E61" i="33" s="1"/>
  <c r="E62" i="30"/>
  <c r="E62" i="33" s="1"/>
  <c r="E63" i="30"/>
  <c r="E63" i="33" s="1"/>
  <c r="P36" i="30"/>
  <c r="P36" i="33" s="1"/>
  <c r="P38" i="30"/>
  <c r="P38" i="33" s="1"/>
  <c r="P40" i="30"/>
  <c r="P40" i="33" s="1"/>
  <c r="B42" i="30"/>
  <c r="B42" i="33" s="1"/>
  <c r="B43" i="30"/>
  <c r="B43" i="33" s="1"/>
  <c r="B44" i="30"/>
  <c r="B44" i="33" s="1"/>
  <c r="B45" i="30"/>
  <c r="B45" i="33" s="1"/>
  <c r="B46" i="30"/>
  <c r="B46" i="33" s="1"/>
  <c r="B47" i="30"/>
  <c r="B47" i="33" s="1"/>
  <c r="B48" i="30"/>
  <c r="B48" i="33" s="1"/>
  <c r="B49" i="30"/>
  <c r="B49" i="33" s="1"/>
  <c r="B51" i="30"/>
  <c r="B51" i="33" s="1"/>
  <c r="B52" i="30"/>
  <c r="B52" i="33" s="1"/>
  <c r="B53" i="30"/>
  <c r="B53" i="33" s="1"/>
  <c r="B54" i="30"/>
  <c r="B54" i="33" s="1"/>
  <c r="B55" i="30"/>
  <c r="B55" i="33" s="1"/>
  <c r="B56" i="30"/>
  <c r="B56" i="33" s="1"/>
  <c r="B57" i="30"/>
  <c r="B57" i="33" s="1"/>
  <c r="B58" i="30"/>
  <c r="B58" i="33" s="1"/>
  <c r="B59" i="30"/>
  <c r="B59" i="33" s="1"/>
  <c r="B60" i="30"/>
  <c r="B60" i="33" s="1"/>
  <c r="B61" i="30"/>
  <c r="B61" i="33" s="1"/>
  <c r="B62" i="30"/>
  <c r="B62" i="33" s="1"/>
  <c r="B63" i="30"/>
  <c r="B63" i="33" s="1"/>
  <c r="I8" i="30"/>
  <c r="Q10" i="30"/>
  <c r="Q10" i="33" s="1"/>
  <c r="M13" i="30"/>
  <c r="M13" i="33" s="1"/>
  <c r="Q14" i="30"/>
  <c r="Q14" i="33" s="1"/>
  <c r="I16" i="30"/>
  <c r="I16" i="33" s="1"/>
  <c r="M17" i="30"/>
  <c r="M17" i="33" s="1"/>
  <c r="Q18" i="30"/>
  <c r="Q18" i="33" s="1"/>
  <c r="I20" i="30"/>
  <c r="I20" i="33" s="1"/>
  <c r="M21" i="30"/>
  <c r="Q22" i="30"/>
  <c r="Q22" i="33" s="1"/>
  <c r="I24" i="30"/>
  <c r="I24" i="33" s="1"/>
  <c r="M25" i="30"/>
  <c r="M25" i="33" s="1"/>
  <c r="Q26" i="30"/>
  <c r="Q26" i="33" s="1"/>
  <c r="I28" i="30"/>
  <c r="I30" i="30"/>
  <c r="M31" i="30"/>
  <c r="Q32" i="30"/>
  <c r="Q32" i="33" s="1"/>
  <c r="I34" i="30"/>
  <c r="I34" i="33" s="1"/>
  <c r="M35" i="30"/>
  <c r="M35" i="33" s="1"/>
  <c r="Q36" i="30"/>
  <c r="Q36" i="33" s="1"/>
  <c r="I38" i="30"/>
  <c r="I38" i="33" s="1"/>
  <c r="M39" i="30"/>
  <c r="M39" i="33" s="1"/>
  <c r="Q40" i="30"/>
  <c r="Q40" i="33" s="1"/>
  <c r="N7" i="30"/>
  <c r="N7" i="33" s="1"/>
  <c r="N8" i="30"/>
  <c r="N8" i="33" s="1"/>
  <c r="N9" i="30"/>
  <c r="N9" i="33" s="1"/>
  <c r="N10" i="30"/>
  <c r="N10" i="33" s="1"/>
  <c r="N11" i="30"/>
  <c r="N11" i="33" s="1"/>
  <c r="N12" i="30"/>
  <c r="N13" i="30"/>
  <c r="N14" i="30"/>
  <c r="N15" i="30"/>
  <c r="N16" i="30"/>
  <c r="N16" i="33" s="1"/>
  <c r="N17" i="30"/>
  <c r="N17" i="33" s="1"/>
  <c r="N18" i="30"/>
  <c r="N18" i="33" s="1"/>
  <c r="N19" i="30"/>
  <c r="N19" i="33" s="1"/>
  <c r="N20" i="30"/>
  <c r="N20" i="33" s="1"/>
  <c r="N21" i="30"/>
  <c r="N21" i="33" s="1"/>
  <c r="N22" i="30"/>
  <c r="N22" i="33" s="1"/>
  <c r="N23" i="30"/>
  <c r="N23" i="33" s="1"/>
  <c r="N24" i="30"/>
  <c r="N25" i="30"/>
  <c r="N25" i="33" s="1"/>
  <c r="N26" i="30"/>
  <c r="N26" i="33" s="1"/>
  <c r="N27" i="30"/>
  <c r="N27" i="33" s="1"/>
  <c r="N28" i="30"/>
  <c r="N28" i="33" s="1"/>
  <c r="N29" i="30"/>
  <c r="N29" i="33" s="1"/>
  <c r="N30" i="30"/>
  <c r="N30" i="33" s="1"/>
  <c r="N31" i="30"/>
  <c r="N31" i="33" s="1"/>
  <c r="N32" i="30"/>
  <c r="N32" i="33" s="1"/>
  <c r="N33" i="30"/>
  <c r="N33" i="33" s="1"/>
  <c r="N34" i="30"/>
  <c r="N34" i="33" s="1"/>
  <c r="N35" i="30"/>
  <c r="N35" i="33" s="1"/>
  <c r="B37" i="30"/>
  <c r="B37" i="33" s="1"/>
  <c r="B39" i="30"/>
  <c r="B39" i="33" s="1"/>
  <c r="G41" i="30"/>
  <c r="G41" i="33" s="1"/>
  <c r="K42" i="30"/>
  <c r="K42" i="33" s="1"/>
  <c r="O43" i="30"/>
  <c r="O43" i="33" s="1"/>
  <c r="G45" i="30"/>
  <c r="G45" i="33" s="1"/>
  <c r="K46" i="30"/>
  <c r="K46" i="33" s="1"/>
  <c r="O47" i="30"/>
  <c r="O47" i="33" s="1"/>
  <c r="G49" i="30"/>
  <c r="G49" i="33" s="1"/>
  <c r="K51" i="30"/>
  <c r="K51" i="33" s="1"/>
  <c r="O52" i="30"/>
  <c r="O52" i="33" s="1"/>
  <c r="G54" i="30"/>
  <c r="G54" i="33" s="1"/>
  <c r="K55" i="30"/>
  <c r="K55" i="33" s="1"/>
  <c r="O56" i="30"/>
  <c r="O56" i="33" s="1"/>
  <c r="G58" i="30"/>
  <c r="G58" i="33" s="1"/>
  <c r="K59" i="30"/>
  <c r="K59" i="33" s="1"/>
  <c r="O60" i="30"/>
  <c r="O60" i="33" s="1"/>
  <c r="G62" i="30"/>
  <c r="G62" i="33" s="1"/>
  <c r="K63" i="30"/>
  <c r="K63" i="33" s="1"/>
  <c r="L37" i="30"/>
  <c r="L37" i="33" s="1"/>
  <c r="L39" i="30"/>
  <c r="L39" i="33" s="1"/>
  <c r="H41" i="30"/>
  <c r="H41" i="33" s="1"/>
  <c r="H42" i="30"/>
  <c r="H42" i="33" s="1"/>
  <c r="H43" i="30"/>
  <c r="H43" i="33" s="1"/>
  <c r="H44" i="30"/>
  <c r="H44" i="33" s="1"/>
  <c r="H45" i="30"/>
  <c r="H45" i="33" s="1"/>
  <c r="H46" i="30"/>
  <c r="H46" i="33" s="1"/>
  <c r="H47" i="30"/>
  <c r="H47" i="33" s="1"/>
  <c r="H48" i="30"/>
  <c r="H48" i="33" s="1"/>
  <c r="H49" i="30"/>
  <c r="H49" i="33" s="1"/>
  <c r="H51" i="30"/>
  <c r="H51" i="33" s="1"/>
  <c r="H52" i="30"/>
  <c r="H52" i="33" s="1"/>
  <c r="H53" i="30"/>
  <c r="H53" i="33" s="1"/>
  <c r="H54" i="30"/>
  <c r="H54" i="33" s="1"/>
  <c r="H55" i="30"/>
  <c r="H55" i="33" s="1"/>
  <c r="H56" i="30"/>
  <c r="H56" i="33" s="1"/>
  <c r="H57" i="30"/>
  <c r="H57" i="33" s="1"/>
  <c r="H58" i="30"/>
  <c r="H58" i="33" s="1"/>
  <c r="H59" i="30"/>
  <c r="H59" i="33" s="1"/>
  <c r="H60" i="30"/>
  <c r="H60" i="33" s="1"/>
  <c r="H61" i="30"/>
  <c r="H61" i="33" s="1"/>
  <c r="H62" i="30"/>
  <c r="H62" i="33" s="1"/>
  <c r="H63" i="30"/>
  <c r="H63" i="33" s="1"/>
  <c r="O7" i="30"/>
  <c r="O7" i="33" s="1"/>
  <c r="O8" i="30"/>
  <c r="O8" i="33" s="1"/>
  <c r="O9" i="30"/>
  <c r="O9" i="33" s="1"/>
  <c r="O10" i="30"/>
  <c r="O10" i="33" s="1"/>
  <c r="O11" i="30"/>
  <c r="O12" i="30"/>
  <c r="O12" i="33" s="1"/>
  <c r="O13" i="30"/>
  <c r="O13" i="33" s="1"/>
  <c r="O14" i="30"/>
  <c r="O14" i="33" s="1"/>
  <c r="O15" i="30"/>
  <c r="O15" i="33" s="1"/>
  <c r="O16" i="30"/>
  <c r="O16" i="33" s="1"/>
  <c r="O17" i="30"/>
  <c r="O17" i="33" s="1"/>
  <c r="O18" i="30"/>
  <c r="O18" i="33" s="1"/>
  <c r="O19" i="30"/>
  <c r="O20" i="30"/>
  <c r="O21" i="30"/>
  <c r="O21" i="33" s="1"/>
  <c r="O22" i="30"/>
  <c r="O22" i="33" s="1"/>
  <c r="O23" i="30"/>
  <c r="O23" i="33" s="1"/>
  <c r="O24" i="30"/>
  <c r="O24" i="33" s="1"/>
  <c r="O25" i="30"/>
  <c r="O26" i="30"/>
  <c r="O26" i="33" s="1"/>
  <c r="O27" i="30"/>
  <c r="O27" i="33" s="1"/>
  <c r="O28" i="30"/>
  <c r="O28" i="33" s="1"/>
  <c r="G30" i="30"/>
  <c r="G30" i="33" s="1"/>
  <c r="G31" i="30"/>
  <c r="G31" i="33" s="1"/>
  <c r="G32" i="30"/>
  <c r="G33" i="30"/>
  <c r="G34" i="30"/>
  <c r="G34" i="33" s="1"/>
  <c r="G35" i="30"/>
  <c r="G35" i="33" s="1"/>
  <c r="G36" i="30"/>
  <c r="G36" i="33" s="1"/>
  <c r="G37" i="30"/>
  <c r="G37" i="33" s="1"/>
  <c r="G38" i="30"/>
  <c r="G38" i="33" s="1"/>
  <c r="G39" i="30"/>
  <c r="G39" i="33" s="1"/>
  <c r="G40" i="30"/>
  <c r="G40" i="33" s="1"/>
  <c r="D7" i="30"/>
  <c r="D7" i="33" s="1"/>
  <c r="D8" i="30"/>
  <c r="D8" i="33" s="1"/>
  <c r="D9" i="30"/>
  <c r="D9" i="33" s="1"/>
  <c r="D10" i="30"/>
  <c r="D11" i="30"/>
  <c r="D12" i="30"/>
  <c r="D13" i="30"/>
  <c r="D14" i="30"/>
  <c r="D15" i="30"/>
  <c r="D16" i="30"/>
  <c r="D16" i="33" s="1"/>
  <c r="D17" i="30"/>
  <c r="D18" i="30"/>
  <c r="D18" i="33" s="1"/>
  <c r="D19" i="30"/>
  <c r="D19" i="33" s="1"/>
  <c r="D20" i="30"/>
  <c r="D20" i="33" s="1"/>
  <c r="D21" i="30"/>
  <c r="D21" i="33" s="1"/>
  <c r="D22" i="30"/>
  <c r="D23" i="30"/>
  <c r="D23" i="33" s="1"/>
  <c r="D24" i="30"/>
  <c r="D24" i="33" s="1"/>
  <c r="D25" i="30"/>
  <c r="D25" i="33" s="1"/>
  <c r="D26" i="30"/>
  <c r="D26" i="33" s="1"/>
  <c r="D27" i="30"/>
  <c r="D27" i="33" s="1"/>
  <c r="D28" i="30"/>
  <c r="D28" i="33" s="1"/>
  <c r="D29" i="30"/>
  <c r="D29" i="33" s="1"/>
  <c r="D30" i="30"/>
  <c r="D30" i="33" s="1"/>
  <c r="D31" i="30"/>
  <c r="D32" i="30"/>
  <c r="D32" i="33" s="1"/>
  <c r="D33" i="30"/>
  <c r="D33" i="33" s="1"/>
  <c r="D34" i="30"/>
  <c r="D34" i="33" s="1"/>
  <c r="D35" i="30"/>
  <c r="D35" i="33" s="1"/>
  <c r="D36" i="30"/>
  <c r="D36" i="33" s="1"/>
  <c r="N37" i="30"/>
  <c r="N37" i="33" s="1"/>
  <c r="N39" i="30"/>
  <c r="N39" i="33" s="1"/>
  <c r="I41" i="30"/>
  <c r="I41" i="33" s="1"/>
  <c r="I42" i="30"/>
  <c r="I42" i="33" s="1"/>
  <c r="I43" i="30"/>
  <c r="I43" i="33" s="1"/>
  <c r="I44" i="30"/>
  <c r="I44" i="33" s="1"/>
  <c r="I45" i="30"/>
  <c r="I45" i="33" s="1"/>
  <c r="I46" i="30"/>
  <c r="I46" i="33" s="1"/>
  <c r="I47" i="30"/>
  <c r="I47" i="33" s="1"/>
  <c r="I48" i="30"/>
  <c r="I48" i="33" s="1"/>
  <c r="I49" i="30"/>
  <c r="I49" i="33" s="1"/>
  <c r="I51" i="30"/>
  <c r="I51" i="33" s="1"/>
  <c r="I52" i="30"/>
  <c r="I52" i="33" s="1"/>
  <c r="I53" i="30"/>
  <c r="I53" i="33" s="1"/>
  <c r="I54" i="30"/>
  <c r="I54" i="33" s="1"/>
  <c r="I55" i="30"/>
  <c r="I55" i="33" s="1"/>
  <c r="I56" i="30"/>
  <c r="I56" i="33" s="1"/>
  <c r="I57" i="30"/>
  <c r="I57" i="33" s="1"/>
  <c r="I58" i="30"/>
  <c r="I58" i="33" s="1"/>
  <c r="I59" i="30"/>
  <c r="I59" i="33" s="1"/>
  <c r="I60" i="30"/>
  <c r="I60" i="33" s="1"/>
  <c r="I61" i="30"/>
  <c r="I61" i="33" s="1"/>
  <c r="I62" i="30"/>
  <c r="I62" i="33" s="1"/>
  <c r="I63" i="30"/>
  <c r="I63" i="33" s="1"/>
  <c r="H37" i="30"/>
  <c r="H37" i="33" s="1"/>
  <c r="H39" i="30"/>
  <c r="H39" i="33" s="1"/>
  <c r="F41" i="30"/>
  <c r="F41" i="33" s="1"/>
  <c r="F42" i="30"/>
  <c r="F42" i="33" s="1"/>
  <c r="F43" i="30"/>
  <c r="F43" i="33" s="1"/>
  <c r="F44" i="30"/>
  <c r="F44" i="33" s="1"/>
  <c r="F45" i="30"/>
  <c r="F45" i="33" s="1"/>
  <c r="F46" i="30"/>
  <c r="F46" i="33" s="1"/>
  <c r="F47" i="30"/>
  <c r="F47" i="33" s="1"/>
  <c r="F48" i="30"/>
  <c r="F48" i="33" s="1"/>
  <c r="F49" i="30"/>
  <c r="F49" i="33" s="1"/>
  <c r="F51" i="30"/>
  <c r="F51" i="33" s="1"/>
  <c r="F52" i="30"/>
  <c r="F52" i="33" s="1"/>
  <c r="F53" i="30"/>
  <c r="F53" i="33" s="1"/>
  <c r="F54" i="30"/>
  <c r="F54" i="33" s="1"/>
  <c r="F55" i="30"/>
  <c r="F55" i="33" s="1"/>
  <c r="F56" i="30"/>
  <c r="F56" i="33" s="1"/>
  <c r="F57" i="30"/>
  <c r="F57" i="33" s="1"/>
  <c r="F58" i="30"/>
  <c r="F58" i="33" s="1"/>
  <c r="F59" i="30"/>
  <c r="F59" i="33" s="1"/>
  <c r="F60" i="30"/>
  <c r="F60" i="33" s="1"/>
  <c r="F61" i="30"/>
  <c r="F61" i="33" s="1"/>
  <c r="F62" i="30"/>
  <c r="F62" i="33" s="1"/>
  <c r="F63" i="30"/>
  <c r="F63" i="33" s="1"/>
  <c r="Q8" i="30"/>
  <c r="Q8" i="33" s="1"/>
  <c r="M11" i="30"/>
  <c r="M11" i="33" s="1"/>
  <c r="I7" i="30"/>
  <c r="I7" i="33" s="1"/>
  <c r="M8" i="30"/>
  <c r="M8" i="33" s="1"/>
  <c r="Q9" i="30"/>
  <c r="Q9" i="33" s="1"/>
  <c r="I11" i="30"/>
  <c r="I11" i="33" s="1"/>
  <c r="M12" i="30"/>
  <c r="M12" i="33" s="1"/>
  <c r="Q13" i="30"/>
  <c r="Q13" i="33" s="1"/>
  <c r="I15" i="30"/>
  <c r="I15" i="33" s="1"/>
  <c r="M16" i="30"/>
  <c r="M16" i="33" s="1"/>
  <c r="Q17" i="30"/>
  <c r="Q17" i="33" s="1"/>
  <c r="I19" i="30"/>
  <c r="M20" i="30"/>
  <c r="M20" i="33" s="1"/>
  <c r="Q21" i="30"/>
  <c r="Q21" i="33" s="1"/>
  <c r="I23" i="30"/>
  <c r="I23" i="33" s="1"/>
  <c r="M24" i="30"/>
  <c r="M24" i="33" s="1"/>
  <c r="Q25" i="30"/>
  <c r="Q25" i="33" s="1"/>
  <c r="I27" i="30"/>
  <c r="I27" i="33" s="1"/>
  <c r="M28" i="30"/>
  <c r="I29" i="30"/>
  <c r="M30" i="30"/>
  <c r="Q31" i="30"/>
  <c r="I33" i="30"/>
  <c r="I33" i="33" s="1"/>
  <c r="M34" i="30"/>
  <c r="M34" i="33" s="1"/>
  <c r="Q35" i="30"/>
  <c r="Q35" i="33" s="1"/>
  <c r="I37" i="30"/>
  <c r="I37" i="33" s="1"/>
  <c r="M38" i="30"/>
  <c r="M38" i="33" s="1"/>
  <c r="Q39" i="30"/>
  <c r="Q39" i="33" s="1"/>
  <c r="B7" i="30"/>
  <c r="B8" i="30"/>
  <c r="B9" i="30"/>
  <c r="B10" i="30"/>
  <c r="B10" i="33" s="1"/>
  <c r="B11" i="30"/>
  <c r="B11" i="33" s="1"/>
  <c r="B12" i="30"/>
  <c r="B13" i="30"/>
  <c r="B13" i="33" s="1"/>
  <c r="B14" i="30"/>
  <c r="B15" i="30"/>
  <c r="B16" i="30"/>
  <c r="B17" i="30"/>
  <c r="B18" i="30"/>
  <c r="B19" i="30"/>
  <c r="B20" i="30"/>
  <c r="B21" i="30"/>
  <c r="B21" i="33" s="1"/>
  <c r="B22" i="30"/>
  <c r="B23" i="30"/>
  <c r="B24" i="30"/>
  <c r="B25" i="30"/>
  <c r="B26" i="30"/>
  <c r="B27" i="30"/>
  <c r="B28" i="30"/>
  <c r="B28" i="33" s="1"/>
  <c r="B29" i="30"/>
  <c r="B29" i="33" s="1"/>
  <c r="B30" i="30"/>
  <c r="B30" i="33" s="1"/>
  <c r="B31" i="30"/>
  <c r="B31" i="33" s="1"/>
  <c r="B32" i="30"/>
  <c r="B32" i="33" s="1"/>
  <c r="B33" i="30"/>
  <c r="B33" i="33" s="1"/>
  <c r="B34" i="30"/>
  <c r="B34" i="33" s="1"/>
  <c r="B35" i="30"/>
  <c r="B35" i="33" s="1"/>
  <c r="B36" i="30"/>
  <c r="B36" i="33" s="1"/>
  <c r="J37" i="30"/>
  <c r="J37" i="33" s="1"/>
  <c r="J39" i="30"/>
  <c r="J39" i="33" s="1"/>
  <c r="K41" i="30"/>
  <c r="K41" i="33" s="1"/>
  <c r="O42" i="30"/>
  <c r="O42" i="33" s="1"/>
  <c r="G44" i="30"/>
  <c r="G44" i="33" s="1"/>
  <c r="K45" i="30"/>
  <c r="K45" i="33" s="1"/>
  <c r="O46" i="30"/>
  <c r="O46" i="33" s="1"/>
  <c r="G48" i="30"/>
  <c r="G48" i="33" s="1"/>
  <c r="K49" i="30"/>
  <c r="K49" i="33" s="1"/>
  <c r="O51" i="30"/>
  <c r="O51" i="33" s="1"/>
  <c r="G53" i="30"/>
  <c r="G53" i="33" s="1"/>
  <c r="K54" i="30"/>
  <c r="K54" i="33" s="1"/>
  <c r="O55" i="30"/>
  <c r="O55" i="33" s="1"/>
  <c r="G57" i="30"/>
  <c r="G57" i="33" s="1"/>
  <c r="K58" i="30"/>
  <c r="K58" i="33" s="1"/>
  <c r="O59" i="30"/>
  <c r="O59" i="33" s="1"/>
  <c r="G61" i="30"/>
  <c r="G61" i="33" s="1"/>
  <c r="K62" i="30"/>
  <c r="K62" i="33" s="1"/>
  <c r="O63" i="30"/>
  <c r="O63" i="33" s="1"/>
  <c r="D38" i="30"/>
  <c r="D38" i="33" s="1"/>
  <c r="D40" i="30"/>
  <c r="D40" i="33" s="1"/>
  <c r="L41" i="30"/>
  <c r="L41" i="33" s="1"/>
  <c r="L42" i="30"/>
  <c r="L42" i="33" s="1"/>
  <c r="L43" i="30"/>
  <c r="L43" i="33" s="1"/>
  <c r="L44" i="30"/>
  <c r="L44" i="33" s="1"/>
  <c r="L45" i="30"/>
  <c r="L45" i="33" s="1"/>
  <c r="L46" i="30"/>
  <c r="L46" i="33" s="1"/>
  <c r="L47" i="30"/>
  <c r="L47" i="33" s="1"/>
  <c r="L48" i="30"/>
  <c r="L48" i="33" s="1"/>
  <c r="L49" i="30"/>
  <c r="L49" i="33" s="1"/>
  <c r="L51" i="30"/>
  <c r="L51" i="33" s="1"/>
  <c r="L52" i="30"/>
  <c r="L52" i="33" s="1"/>
  <c r="L53" i="30"/>
  <c r="L53" i="33" s="1"/>
  <c r="L54" i="30"/>
  <c r="L54" i="33" s="1"/>
  <c r="L55" i="30"/>
  <c r="L55" i="33" s="1"/>
  <c r="L56" i="30"/>
  <c r="L56" i="33" s="1"/>
  <c r="L57" i="30"/>
  <c r="L57" i="33" s="1"/>
  <c r="L58" i="30"/>
  <c r="L58" i="33" s="1"/>
  <c r="L59" i="30"/>
  <c r="L59" i="33" s="1"/>
  <c r="L60" i="30"/>
  <c r="L60" i="33" s="1"/>
  <c r="L61" i="30"/>
  <c r="L61" i="33" s="1"/>
  <c r="L62" i="30"/>
  <c r="L62" i="33" s="1"/>
  <c r="L63" i="30"/>
  <c r="L63" i="33" s="1"/>
  <c r="C7" i="30"/>
  <c r="C8" i="30"/>
  <c r="C9" i="30"/>
  <c r="C10" i="30"/>
  <c r="C11" i="30"/>
  <c r="C12" i="30"/>
  <c r="C12" i="33" s="1"/>
  <c r="C13" i="30"/>
  <c r="C14" i="30"/>
  <c r="C15" i="30"/>
  <c r="C16" i="30"/>
  <c r="C16" i="33" s="1"/>
  <c r="C17" i="30"/>
  <c r="C18" i="30"/>
  <c r="C19" i="30"/>
  <c r="C20" i="30"/>
  <c r="C21" i="30"/>
  <c r="C22" i="30"/>
  <c r="C23" i="30"/>
  <c r="C23" i="33" s="1"/>
  <c r="C24" i="30"/>
  <c r="C24" i="33" s="1"/>
  <c r="C25" i="30"/>
  <c r="C25" i="33" s="1"/>
  <c r="C26" i="30"/>
  <c r="C26" i="33" s="1"/>
  <c r="C27" i="30"/>
  <c r="C28" i="30"/>
  <c r="C28" i="33" s="1"/>
  <c r="C29" i="30"/>
  <c r="C29" i="33" s="1"/>
  <c r="K29" i="30"/>
  <c r="K30" i="30"/>
  <c r="K31" i="30"/>
  <c r="K32" i="30"/>
  <c r="K33" i="30"/>
  <c r="K33" i="33" s="1"/>
  <c r="K34" i="30"/>
  <c r="K34" i="33" s="1"/>
  <c r="K35" i="30"/>
  <c r="K35" i="33" s="1"/>
  <c r="K36" i="30"/>
  <c r="K36" i="33" s="1"/>
  <c r="K37" i="30"/>
  <c r="K37" i="33" s="1"/>
  <c r="K38" i="30"/>
  <c r="K38" i="33" s="1"/>
  <c r="K39" i="30"/>
  <c r="K39" i="33" s="1"/>
  <c r="K40" i="30"/>
  <c r="K40" i="33" s="1"/>
  <c r="H7" i="30"/>
  <c r="H7" i="33" s="1"/>
  <c r="H8" i="30"/>
  <c r="H9" i="30"/>
  <c r="H10" i="30"/>
  <c r="H10" i="33" s="1"/>
  <c r="H11" i="30"/>
  <c r="H11" i="33" s="1"/>
  <c r="H12" i="30"/>
  <c r="H13" i="30"/>
  <c r="H14" i="30"/>
  <c r="H15" i="30"/>
  <c r="H16" i="30"/>
  <c r="H17" i="30"/>
  <c r="H18" i="30"/>
  <c r="H19" i="30"/>
  <c r="H20" i="30"/>
  <c r="H21" i="30"/>
  <c r="H22" i="30"/>
  <c r="H23" i="30"/>
  <c r="H23" i="33" s="1"/>
  <c r="H24" i="30"/>
  <c r="H25" i="30"/>
  <c r="H26" i="30"/>
  <c r="H27" i="30"/>
  <c r="H28" i="30"/>
  <c r="H29" i="30"/>
  <c r="H30" i="30"/>
  <c r="H31" i="30"/>
  <c r="H32" i="30"/>
  <c r="H33" i="30"/>
  <c r="H34" i="30"/>
  <c r="H34" i="33" s="1"/>
  <c r="H35" i="30"/>
  <c r="H35" i="33" s="1"/>
  <c r="H36" i="30"/>
  <c r="H36" i="33" s="1"/>
  <c r="F38" i="30"/>
  <c r="F38" i="33" s="1"/>
  <c r="F40" i="30"/>
  <c r="F40" i="33" s="1"/>
  <c r="M41" i="30"/>
  <c r="M41" i="33" s="1"/>
  <c r="M42" i="30"/>
  <c r="M42" i="33" s="1"/>
  <c r="M43" i="30"/>
  <c r="M43" i="33" s="1"/>
  <c r="M44" i="30"/>
  <c r="M44" i="33" s="1"/>
  <c r="M45" i="30"/>
  <c r="M45" i="33" s="1"/>
  <c r="M46" i="30"/>
  <c r="M46" i="33" s="1"/>
  <c r="M47" i="30"/>
  <c r="M47" i="33" s="1"/>
  <c r="M48" i="30"/>
  <c r="M48" i="33" s="1"/>
  <c r="M49" i="30"/>
  <c r="M49" i="33" s="1"/>
  <c r="M51" i="30"/>
  <c r="M51" i="33" s="1"/>
  <c r="M52" i="30"/>
  <c r="M52" i="33" s="1"/>
  <c r="M53" i="30"/>
  <c r="M53" i="33" s="1"/>
  <c r="M54" i="30"/>
  <c r="M54" i="33" s="1"/>
  <c r="M55" i="30"/>
  <c r="M55" i="33" s="1"/>
  <c r="M56" i="30"/>
  <c r="M56" i="33" s="1"/>
  <c r="M57" i="30"/>
  <c r="M57" i="33" s="1"/>
  <c r="M58" i="30"/>
  <c r="M58" i="33" s="1"/>
  <c r="M59" i="30"/>
  <c r="M59" i="33" s="1"/>
  <c r="M60" i="30"/>
  <c r="M60" i="33" s="1"/>
  <c r="M61" i="30"/>
  <c r="M61" i="33" s="1"/>
  <c r="M62" i="30"/>
  <c r="M62" i="33" s="1"/>
  <c r="M63" i="30"/>
  <c r="M63" i="33" s="1"/>
  <c r="P37" i="30"/>
  <c r="P37" i="33" s="1"/>
  <c r="P39" i="30"/>
  <c r="P39" i="33" s="1"/>
  <c r="J41" i="30"/>
  <c r="J41" i="33" s="1"/>
  <c r="J42" i="30"/>
  <c r="J42" i="33" s="1"/>
  <c r="J43" i="30"/>
  <c r="J43" i="33" s="1"/>
  <c r="J44" i="30"/>
  <c r="J44" i="33" s="1"/>
  <c r="J45" i="30"/>
  <c r="J45" i="33" s="1"/>
  <c r="J46" i="30"/>
  <c r="J46" i="33" s="1"/>
  <c r="J47" i="30"/>
  <c r="J47" i="33" s="1"/>
  <c r="J48" i="30"/>
  <c r="J48" i="33" s="1"/>
  <c r="J49" i="30"/>
  <c r="J49" i="33" s="1"/>
  <c r="J51" i="30"/>
  <c r="J51" i="33" s="1"/>
  <c r="J52" i="30"/>
  <c r="J52" i="33" s="1"/>
  <c r="J53" i="30"/>
  <c r="J53" i="33" s="1"/>
  <c r="J54" i="30"/>
  <c r="J54" i="33" s="1"/>
  <c r="J55" i="30"/>
  <c r="J55" i="33" s="1"/>
  <c r="J56" i="30"/>
  <c r="J56" i="33" s="1"/>
  <c r="J57" i="30"/>
  <c r="J57" i="33" s="1"/>
  <c r="J58" i="30"/>
  <c r="J58" i="33" s="1"/>
  <c r="J59" i="30"/>
  <c r="J59" i="33" s="1"/>
  <c r="J60" i="30"/>
  <c r="J60" i="33" s="1"/>
  <c r="J61" i="30"/>
  <c r="J61" i="33" s="1"/>
  <c r="J62" i="30"/>
  <c r="J62" i="33" s="1"/>
  <c r="J63" i="30"/>
  <c r="J63" i="33" s="1"/>
  <c r="M9" i="30"/>
  <c r="I12" i="30"/>
  <c r="I12" i="33" s="1"/>
  <c r="I14" i="30"/>
  <c r="I14" i="33" s="1"/>
  <c r="M15" i="30"/>
  <c r="M15" i="33" s="1"/>
  <c r="Q16" i="30"/>
  <c r="Q16" i="33" s="1"/>
  <c r="I18" i="30"/>
  <c r="I18" i="33" s="1"/>
  <c r="M19" i="30"/>
  <c r="Q20" i="30"/>
  <c r="Q20" i="33" s="1"/>
  <c r="I22" i="30"/>
  <c r="M23" i="30"/>
  <c r="M23" i="33" s="1"/>
  <c r="Q24" i="30"/>
  <c r="Q24" i="33" s="1"/>
  <c r="I26" i="30"/>
  <c r="I26" i="33" s="1"/>
  <c r="M27" i="30"/>
  <c r="M27" i="33" s="1"/>
  <c r="Q28" i="30"/>
  <c r="Q28" i="33" s="1"/>
  <c r="M29" i="30"/>
  <c r="Q30" i="30"/>
  <c r="Q30" i="33" s="1"/>
  <c r="I32" i="30"/>
  <c r="M33" i="30"/>
  <c r="M33" i="33" s="1"/>
  <c r="Q34" i="30"/>
  <c r="Q34" i="33" s="1"/>
  <c r="I36" i="30"/>
  <c r="I36" i="33" s="1"/>
  <c r="M37" i="30"/>
  <c r="M37" i="33" s="1"/>
  <c r="Q38" i="30"/>
  <c r="Q38" i="33" s="1"/>
  <c r="I40" i="30"/>
  <c r="I40" i="33" s="1"/>
  <c r="F7" i="30"/>
  <c r="F7" i="33" s="1"/>
  <c r="F8" i="30"/>
  <c r="F9" i="30"/>
  <c r="F9" i="33" s="1"/>
  <c r="F10" i="30"/>
  <c r="F10" i="33" s="1"/>
  <c r="F11" i="30"/>
  <c r="F12" i="30"/>
  <c r="F13" i="30"/>
  <c r="F14" i="30"/>
  <c r="F15" i="30"/>
  <c r="F16" i="30"/>
  <c r="F16" i="33" s="1"/>
  <c r="F17" i="30"/>
  <c r="F17" i="33" s="1"/>
  <c r="F18" i="30"/>
  <c r="F18" i="33" s="1"/>
  <c r="F19" i="30"/>
  <c r="F20" i="30"/>
  <c r="F20" i="33" s="1"/>
  <c r="F21" i="30"/>
  <c r="F22" i="30"/>
  <c r="F22" i="33" s="1"/>
  <c r="F23" i="30"/>
  <c r="F23" i="33" s="1"/>
  <c r="F24" i="30"/>
  <c r="F25" i="30"/>
  <c r="F25" i="33" s="1"/>
  <c r="F26" i="30"/>
  <c r="F27" i="30"/>
  <c r="F28" i="30"/>
  <c r="F28" i="33" s="1"/>
  <c r="F29" i="30"/>
  <c r="F29" i="33" s="1"/>
  <c r="F30" i="30"/>
  <c r="F30" i="33" s="1"/>
  <c r="F31" i="30"/>
  <c r="F31" i="33" s="1"/>
  <c r="F32" i="30"/>
  <c r="F32" i="33" s="1"/>
  <c r="F33" i="30"/>
  <c r="F34" i="30"/>
  <c r="F34" i="33" s="1"/>
  <c r="F35" i="30"/>
  <c r="F35" i="33" s="1"/>
  <c r="F36" i="30"/>
  <c r="F36" i="33" s="1"/>
  <c r="B38" i="30"/>
  <c r="B38" i="33" s="1"/>
  <c r="B40" i="30"/>
  <c r="B40" i="33" s="1"/>
  <c r="O41" i="30"/>
  <c r="O41" i="33" s="1"/>
  <c r="G43" i="30"/>
  <c r="G43" i="33" s="1"/>
  <c r="K44" i="30"/>
  <c r="K44" i="33" s="1"/>
  <c r="O45" i="30"/>
  <c r="O45" i="33" s="1"/>
  <c r="G47" i="30"/>
  <c r="G47" i="33" s="1"/>
  <c r="K48" i="30"/>
  <c r="K48" i="33" s="1"/>
  <c r="O49" i="30"/>
  <c r="O49" i="33" s="1"/>
  <c r="G52" i="30"/>
  <c r="G52" i="33" s="1"/>
  <c r="K53" i="30"/>
  <c r="K53" i="33" s="1"/>
  <c r="O54" i="30"/>
  <c r="O54" i="33" s="1"/>
  <c r="G56" i="30"/>
  <c r="G56" i="33" s="1"/>
  <c r="K57" i="30"/>
  <c r="K57" i="33" s="1"/>
  <c r="O58" i="30"/>
  <c r="O58" i="33" s="1"/>
  <c r="G60" i="30"/>
  <c r="G60" i="33" s="1"/>
  <c r="K61" i="30"/>
  <c r="K61" i="33" s="1"/>
  <c r="O62" i="30"/>
  <c r="O62" i="33" s="1"/>
  <c r="L36" i="30"/>
  <c r="L36" i="33" s="1"/>
  <c r="L38" i="30"/>
  <c r="L38" i="33" s="1"/>
  <c r="L40" i="30"/>
  <c r="L40" i="33" s="1"/>
  <c r="P41" i="30"/>
  <c r="P41" i="33" s="1"/>
  <c r="P42" i="30"/>
  <c r="P42" i="33" s="1"/>
  <c r="P43" i="30"/>
  <c r="P43" i="33" s="1"/>
  <c r="P44" i="30"/>
  <c r="P44" i="33" s="1"/>
  <c r="P45" i="30"/>
  <c r="P45" i="33" s="1"/>
  <c r="P46" i="30"/>
  <c r="P46" i="33" s="1"/>
  <c r="P47" i="30"/>
  <c r="P47" i="33" s="1"/>
  <c r="P48" i="30"/>
  <c r="P48" i="33" s="1"/>
  <c r="P49" i="30"/>
  <c r="P49" i="33" s="1"/>
  <c r="P51" i="30"/>
  <c r="P51" i="33" s="1"/>
  <c r="P52" i="30"/>
  <c r="P52" i="33" s="1"/>
  <c r="P53" i="30"/>
  <c r="P53" i="33" s="1"/>
  <c r="P54" i="30"/>
  <c r="P54" i="33" s="1"/>
  <c r="P55" i="30"/>
  <c r="P55" i="33" s="1"/>
  <c r="P56" i="30"/>
  <c r="P56" i="33" s="1"/>
  <c r="P57" i="30"/>
  <c r="P57" i="33" s="1"/>
  <c r="P58" i="30"/>
  <c r="P58" i="33" s="1"/>
  <c r="P59" i="30"/>
  <c r="P59" i="33" s="1"/>
  <c r="P60" i="30"/>
  <c r="P60" i="33" s="1"/>
  <c r="P61" i="30"/>
  <c r="P61" i="33" s="1"/>
  <c r="P62" i="30"/>
  <c r="P62" i="33" s="1"/>
  <c r="P63" i="30"/>
  <c r="P63" i="33" s="1"/>
  <c r="G7" i="30"/>
  <c r="G8" i="30"/>
  <c r="G9" i="30"/>
  <c r="G10" i="30"/>
  <c r="G10" i="33" s="1"/>
  <c r="G11" i="30"/>
  <c r="G12" i="30"/>
  <c r="G13" i="30"/>
  <c r="G13" i="33" s="1"/>
  <c r="G14" i="30"/>
  <c r="G14" i="33" s="1"/>
  <c r="G15" i="30"/>
  <c r="G16" i="30"/>
  <c r="G17" i="30"/>
  <c r="G18" i="30"/>
  <c r="G19" i="30"/>
  <c r="G19" i="33" s="1"/>
  <c r="G20" i="30"/>
  <c r="G20" i="33" s="1"/>
  <c r="G21" i="30"/>
  <c r="G21" i="33" s="1"/>
  <c r="G22" i="30"/>
  <c r="G23" i="30"/>
  <c r="G23" i="33" s="1"/>
  <c r="G24" i="30"/>
  <c r="G25" i="30"/>
  <c r="G26" i="30"/>
  <c r="G26" i="33" s="1"/>
  <c r="G27" i="30"/>
  <c r="G28" i="30"/>
  <c r="G29" i="30"/>
  <c r="G29" i="33" s="1"/>
  <c r="O29" i="30"/>
  <c r="O29" i="33" s="1"/>
  <c r="O30" i="30"/>
  <c r="O30" i="33" s="1"/>
  <c r="O31" i="30"/>
  <c r="O31" i="33" s="1"/>
  <c r="O32" i="30"/>
  <c r="O32" i="33" s="1"/>
  <c r="O33" i="30"/>
  <c r="O33" i="33" s="1"/>
  <c r="O34" i="30"/>
  <c r="O34" i="33" s="1"/>
  <c r="O35" i="30"/>
  <c r="O35" i="33" s="1"/>
  <c r="O36" i="30"/>
  <c r="O36" i="33" s="1"/>
  <c r="O37" i="30"/>
  <c r="O37" i="33" s="1"/>
  <c r="O38" i="30"/>
  <c r="O38" i="33" s="1"/>
  <c r="O39" i="30"/>
  <c r="O39" i="33" s="1"/>
  <c r="O40" i="30"/>
  <c r="O40" i="33" s="1"/>
  <c r="L7" i="30"/>
  <c r="L7" i="33" s="1"/>
  <c r="L8" i="30"/>
  <c r="L8" i="33" s="1"/>
  <c r="L9" i="30"/>
  <c r="L9" i="33" s="1"/>
  <c r="L10" i="30"/>
  <c r="L10" i="33" s="1"/>
  <c r="L11" i="30"/>
  <c r="L11" i="33" s="1"/>
  <c r="L12" i="30"/>
  <c r="L12" i="33" s="1"/>
  <c r="L13" i="30"/>
  <c r="L13" i="33" s="1"/>
  <c r="L14" i="30"/>
  <c r="L14" i="33" s="1"/>
  <c r="L15" i="30"/>
  <c r="L15" i="33" s="1"/>
  <c r="L16" i="30"/>
  <c r="L16" i="33" s="1"/>
  <c r="L17" i="30"/>
  <c r="L18" i="30"/>
  <c r="L19" i="30"/>
  <c r="L19" i="33" s="1"/>
  <c r="L20" i="30"/>
  <c r="L21" i="30"/>
  <c r="L21" i="33" s="1"/>
  <c r="L22" i="30"/>
  <c r="L23" i="30"/>
  <c r="L24" i="30"/>
  <c r="L25" i="30"/>
  <c r="L26" i="30"/>
  <c r="L26" i="33" s="1"/>
  <c r="L27" i="30"/>
  <c r="L28" i="30"/>
  <c r="L29" i="30"/>
  <c r="L30" i="30"/>
  <c r="L31" i="30"/>
  <c r="L32" i="30"/>
  <c r="L33" i="30"/>
  <c r="L33" i="33" s="1"/>
  <c r="L34" i="30"/>
  <c r="L34" i="33" s="1"/>
  <c r="L35" i="30"/>
  <c r="L35" i="33" s="1"/>
  <c r="N36" i="30"/>
  <c r="N36" i="33" s="1"/>
  <c r="N38" i="30"/>
  <c r="N38" i="33" s="1"/>
  <c r="N40" i="30"/>
  <c r="N40" i="33" s="1"/>
  <c r="Q41" i="30"/>
  <c r="Q41" i="33" s="1"/>
  <c r="Q42" i="30"/>
  <c r="Q42" i="33" s="1"/>
  <c r="Q43" i="30"/>
  <c r="Q43" i="33" s="1"/>
  <c r="Q44" i="30"/>
  <c r="Q44" i="33" s="1"/>
  <c r="Q45" i="30"/>
  <c r="Q45" i="33" s="1"/>
  <c r="Q46" i="30"/>
  <c r="Q46" i="33" s="1"/>
  <c r="Q47" i="30"/>
  <c r="Q47" i="33" s="1"/>
  <c r="Q48" i="30"/>
  <c r="Q48" i="33" s="1"/>
  <c r="Q49" i="30"/>
  <c r="Q49" i="33" s="1"/>
  <c r="Q51" i="30"/>
  <c r="Q51" i="33" s="1"/>
  <c r="Q52" i="30"/>
  <c r="Q52" i="33" s="1"/>
  <c r="Q53" i="30"/>
  <c r="Q53" i="33" s="1"/>
  <c r="Q54" i="30"/>
  <c r="Q54" i="33" s="1"/>
  <c r="Q55" i="30"/>
  <c r="Q55" i="33" s="1"/>
  <c r="Q56" i="30"/>
  <c r="Q56" i="33" s="1"/>
  <c r="Q57" i="30"/>
  <c r="Q57" i="33" s="1"/>
  <c r="Q58" i="30"/>
  <c r="Q58" i="33" s="1"/>
  <c r="Q59" i="30"/>
  <c r="Q59" i="33" s="1"/>
  <c r="Q60" i="30"/>
  <c r="Q60" i="33" s="1"/>
  <c r="Q61" i="30"/>
  <c r="Q61" i="33" s="1"/>
  <c r="Q62" i="30"/>
  <c r="Q62" i="33" s="1"/>
  <c r="Q63" i="30"/>
  <c r="Q63" i="33" s="1"/>
  <c r="H38" i="30"/>
  <c r="H38" i="33" s="1"/>
  <c r="H40" i="30"/>
  <c r="H40" i="33" s="1"/>
  <c r="N41" i="30"/>
  <c r="N41" i="33" s="1"/>
  <c r="N42" i="30"/>
  <c r="N42" i="33" s="1"/>
  <c r="N43" i="30"/>
  <c r="N43" i="33" s="1"/>
  <c r="N44" i="30"/>
  <c r="N44" i="33" s="1"/>
  <c r="N45" i="30"/>
  <c r="N45" i="33" s="1"/>
  <c r="N46" i="30"/>
  <c r="N46" i="33" s="1"/>
  <c r="N47" i="30"/>
  <c r="N47" i="33" s="1"/>
  <c r="N48" i="30"/>
  <c r="N48" i="33" s="1"/>
  <c r="N49" i="30"/>
  <c r="N49" i="33" s="1"/>
  <c r="N51" i="30"/>
  <c r="N51" i="33" s="1"/>
  <c r="N52" i="30"/>
  <c r="N52" i="33" s="1"/>
  <c r="N53" i="30"/>
  <c r="N53" i="33" s="1"/>
  <c r="N54" i="30"/>
  <c r="N54" i="33" s="1"/>
  <c r="N55" i="30"/>
  <c r="N55" i="33" s="1"/>
  <c r="N56" i="30"/>
  <c r="N56" i="33" s="1"/>
  <c r="N57" i="30"/>
  <c r="N57" i="33" s="1"/>
  <c r="N58" i="30"/>
  <c r="N58" i="33" s="1"/>
  <c r="N59" i="30"/>
  <c r="N59" i="33" s="1"/>
  <c r="N60" i="30"/>
  <c r="N60" i="33" s="1"/>
  <c r="N61" i="30"/>
  <c r="N61" i="33" s="1"/>
  <c r="N62" i="30"/>
  <c r="N62" i="33" s="1"/>
  <c r="N63" i="30"/>
  <c r="N63" i="33" s="1"/>
  <c r="V3" i="29"/>
  <c r="G7" i="33" l="1"/>
  <c r="K18" i="33"/>
  <c r="H14" i="33"/>
  <c r="F6" i="33"/>
  <c r="H25" i="33"/>
  <c r="C20" i="33"/>
  <c r="G5" i="33"/>
  <c r="E26" i="33"/>
  <c r="C17" i="33"/>
  <c r="H26" i="33"/>
  <c r="G15" i="33"/>
  <c r="C8" i="33"/>
  <c r="B9" i="33"/>
  <c r="K14" i="33"/>
  <c r="K13" i="33"/>
  <c r="G17" i="33"/>
  <c r="H19" i="33"/>
  <c r="H15" i="33"/>
  <c r="K8" i="33"/>
  <c r="K5" i="33"/>
  <c r="C5" i="33"/>
  <c r="H4" i="33"/>
  <c r="G4" i="33"/>
  <c r="G27" i="33"/>
  <c r="F27" i="33"/>
  <c r="C27" i="33"/>
  <c r="K27" i="33"/>
  <c r="F4" i="33"/>
  <c r="B4" i="33"/>
  <c r="H13" i="33"/>
  <c r="J4" i="33"/>
  <c r="H16" i="33"/>
  <c r="I4" i="33"/>
  <c r="L4" i="33"/>
  <c r="G25" i="33"/>
  <c r="H27" i="33"/>
  <c r="B15" i="33"/>
  <c r="K4" i="33"/>
  <c r="H22" i="33"/>
  <c r="C22" i="33"/>
  <c r="F24" i="33"/>
  <c r="F8" i="33"/>
  <c r="H21" i="33"/>
  <c r="G18" i="33"/>
  <c r="G24" i="33"/>
  <c r="G16" i="33"/>
  <c r="C13" i="33"/>
  <c r="C11" i="33"/>
  <c r="B12" i="33"/>
  <c r="E21" i="33"/>
  <c r="C6" i="33"/>
  <c r="I32" i="33"/>
  <c r="H31" i="33"/>
  <c r="K31" i="33"/>
  <c r="K29" i="33"/>
  <c r="I30" i="33"/>
  <c r="K28" i="33"/>
  <c r="J32" i="33"/>
  <c r="J28" i="33"/>
  <c r="G28" i="33"/>
  <c r="H32" i="33"/>
  <c r="H30" i="33"/>
  <c r="H28" i="33"/>
  <c r="K32" i="33"/>
  <c r="K30" i="33"/>
  <c r="B26" i="33"/>
  <c r="I29" i="33"/>
  <c r="G32" i="33"/>
  <c r="I28" i="33"/>
  <c r="J31" i="33"/>
  <c r="I31" i="33"/>
  <c r="B5" i="33"/>
  <c r="B6" i="33"/>
  <c r="B16" i="33"/>
  <c r="L32" i="33"/>
  <c r="L30" i="33"/>
  <c r="L28" i="33"/>
  <c r="M29" i="33"/>
  <c r="M30" i="33"/>
  <c r="M28" i="33"/>
  <c r="M32" i="33"/>
  <c r="M31" i="33"/>
  <c r="L31" i="33"/>
  <c r="L29" i="33"/>
  <c r="L24" i="33"/>
  <c r="L22" i="33"/>
  <c r="L20" i="33"/>
  <c r="L18" i="33"/>
  <c r="M19" i="33"/>
  <c r="M9" i="33"/>
  <c r="O20" i="33"/>
  <c r="N14" i="33"/>
  <c r="N12" i="33"/>
  <c r="M21" i="33"/>
  <c r="P12" i="33"/>
  <c r="M18" i="33"/>
  <c r="M10" i="33"/>
  <c r="O5" i="33"/>
  <c r="P5" i="33"/>
  <c r="L27" i="33"/>
  <c r="L25" i="33"/>
  <c r="L23" i="33"/>
  <c r="L17" i="33"/>
  <c r="O25" i="33"/>
  <c r="O19" i="33"/>
  <c r="O11" i="33"/>
  <c r="N15" i="33"/>
  <c r="N13" i="33"/>
  <c r="P15" i="33"/>
  <c r="P13" i="33"/>
  <c r="M14" i="33"/>
  <c r="M7" i="33"/>
  <c r="O4" i="33"/>
  <c r="F12" i="33"/>
  <c r="C18" i="33"/>
  <c r="C14" i="33"/>
  <c r="C10" i="33"/>
  <c r="B27" i="33"/>
  <c r="B25" i="33"/>
  <c r="B23" i="33"/>
  <c r="B17" i="33"/>
  <c r="D15" i="33"/>
  <c r="E25" i="33"/>
  <c r="C21" i="33"/>
  <c r="C19" i="33"/>
  <c r="C9" i="33"/>
  <c r="C7" i="33"/>
  <c r="B24" i="33"/>
  <c r="B22" i="33"/>
  <c r="B20" i="33"/>
  <c r="B18" i="33"/>
  <c r="D14" i="33"/>
  <c r="D12" i="33"/>
  <c r="E20" i="33"/>
  <c r="E19" i="33"/>
  <c r="F5" i="33"/>
  <c r="E5" i="33"/>
  <c r="E14" i="33"/>
  <c r="F13" i="33"/>
  <c r="G12" i="33"/>
  <c r="F11" i="33"/>
  <c r="E11" i="33"/>
  <c r="E4" i="33"/>
  <c r="J6" i="33"/>
  <c r="H6" i="33"/>
  <c r="I6" i="33"/>
  <c r="I8" i="33"/>
  <c r="H8" i="33"/>
  <c r="G11" i="33"/>
  <c r="F26" i="33"/>
  <c r="F14" i="33"/>
  <c r="I22" i="33"/>
  <c r="H29" i="33"/>
  <c r="H17" i="33"/>
  <c r="K16" i="33"/>
  <c r="J26" i="33"/>
  <c r="I13" i="33"/>
  <c r="G22" i="33"/>
  <c r="F21" i="33"/>
  <c r="F15" i="33"/>
  <c r="H24" i="33"/>
  <c r="H20" i="33"/>
  <c r="H18" i="33"/>
  <c r="H12" i="33"/>
  <c r="K15" i="33"/>
  <c r="G9" i="33"/>
  <c r="B19" i="33"/>
  <c r="B7" i="33"/>
  <c r="D17" i="33"/>
  <c r="D13" i="33"/>
  <c r="D11" i="33"/>
  <c r="E15" i="33"/>
  <c r="G8" i="33"/>
  <c r="F19" i="33"/>
  <c r="C15" i="33"/>
  <c r="B14" i="33"/>
  <c r="B8" i="33"/>
  <c r="D22" i="33"/>
  <c r="D10" i="33"/>
  <c r="C4" i="33"/>
  <c r="D5" i="33"/>
  <c r="E6" i="33"/>
  <c r="T24" i="33"/>
  <c r="R24" i="33"/>
  <c r="Q6" i="33"/>
  <c r="D6" i="33"/>
  <c r="H33" i="33"/>
  <c r="H9" i="33"/>
  <c r="D31" i="33"/>
  <c r="G33" i="33"/>
  <c r="N24" i="33"/>
  <c r="J24" i="33"/>
  <c r="J16" i="33"/>
  <c r="F33" i="33"/>
  <c r="Q31" i="33"/>
  <c r="I19" i="33"/>
  <c r="J9" i="33"/>
  <c r="I9" i="33"/>
  <c r="V35" i="33"/>
  <c r="V37" i="33"/>
  <c r="V39" i="33"/>
  <c r="V41" i="33"/>
  <c r="V43" i="33"/>
  <c r="V45" i="33"/>
  <c r="V47" i="33"/>
  <c r="V49" i="33"/>
  <c r="V51" i="33"/>
  <c r="F52" i="35" s="1"/>
  <c r="V53" i="33"/>
  <c r="V55" i="33"/>
  <c r="V57" i="33"/>
  <c r="V59" i="33"/>
  <c r="V61" i="33"/>
  <c r="V63" i="33"/>
  <c r="V34" i="33"/>
  <c r="V36" i="33"/>
  <c r="V38" i="33"/>
  <c r="V40" i="33"/>
  <c r="V42" i="33"/>
  <c r="V44" i="33"/>
  <c r="V46" i="33"/>
  <c r="V48" i="33"/>
  <c r="V50" i="33"/>
  <c r="V52" i="33"/>
  <c r="V54" i="33"/>
  <c r="V56" i="33"/>
  <c r="V58" i="33"/>
  <c r="V60" i="33"/>
  <c r="V62" i="33"/>
  <c r="V27" i="33" l="1"/>
  <c r="V27" i="32" s="1"/>
  <c r="V18" i="33"/>
  <c r="H19" i="35" s="1"/>
  <c r="V23" i="33"/>
  <c r="H24" i="35" s="1"/>
  <c r="V21" i="33"/>
  <c r="G22" i="35" s="1"/>
  <c r="V16" i="33"/>
  <c r="G17" i="35" s="1"/>
  <c r="V5" i="33"/>
  <c r="E6" i="35" s="1"/>
  <c r="V29" i="33"/>
  <c r="V29" i="32" s="1"/>
  <c r="V28" i="33"/>
  <c r="V28" i="32" s="1"/>
  <c r="V30" i="33"/>
  <c r="V30" i="32" s="1"/>
  <c r="V32" i="33"/>
  <c r="V32" i="32" s="1"/>
  <c r="V10" i="33"/>
  <c r="C10" i="32" s="1"/>
  <c r="J33" i="35"/>
  <c r="H33" i="35"/>
  <c r="F33" i="35"/>
  <c r="D33" i="35"/>
  <c r="B33" i="35"/>
  <c r="K33" i="35"/>
  <c r="I33" i="35"/>
  <c r="G33" i="35"/>
  <c r="E33" i="35"/>
  <c r="C33" i="35"/>
  <c r="J29" i="35"/>
  <c r="H29" i="35"/>
  <c r="F29" i="35"/>
  <c r="D29" i="35"/>
  <c r="B29" i="35"/>
  <c r="K29" i="35"/>
  <c r="I29" i="35"/>
  <c r="G29" i="35"/>
  <c r="E29" i="35"/>
  <c r="C29" i="35"/>
  <c r="J30" i="35"/>
  <c r="H30" i="35"/>
  <c r="F30" i="35"/>
  <c r="D30" i="35"/>
  <c r="B30" i="35"/>
  <c r="K30" i="35"/>
  <c r="I30" i="35"/>
  <c r="G30" i="35"/>
  <c r="E30" i="35"/>
  <c r="C30" i="35"/>
  <c r="J31" i="35"/>
  <c r="H31" i="35"/>
  <c r="F31" i="35"/>
  <c r="D31" i="35"/>
  <c r="B31" i="35"/>
  <c r="K31" i="35"/>
  <c r="I31" i="35"/>
  <c r="G31" i="35"/>
  <c r="E31" i="35"/>
  <c r="C31" i="35"/>
  <c r="L31" i="35"/>
  <c r="M31" i="35"/>
  <c r="L33" i="35"/>
  <c r="M33" i="35"/>
  <c r="L29" i="35"/>
  <c r="M29" i="35"/>
  <c r="L30" i="35"/>
  <c r="M30" i="35"/>
  <c r="V7" i="33"/>
  <c r="T8" i="35" s="1"/>
  <c r="V25" i="33"/>
  <c r="V25" i="32" s="1"/>
  <c r="R8" i="35"/>
  <c r="N8" i="35"/>
  <c r="S8" i="35"/>
  <c r="U8" i="35"/>
  <c r="M8" i="35"/>
  <c r="T26" i="35"/>
  <c r="R26" i="35"/>
  <c r="P26" i="35"/>
  <c r="N26" i="35"/>
  <c r="U26" i="35"/>
  <c r="S26" i="35"/>
  <c r="Q26" i="35"/>
  <c r="O26" i="35"/>
  <c r="M26" i="35"/>
  <c r="T28" i="35"/>
  <c r="R28" i="35"/>
  <c r="P28" i="35"/>
  <c r="N28" i="35"/>
  <c r="L28" i="35"/>
  <c r="U28" i="35"/>
  <c r="S28" i="35"/>
  <c r="Q28" i="35"/>
  <c r="O28" i="35"/>
  <c r="M28" i="35"/>
  <c r="T24" i="35"/>
  <c r="R24" i="35"/>
  <c r="P24" i="35"/>
  <c r="N24" i="35"/>
  <c r="U24" i="35"/>
  <c r="S24" i="35"/>
  <c r="Q24" i="35"/>
  <c r="O24" i="35"/>
  <c r="M24" i="35"/>
  <c r="K6" i="35"/>
  <c r="T6" i="35"/>
  <c r="R6" i="35"/>
  <c r="P6" i="35"/>
  <c r="N6" i="35"/>
  <c r="S6" i="35"/>
  <c r="O6" i="35"/>
  <c r="U6" i="35"/>
  <c r="M6" i="35"/>
  <c r="Q6" i="35"/>
  <c r="T17" i="35"/>
  <c r="R17" i="35"/>
  <c r="P17" i="35"/>
  <c r="N17" i="35"/>
  <c r="U17" i="35"/>
  <c r="Q17" i="35"/>
  <c r="M17" i="35"/>
  <c r="S17" i="35"/>
  <c r="O17" i="35"/>
  <c r="T11" i="35"/>
  <c r="R11" i="35"/>
  <c r="P11" i="35"/>
  <c r="N11" i="35"/>
  <c r="U11" i="35"/>
  <c r="Q11" i="35"/>
  <c r="M11" i="35"/>
  <c r="O11" i="35"/>
  <c r="S11" i="35"/>
  <c r="T19" i="35"/>
  <c r="R19" i="35"/>
  <c r="P19" i="35"/>
  <c r="N19" i="35"/>
  <c r="L19" i="35"/>
  <c r="U19" i="35"/>
  <c r="S19" i="35"/>
  <c r="Q19" i="35"/>
  <c r="O19" i="35"/>
  <c r="M19" i="35"/>
  <c r="T22" i="35"/>
  <c r="R22" i="35"/>
  <c r="P22" i="35"/>
  <c r="N22" i="35"/>
  <c r="U22" i="35"/>
  <c r="S22" i="35"/>
  <c r="Q22" i="35"/>
  <c r="O22" i="35"/>
  <c r="M22" i="35"/>
  <c r="V22" i="33"/>
  <c r="H23" i="35" s="1"/>
  <c r="V20" i="33"/>
  <c r="C20" i="32" s="1"/>
  <c r="J28" i="35"/>
  <c r="H28" i="35"/>
  <c r="F28" i="35"/>
  <c r="D28" i="35"/>
  <c r="B28" i="35"/>
  <c r="K28" i="35"/>
  <c r="I28" i="35"/>
  <c r="G28" i="35"/>
  <c r="E28" i="35"/>
  <c r="C28" i="35"/>
  <c r="J19" i="35"/>
  <c r="K21" i="35"/>
  <c r="V13" i="33"/>
  <c r="G14" i="35" s="1"/>
  <c r="V14" i="33"/>
  <c r="E15" i="35" s="1"/>
  <c r="V11" i="33"/>
  <c r="C12" i="35" s="1"/>
  <c r="V12" i="33"/>
  <c r="C13" i="35" s="1"/>
  <c r="V17" i="33"/>
  <c r="G18" i="35" s="1"/>
  <c r="G15" i="35"/>
  <c r="C19" i="35"/>
  <c r="F19" i="35"/>
  <c r="V15" i="33"/>
  <c r="C15" i="32" s="1"/>
  <c r="V26" i="33"/>
  <c r="V26" i="32" s="1"/>
  <c r="V8" i="33"/>
  <c r="C8" i="32" s="1"/>
  <c r="V19" i="33"/>
  <c r="V19" i="32" s="1"/>
  <c r="V6" i="33"/>
  <c r="C6" i="32" s="1"/>
  <c r="V31" i="33"/>
  <c r="V31" i="32" s="1"/>
  <c r="V33" i="33"/>
  <c r="V33" i="32" s="1"/>
  <c r="V24" i="33"/>
  <c r="C24" i="32" s="1"/>
  <c r="U14" i="32"/>
  <c r="U10" i="32"/>
  <c r="U6" i="32"/>
  <c r="U13" i="32"/>
  <c r="U7" i="32"/>
  <c r="U12" i="32"/>
  <c r="U8" i="32"/>
  <c r="U11" i="32"/>
  <c r="U5" i="32"/>
  <c r="S50" i="32"/>
  <c r="S46" i="32"/>
  <c r="S42" i="32"/>
  <c r="S49" i="32"/>
  <c r="S45" i="32"/>
  <c r="S41" i="32"/>
  <c r="S48" i="32"/>
  <c r="S44" i="32"/>
  <c r="S40" i="32"/>
  <c r="S47" i="32"/>
  <c r="S43" i="32"/>
  <c r="S39" i="32"/>
  <c r="S62" i="32"/>
  <c r="S58" i="32"/>
  <c r="S54" i="32"/>
  <c r="S61" i="32"/>
  <c r="S57" i="32"/>
  <c r="S53" i="32"/>
  <c r="S60" i="32"/>
  <c r="S56" i="32"/>
  <c r="S52" i="32"/>
  <c r="S63" i="32"/>
  <c r="S59" i="32"/>
  <c r="S55" i="32"/>
  <c r="S51" i="32"/>
  <c r="U62" i="32"/>
  <c r="U58" i="32"/>
  <c r="U61" i="32"/>
  <c r="U57" i="32"/>
  <c r="U60" i="32"/>
  <c r="U56" i="32"/>
  <c r="U63" i="32"/>
  <c r="U59" i="32"/>
  <c r="U55" i="32"/>
  <c r="U54" i="32"/>
  <c r="U50" i="32"/>
  <c r="U53" i="32"/>
  <c r="U52" i="32"/>
  <c r="U51" i="32"/>
  <c r="U46" i="32"/>
  <c r="U42" i="32"/>
  <c r="U38" i="32"/>
  <c r="U34" i="32"/>
  <c r="U30" i="32"/>
  <c r="U26" i="32"/>
  <c r="U22" i="32"/>
  <c r="U18" i="32"/>
  <c r="U49" i="32"/>
  <c r="U45" i="32"/>
  <c r="U41" i="32"/>
  <c r="U37" i="32"/>
  <c r="U33" i="32"/>
  <c r="U29" i="32"/>
  <c r="U25" i="32"/>
  <c r="U21" i="32"/>
  <c r="U17" i="32"/>
  <c r="U48" i="32"/>
  <c r="U44" i="32"/>
  <c r="U40" i="32"/>
  <c r="U36" i="32"/>
  <c r="U32" i="32"/>
  <c r="U28" i="32"/>
  <c r="U24" i="32"/>
  <c r="U20" i="32"/>
  <c r="U16" i="32"/>
  <c r="U47" i="32"/>
  <c r="U43" i="32"/>
  <c r="U39" i="32"/>
  <c r="U35" i="32"/>
  <c r="U31" i="32"/>
  <c r="U27" i="32"/>
  <c r="U23" i="32"/>
  <c r="U19" i="32"/>
  <c r="U15" i="32"/>
  <c r="S38" i="32"/>
  <c r="S34" i="32"/>
  <c r="S30" i="32"/>
  <c r="S26" i="32"/>
  <c r="S22" i="32"/>
  <c r="S18" i="32"/>
  <c r="S14" i="32"/>
  <c r="S10" i="32"/>
  <c r="S6" i="32"/>
  <c r="S37" i="32"/>
  <c r="S33" i="32"/>
  <c r="S29" i="32"/>
  <c r="S25" i="32"/>
  <c r="S21" i="32"/>
  <c r="S17" i="32"/>
  <c r="S13" i="32"/>
  <c r="S7" i="32"/>
  <c r="V9" i="33"/>
  <c r="C9" i="32" s="1"/>
  <c r="S36" i="32"/>
  <c r="S32" i="32"/>
  <c r="S28" i="32"/>
  <c r="S24" i="32"/>
  <c r="S20" i="32"/>
  <c r="S16" i="32"/>
  <c r="S12" i="32"/>
  <c r="S8" i="32"/>
  <c r="S35" i="32"/>
  <c r="S31" i="32"/>
  <c r="S27" i="32"/>
  <c r="S23" i="32"/>
  <c r="S19" i="32"/>
  <c r="S15" i="32"/>
  <c r="S11" i="32"/>
  <c r="S5" i="32"/>
  <c r="T62" i="32"/>
  <c r="T58" i="32"/>
  <c r="T54" i="32"/>
  <c r="T50" i="32"/>
  <c r="T46" i="32"/>
  <c r="T42" i="32"/>
  <c r="T38" i="32"/>
  <c r="T34" i="32"/>
  <c r="T30" i="32"/>
  <c r="T26" i="32"/>
  <c r="T22" i="32"/>
  <c r="T18" i="32"/>
  <c r="T14" i="32"/>
  <c r="T10" i="32"/>
  <c r="T6" i="32"/>
  <c r="T61" i="32"/>
  <c r="T57" i="32"/>
  <c r="T53" i="32"/>
  <c r="T49" i="32"/>
  <c r="T45" i="32"/>
  <c r="T41" i="32"/>
  <c r="T37" i="32"/>
  <c r="T33" i="32"/>
  <c r="T29" i="32"/>
  <c r="T25" i="32"/>
  <c r="T21" i="32"/>
  <c r="T17" i="32"/>
  <c r="T13" i="32"/>
  <c r="T7" i="32"/>
  <c r="T9" i="32"/>
  <c r="T60" i="32"/>
  <c r="T56" i="32"/>
  <c r="T52" i="32"/>
  <c r="T48" i="32"/>
  <c r="T44" i="32"/>
  <c r="T40" i="32"/>
  <c r="T36" i="32"/>
  <c r="T32" i="32"/>
  <c r="T28" i="32"/>
  <c r="T24" i="32"/>
  <c r="T20" i="32"/>
  <c r="T16" i="32"/>
  <c r="T12" i="32"/>
  <c r="T8" i="32"/>
  <c r="T63" i="32"/>
  <c r="T59" i="32"/>
  <c r="T55" i="32"/>
  <c r="T51" i="32"/>
  <c r="T47" i="32"/>
  <c r="T43" i="32"/>
  <c r="T39" i="32"/>
  <c r="T35" i="32"/>
  <c r="T31" i="32"/>
  <c r="T27" i="32"/>
  <c r="T23" i="32"/>
  <c r="T19" i="32"/>
  <c r="T15" i="32"/>
  <c r="T11" i="32"/>
  <c r="T5" i="32"/>
  <c r="R9" i="32"/>
  <c r="R60" i="32"/>
  <c r="R62" i="32"/>
  <c r="R58" i="32"/>
  <c r="R54" i="32"/>
  <c r="R50" i="32"/>
  <c r="R46" i="32"/>
  <c r="R42" i="32"/>
  <c r="R38" i="32"/>
  <c r="R34" i="32"/>
  <c r="R30" i="32"/>
  <c r="R26" i="32"/>
  <c r="R22" i="32"/>
  <c r="R18" i="32"/>
  <c r="R14" i="32"/>
  <c r="R10" i="32"/>
  <c r="R6" i="32"/>
  <c r="R61" i="32"/>
  <c r="R57" i="32"/>
  <c r="R53" i="32"/>
  <c r="R49" i="32"/>
  <c r="R45" i="32"/>
  <c r="R41" i="32"/>
  <c r="R37" i="32"/>
  <c r="R33" i="32"/>
  <c r="R29" i="32"/>
  <c r="R25" i="32"/>
  <c r="R21" i="32"/>
  <c r="R17" i="32"/>
  <c r="R13" i="32"/>
  <c r="R5" i="32"/>
  <c r="R56" i="32"/>
  <c r="R52" i="32"/>
  <c r="R48" i="32"/>
  <c r="R44" i="32"/>
  <c r="R40" i="32"/>
  <c r="R36" i="32"/>
  <c r="R32" i="32"/>
  <c r="R28" i="32"/>
  <c r="R24" i="32"/>
  <c r="R20" i="32"/>
  <c r="R16" i="32"/>
  <c r="R12" i="32"/>
  <c r="R8" i="32"/>
  <c r="R63" i="32"/>
  <c r="R59" i="32"/>
  <c r="R55" i="32"/>
  <c r="R51" i="32"/>
  <c r="R47" i="32"/>
  <c r="R43" i="32"/>
  <c r="R39" i="32"/>
  <c r="R35" i="32"/>
  <c r="R31" i="32"/>
  <c r="R27" i="32"/>
  <c r="R23" i="32"/>
  <c r="R19" i="32"/>
  <c r="R15" i="32"/>
  <c r="R11" i="32"/>
  <c r="R7" i="32"/>
  <c r="N6" i="32"/>
  <c r="P6" i="32"/>
  <c r="M6" i="32"/>
  <c r="O6" i="32"/>
  <c r="Q6" i="32"/>
  <c r="N5" i="32"/>
  <c r="P5" i="32"/>
  <c r="M5" i="32"/>
  <c r="O5" i="32"/>
  <c r="Q5" i="32"/>
  <c r="C60" i="32"/>
  <c r="E60" i="32"/>
  <c r="G60" i="32"/>
  <c r="I60" i="32"/>
  <c r="K60" i="32"/>
  <c r="M60" i="32"/>
  <c r="O60" i="32"/>
  <c r="Q60" i="32"/>
  <c r="B60" i="32"/>
  <c r="D60" i="32"/>
  <c r="F60" i="32"/>
  <c r="H60" i="32"/>
  <c r="J60" i="32"/>
  <c r="L60" i="32"/>
  <c r="N60" i="32"/>
  <c r="P60" i="32"/>
  <c r="C56" i="32"/>
  <c r="E56" i="32"/>
  <c r="B56" i="32"/>
  <c r="D56" i="32"/>
  <c r="F56" i="32"/>
  <c r="G56" i="32"/>
  <c r="I56" i="32"/>
  <c r="K56" i="32"/>
  <c r="M56" i="32"/>
  <c r="O56" i="32"/>
  <c r="Q56" i="32"/>
  <c r="H56" i="32"/>
  <c r="J56" i="32"/>
  <c r="L56" i="32"/>
  <c r="N56" i="32"/>
  <c r="P56" i="32"/>
  <c r="C52" i="32"/>
  <c r="E52" i="32"/>
  <c r="G52" i="32"/>
  <c r="I52" i="32"/>
  <c r="K52" i="32"/>
  <c r="M52" i="32"/>
  <c r="O52" i="32"/>
  <c r="Q52" i="32"/>
  <c r="B52" i="32"/>
  <c r="D52" i="32"/>
  <c r="F52" i="32"/>
  <c r="H52" i="32"/>
  <c r="J52" i="32"/>
  <c r="L52" i="32"/>
  <c r="N52" i="32"/>
  <c r="P52" i="32"/>
  <c r="C48" i="32"/>
  <c r="E48" i="32"/>
  <c r="G48" i="32"/>
  <c r="I48" i="32"/>
  <c r="K48" i="32"/>
  <c r="M48" i="32"/>
  <c r="O48" i="32"/>
  <c r="Q48" i="32"/>
  <c r="B48" i="32"/>
  <c r="D48" i="32"/>
  <c r="F48" i="32"/>
  <c r="H48" i="32"/>
  <c r="J48" i="32"/>
  <c r="L48" i="32"/>
  <c r="N48" i="32"/>
  <c r="P48" i="32"/>
  <c r="C44" i="32"/>
  <c r="E44" i="32"/>
  <c r="G44" i="32"/>
  <c r="I44" i="32"/>
  <c r="K44" i="32"/>
  <c r="M44" i="32"/>
  <c r="O44" i="32"/>
  <c r="Q44" i="32"/>
  <c r="B44" i="32"/>
  <c r="D44" i="32"/>
  <c r="F44" i="32"/>
  <c r="H44" i="32"/>
  <c r="J44" i="32"/>
  <c r="L44" i="32"/>
  <c r="N44" i="32"/>
  <c r="P44" i="32"/>
  <c r="C40" i="32"/>
  <c r="E40" i="32"/>
  <c r="G40" i="32"/>
  <c r="I40" i="32"/>
  <c r="K40" i="32"/>
  <c r="M40" i="32"/>
  <c r="O40" i="32"/>
  <c r="Q40" i="32"/>
  <c r="B40" i="32"/>
  <c r="D40" i="32"/>
  <c r="F40" i="32"/>
  <c r="H40" i="32"/>
  <c r="J40" i="32"/>
  <c r="L40" i="32"/>
  <c r="N40" i="32"/>
  <c r="P40" i="32"/>
  <c r="C36" i="32"/>
  <c r="E36" i="32"/>
  <c r="G36" i="32"/>
  <c r="I36" i="32"/>
  <c r="K36" i="32"/>
  <c r="M36" i="32"/>
  <c r="O36" i="32"/>
  <c r="Q36" i="32"/>
  <c r="B36" i="32"/>
  <c r="D36" i="32"/>
  <c r="F36" i="32"/>
  <c r="H36" i="32"/>
  <c r="J36" i="32"/>
  <c r="L36" i="32"/>
  <c r="N36" i="32"/>
  <c r="P36" i="32"/>
  <c r="C32" i="32"/>
  <c r="E32" i="32"/>
  <c r="G32" i="32"/>
  <c r="I32" i="32"/>
  <c r="K32" i="32"/>
  <c r="M32" i="32"/>
  <c r="O32" i="32"/>
  <c r="Q32" i="32"/>
  <c r="B32" i="32"/>
  <c r="D32" i="32"/>
  <c r="F32" i="32"/>
  <c r="H32" i="32"/>
  <c r="J32" i="32"/>
  <c r="L32" i="32"/>
  <c r="N32" i="32"/>
  <c r="P32" i="32"/>
  <c r="C28" i="32"/>
  <c r="E28" i="32"/>
  <c r="G28" i="32"/>
  <c r="I28" i="32"/>
  <c r="K28" i="32"/>
  <c r="M28" i="32"/>
  <c r="O28" i="32"/>
  <c r="Q28" i="32"/>
  <c r="B28" i="32"/>
  <c r="D28" i="32"/>
  <c r="F28" i="32"/>
  <c r="H28" i="32"/>
  <c r="J28" i="32"/>
  <c r="L28" i="32"/>
  <c r="N28" i="32"/>
  <c r="P28" i="32"/>
  <c r="M24" i="32"/>
  <c r="O24" i="32"/>
  <c r="Q24" i="32"/>
  <c r="N24" i="32"/>
  <c r="P24" i="32"/>
  <c r="M20" i="32"/>
  <c r="O20" i="32"/>
  <c r="Q20" i="32"/>
  <c r="N20" i="32"/>
  <c r="P20" i="32"/>
  <c r="M16" i="32"/>
  <c r="O16" i="32"/>
  <c r="Q16" i="32"/>
  <c r="N16" i="32"/>
  <c r="P16" i="32"/>
  <c r="N12" i="32"/>
  <c r="P12" i="32"/>
  <c r="M12" i="32"/>
  <c r="O12" i="32"/>
  <c r="Q12" i="32"/>
  <c r="N8" i="32"/>
  <c r="P8" i="32"/>
  <c r="K8" i="32"/>
  <c r="M8" i="32"/>
  <c r="O8" i="32"/>
  <c r="Q8" i="32"/>
  <c r="C63" i="32"/>
  <c r="E63" i="32"/>
  <c r="G63" i="32"/>
  <c r="I63" i="32"/>
  <c r="K63" i="32"/>
  <c r="M63" i="32"/>
  <c r="O63" i="32"/>
  <c r="Q63" i="32"/>
  <c r="B63" i="32"/>
  <c r="D63" i="32"/>
  <c r="F63" i="32"/>
  <c r="H63" i="32"/>
  <c r="J63" i="32"/>
  <c r="L63" i="32"/>
  <c r="N63" i="32"/>
  <c r="P63" i="32"/>
  <c r="C59" i="32"/>
  <c r="E59" i="32"/>
  <c r="G59" i="32"/>
  <c r="I59" i="32"/>
  <c r="K59" i="32"/>
  <c r="M59" i="32"/>
  <c r="O59" i="32"/>
  <c r="Q59" i="32"/>
  <c r="B59" i="32"/>
  <c r="D59" i="32"/>
  <c r="F59" i="32"/>
  <c r="H59" i="32"/>
  <c r="J59" i="32"/>
  <c r="L59" i="32"/>
  <c r="N59" i="32"/>
  <c r="P59" i="32"/>
  <c r="C55" i="32"/>
  <c r="E55" i="32"/>
  <c r="G55" i="32"/>
  <c r="I55" i="32"/>
  <c r="K55" i="32"/>
  <c r="M55" i="32"/>
  <c r="O55" i="32"/>
  <c r="Q55" i="32"/>
  <c r="B55" i="32"/>
  <c r="D55" i="32"/>
  <c r="F55" i="32"/>
  <c r="H55" i="32"/>
  <c r="J55" i="32"/>
  <c r="L55" i="32"/>
  <c r="N55" i="32"/>
  <c r="P55" i="32"/>
  <c r="C51" i="32"/>
  <c r="E51" i="32"/>
  <c r="G51" i="32"/>
  <c r="I51" i="32"/>
  <c r="K51" i="32"/>
  <c r="M51" i="32"/>
  <c r="O51" i="32"/>
  <c r="Q51" i="32"/>
  <c r="B51" i="32"/>
  <c r="D51" i="32"/>
  <c r="F51" i="32"/>
  <c r="H51" i="32"/>
  <c r="J51" i="32"/>
  <c r="L51" i="32"/>
  <c r="N51" i="32"/>
  <c r="P51" i="32"/>
  <c r="C47" i="32"/>
  <c r="E47" i="32"/>
  <c r="G47" i="32"/>
  <c r="I47" i="32"/>
  <c r="K47" i="32"/>
  <c r="M47" i="32"/>
  <c r="O47" i="32"/>
  <c r="Q47" i="32"/>
  <c r="B47" i="32"/>
  <c r="D47" i="32"/>
  <c r="F47" i="32"/>
  <c r="H47" i="32"/>
  <c r="J47" i="32"/>
  <c r="L47" i="32"/>
  <c r="N47" i="32"/>
  <c r="P47" i="32"/>
  <c r="C43" i="32"/>
  <c r="E43" i="32"/>
  <c r="G43" i="32"/>
  <c r="I43" i="32"/>
  <c r="K43" i="32"/>
  <c r="M43" i="32"/>
  <c r="O43" i="32"/>
  <c r="Q43" i="32"/>
  <c r="B43" i="32"/>
  <c r="D43" i="32"/>
  <c r="F43" i="32"/>
  <c r="H43" i="32"/>
  <c r="J43" i="32"/>
  <c r="L43" i="32"/>
  <c r="N43" i="32"/>
  <c r="P43" i="32"/>
  <c r="C39" i="32"/>
  <c r="E39" i="32"/>
  <c r="G39" i="32"/>
  <c r="I39" i="32"/>
  <c r="K39" i="32"/>
  <c r="M39" i="32"/>
  <c r="O39" i="32"/>
  <c r="Q39" i="32"/>
  <c r="B39" i="32"/>
  <c r="D39" i="32"/>
  <c r="F39" i="32"/>
  <c r="H39" i="32"/>
  <c r="J39" i="32"/>
  <c r="L39" i="32"/>
  <c r="N39" i="32"/>
  <c r="P39" i="32"/>
  <c r="C35" i="32"/>
  <c r="E35" i="32"/>
  <c r="G35" i="32"/>
  <c r="I35" i="32"/>
  <c r="K35" i="32"/>
  <c r="M35" i="32"/>
  <c r="O35" i="32"/>
  <c r="Q35" i="32"/>
  <c r="B35" i="32"/>
  <c r="D35" i="32"/>
  <c r="F35" i="32"/>
  <c r="H35" i="32"/>
  <c r="J35" i="32"/>
  <c r="L35" i="32"/>
  <c r="N35" i="32"/>
  <c r="P35" i="32"/>
  <c r="C31" i="32"/>
  <c r="E31" i="32"/>
  <c r="G31" i="32"/>
  <c r="I31" i="32"/>
  <c r="K31" i="32"/>
  <c r="M31" i="32"/>
  <c r="O31" i="32"/>
  <c r="Q31" i="32"/>
  <c r="B31" i="32"/>
  <c r="D31" i="32"/>
  <c r="F31" i="32"/>
  <c r="H31" i="32"/>
  <c r="J31" i="32"/>
  <c r="L31" i="32"/>
  <c r="N31" i="32"/>
  <c r="P31" i="32"/>
  <c r="C27" i="32"/>
  <c r="E27" i="32"/>
  <c r="G27" i="32"/>
  <c r="I27" i="32"/>
  <c r="K27" i="32"/>
  <c r="M27" i="32"/>
  <c r="O27" i="32"/>
  <c r="Q27" i="32"/>
  <c r="B27" i="32"/>
  <c r="D27" i="32"/>
  <c r="F27" i="32"/>
  <c r="H27" i="32"/>
  <c r="J27" i="32"/>
  <c r="L27" i="32"/>
  <c r="N27" i="32"/>
  <c r="P27" i="32"/>
  <c r="M23" i="32"/>
  <c r="O23" i="32"/>
  <c r="Q23" i="32"/>
  <c r="N23" i="32"/>
  <c r="P23" i="32"/>
  <c r="M19" i="32"/>
  <c r="O19" i="32"/>
  <c r="Q19" i="32"/>
  <c r="N19" i="32"/>
  <c r="P19" i="32"/>
  <c r="M15" i="32"/>
  <c r="O15" i="32"/>
  <c r="Q15" i="32"/>
  <c r="N15" i="32"/>
  <c r="P15" i="32"/>
  <c r="L11" i="32"/>
  <c r="N11" i="32"/>
  <c r="P11" i="32"/>
  <c r="M11" i="32"/>
  <c r="O11" i="32"/>
  <c r="Q11" i="32"/>
  <c r="N7" i="32"/>
  <c r="P7" i="32"/>
  <c r="M7" i="32"/>
  <c r="O7" i="32"/>
  <c r="Q7" i="32"/>
  <c r="C62" i="32"/>
  <c r="E62" i="32"/>
  <c r="G62" i="32"/>
  <c r="I62" i="32"/>
  <c r="K62" i="32"/>
  <c r="M62" i="32"/>
  <c r="O62" i="32"/>
  <c r="Q62" i="32"/>
  <c r="B62" i="32"/>
  <c r="D62" i="32"/>
  <c r="F62" i="32"/>
  <c r="H62" i="32"/>
  <c r="J62" i="32"/>
  <c r="L62" i="32"/>
  <c r="N62" i="32"/>
  <c r="P62" i="32"/>
  <c r="C58" i="32"/>
  <c r="E58" i="32"/>
  <c r="G58" i="32"/>
  <c r="I58" i="32"/>
  <c r="K58" i="32"/>
  <c r="M58" i="32"/>
  <c r="O58" i="32"/>
  <c r="Q58" i="32"/>
  <c r="B58" i="32"/>
  <c r="D58" i="32"/>
  <c r="F58" i="32"/>
  <c r="H58" i="32"/>
  <c r="J58" i="32"/>
  <c r="L58" i="32"/>
  <c r="N58" i="32"/>
  <c r="P58" i="32"/>
  <c r="C54" i="32"/>
  <c r="E54" i="32"/>
  <c r="G54" i="32"/>
  <c r="I54" i="32"/>
  <c r="K54" i="32"/>
  <c r="M54" i="32"/>
  <c r="O54" i="32"/>
  <c r="Q54" i="32"/>
  <c r="B54" i="32"/>
  <c r="D54" i="32"/>
  <c r="F54" i="32"/>
  <c r="H54" i="32"/>
  <c r="J54" i="32"/>
  <c r="L54" i="32"/>
  <c r="N54" i="32"/>
  <c r="P54" i="32"/>
  <c r="C50" i="32"/>
  <c r="E50" i="32"/>
  <c r="G50" i="32"/>
  <c r="I50" i="32"/>
  <c r="K50" i="32"/>
  <c r="M50" i="32"/>
  <c r="O50" i="32"/>
  <c r="Q50" i="32"/>
  <c r="B50" i="32"/>
  <c r="D50" i="32"/>
  <c r="F50" i="32"/>
  <c r="H50" i="32"/>
  <c r="J50" i="32"/>
  <c r="L50" i="32"/>
  <c r="N50" i="32"/>
  <c r="P50" i="32"/>
  <c r="C46" i="32"/>
  <c r="E46" i="32"/>
  <c r="G46" i="32"/>
  <c r="I46" i="32"/>
  <c r="K46" i="32"/>
  <c r="M46" i="32"/>
  <c r="O46" i="32"/>
  <c r="Q46" i="32"/>
  <c r="B46" i="32"/>
  <c r="D46" i="32"/>
  <c r="F46" i="32"/>
  <c r="H46" i="32"/>
  <c r="J46" i="32"/>
  <c r="L46" i="32"/>
  <c r="N46" i="32"/>
  <c r="P46" i="32"/>
  <c r="C42" i="32"/>
  <c r="E42" i="32"/>
  <c r="G42" i="32"/>
  <c r="I42" i="32"/>
  <c r="K42" i="32"/>
  <c r="M42" i="32"/>
  <c r="O42" i="32"/>
  <c r="Q42" i="32"/>
  <c r="B42" i="32"/>
  <c r="D42" i="32"/>
  <c r="F42" i="32"/>
  <c r="H42" i="32"/>
  <c r="J42" i="32"/>
  <c r="L42" i="32"/>
  <c r="N42" i="32"/>
  <c r="P42" i="32"/>
  <c r="C38" i="32"/>
  <c r="E38" i="32"/>
  <c r="G38" i="32"/>
  <c r="I38" i="32"/>
  <c r="K38" i="32"/>
  <c r="M38" i="32"/>
  <c r="O38" i="32"/>
  <c r="Q38" i="32"/>
  <c r="B38" i="32"/>
  <c r="D38" i="32"/>
  <c r="F38" i="32"/>
  <c r="H38" i="32"/>
  <c r="J38" i="32"/>
  <c r="L38" i="32"/>
  <c r="N38" i="32"/>
  <c r="P38" i="32"/>
  <c r="C34" i="32"/>
  <c r="E34" i="32"/>
  <c r="G34" i="32"/>
  <c r="I34" i="32"/>
  <c r="K34" i="32"/>
  <c r="M34" i="32"/>
  <c r="O34" i="32"/>
  <c r="Q34" i="32"/>
  <c r="B34" i="32"/>
  <c r="D34" i="32"/>
  <c r="F34" i="32"/>
  <c r="H34" i="32"/>
  <c r="J34" i="32"/>
  <c r="L34" i="32"/>
  <c r="N34" i="32"/>
  <c r="P34" i="32"/>
  <c r="C30" i="32"/>
  <c r="E30" i="32"/>
  <c r="G30" i="32"/>
  <c r="I30" i="32"/>
  <c r="K30" i="32"/>
  <c r="M30" i="32"/>
  <c r="O30" i="32"/>
  <c r="Q30" i="32"/>
  <c r="B30" i="32"/>
  <c r="D30" i="32"/>
  <c r="F30" i="32"/>
  <c r="H30" i="32"/>
  <c r="J30" i="32"/>
  <c r="L30" i="32"/>
  <c r="N30" i="32"/>
  <c r="P30" i="32"/>
  <c r="M26" i="32"/>
  <c r="O26" i="32"/>
  <c r="Q26" i="32"/>
  <c r="N26" i="32"/>
  <c r="P26" i="32"/>
  <c r="M22" i="32"/>
  <c r="O22" i="32"/>
  <c r="Q22" i="32"/>
  <c r="N22" i="32"/>
  <c r="P22" i="32"/>
  <c r="M18" i="32"/>
  <c r="O18" i="32"/>
  <c r="Q18" i="32"/>
  <c r="F18" i="32"/>
  <c r="N18" i="32"/>
  <c r="P18" i="32"/>
  <c r="M14" i="32"/>
  <c r="O14" i="32"/>
  <c r="Q14" i="32"/>
  <c r="H14" i="32"/>
  <c r="N14" i="32"/>
  <c r="P14" i="32"/>
  <c r="N10" i="32"/>
  <c r="P10" i="32"/>
  <c r="M10" i="32"/>
  <c r="O10" i="32"/>
  <c r="Q10" i="32"/>
  <c r="C61" i="32"/>
  <c r="E61" i="32"/>
  <c r="G61" i="32"/>
  <c r="I61" i="32"/>
  <c r="K61" i="32"/>
  <c r="M61" i="32"/>
  <c r="O61" i="32"/>
  <c r="Q61" i="32"/>
  <c r="B61" i="32"/>
  <c r="D61" i="32"/>
  <c r="F61" i="32"/>
  <c r="H61" i="32"/>
  <c r="J61" i="32"/>
  <c r="L61" i="32"/>
  <c r="N61" i="32"/>
  <c r="P61" i="32"/>
  <c r="C57" i="32"/>
  <c r="E57" i="32"/>
  <c r="G57" i="32"/>
  <c r="I57" i="32"/>
  <c r="K57" i="32"/>
  <c r="M57" i="32"/>
  <c r="O57" i="32"/>
  <c r="Q57" i="32"/>
  <c r="B57" i="32"/>
  <c r="D57" i="32"/>
  <c r="F57" i="32"/>
  <c r="H57" i="32"/>
  <c r="J57" i="32"/>
  <c r="L57" i="32"/>
  <c r="N57" i="32"/>
  <c r="P57" i="32"/>
  <c r="C53" i="32"/>
  <c r="E53" i="32"/>
  <c r="G53" i="32"/>
  <c r="I53" i="32"/>
  <c r="K53" i="32"/>
  <c r="M53" i="32"/>
  <c r="O53" i="32"/>
  <c r="Q53" i="32"/>
  <c r="B53" i="32"/>
  <c r="D53" i="32"/>
  <c r="F53" i="32"/>
  <c r="H53" i="32"/>
  <c r="J53" i="32"/>
  <c r="L53" i="32"/>
  <c r="N53" i="32"/>
  <c r="P53" i="32"/>
  <c r="C49" i="32"/>
  <c r="E49" i="32"/>
  <c r="G49" i="32"/>
  <c r="I49" i="32"/>
  <c r="K49" i="32"/>
  <c r="M49" i="32"/>
  <c r="O49" i="32"/>
  <c r="Q49" i="32"/>
  <c r="B49" i="32"/>
  <c r="D49" i="32"/>
  <c r="F49" i="32"/>
  <c r="H49" i="32"/>
  <c r="J49" i="32"/>
  <c r="L49" i="32"/>
  <c r="N49" i="32"/>
  <c r="P49" i="32"/>
  <c r="C45" i="32"/>
  <c r="E45" i="32"/>
  <c r="G45" i="32"/>
  <c r="I45" i="32"/>
  <c r="K45" i="32"/>
  <c r="M45" i="32"/>
  <c r="O45" i="32"/>
  <c r="Q45" i="32"/>
  <c r="B45" i="32"/>
  <c r="D45" i="32"/>
  <c r="F45" i="32"/>
  <c r="H45" i="32"/>
  <c r="J45" i="32"/>
  <c r="L45" i="32"/>
  <c r="N45" i="32"/>
  <c r="P45" i="32"/>
  <c r="C41" i="32"/>
  <c r="E41" i="32"/>
  <c r="G41" i="32"/>
  <c r="I41" i="32"/>
  <c r="K41" i="32"/>
  <c r="M41" i="32"/>
  <c r="O41" i="32"/>
  <c r="Q41" i="32"/>
  <c r="B41" i="32"/>
  <c r="D41" i="32"/>
  <c r="F41" i="32"/>
  <c r="H41" i="32"/>
  <c r="J41" i="32"/>
  <c r="L41" i="32"/>
  <c r="N41" i="32"/>
  <c r="P41" i="32"/>
  <c r="C37" i="32"/>
  <c r="E37" i="32"/>
  <c r="G37" i="32"/>
  <c r="I37" i="32"/>
  <c r="K37" i="32"/>
  <c r="M37" i="32"/>
  <c r="O37" i="32"/>
  <c r="Q37" i="32"/>
  <c r="B37" i="32"/>
  <c r="D37" i="32"/>
  <c r="F37" i="32"/>
  <c r="H37" i="32"/>
  <c r="J37" i="32"/>
  <c r="L37" i="32"/>
  <c r="N37" i="32"/>
  <c r="P37" i="32"/>
  <c r="C33" i="32"/>
  <c r="E33" i="32"/>
  <c r="G33" i="32"/>
  <c r="I33" i="32"/>
  <c r="K33" i="32"/>
  <c r="M33" i="32"/>
  <c r="O33" i="32"/>
  <c r="Q33" i="32"/>
  <c r="B33" i="32"/>
  <c r="D33" i="32"/>
  <c r="F33" i="32"/>
  <c r="H33" i="32"/>
  <c r="J33" i="32"/>
  <c r="L33" i="32"/>
  <c r="N33" i="32"/>
  <c r="P33" i="32"/>
  <c r="C29" i="32"/>
  <c r="E29" i="32"/>
  <c r="G29" i="32"/>
  <c r="I29" i="32"/>
  <c r="K29" i="32"/>
  <c r="M29" i="32"/>
  <c r="O29" i="32"/>
  <c r="Q29" i="32"/>
  <c r="B29" i="32"/>
  <c r="D29" i="32"/>
  <c r="F29" i="32"/>
  <c r="H29" i="32"/>
  <c r="J29" i="32"/>
  <c r="L29" i="32"/>
  <c r="N29" i="32"/>
  <c r="P29" i="32"/>
  <c r="M25" i="32"/>
  <c r="O25" i="32"/>
  <c r="Q25" i="32"/>
  <c r="N25" i="32"/>
  <c r="P25" i="32"/>
  <c r="M21" i="32"/>
  <c r="O21" i="32"/>
  <c r="Q21" i="32"/>
  <c r="N21" i="32"/>
  <c r="P21" i="32"/>
  <c r="M17" i="32"/>
  <c r="O17" i="32"/>
  <c r="Q17" i="32"/>
  <c r="N17" i="32"/>
  <c r="P17" i="32"/>
  <c r="M13" i="32"/>
  <c r="O13" i="32"/>
  <c r="Q13" i="32"/>
  <c r="N13" i="32"/>
  <c r="P13" i="32"/>
  <c r="N9" i="32"/>
  <c r="P9" i="32"/>
  <c r="M9" i="32"/>
  <c r="O9" i="32"/>
  <c r="Q9" i="32"/>
  <c r="V4" i="33"/>
  <c r="B5" i="35" s="1"/>
  <c r="V60" i="32"/>
  <c r="V56" i="32"/>
  <c r="V52" i="32"/>
  <c r="V48" i="32"/>
  <c r="V44" i="32"/>
  <c r="V40" i="32"/>
  <c r="V36" i="32"/>
  <c r="V63" i="32"/>
  <c r="V59" i="32"/>
  <c r="V55" i="32"/>
  <c r="V51" i="32"/>
  <c r="V47" i="32"/>
  <c r="V43" i="32"/>
  <c r="V39" i="32"/>
  <c r="V35" i="32"/>
  <c r="V62" i="32"/>
  <c r="V58" i="32"/>
  <c r="V54" i="32"/>
  <c r="V50" i="32"/>
  <c r="V46" i="32"/>
  <c r="V42" i="32"/>
  <c r="V38" i="32"/>
  <c r="V34" i="32"/>
  <c r="V61" i="32"/>
  <c r="V57" i="32"/>
  <c r="V53" i="32"/>
  <c r="V49" i="32"/>
  <c r="V45" i="32"/>
  <c r="V41" i="32"/>
  <c r="V37" i="32"/>
  <c r="L20" i="32" l="1"/>
  <c r="K20" i="32"/>
  <c r="K11" i="32"/>
  <c r="V18" i="32"/>
  <c r="D18" i="32"/>
  <c r="I18" i="32"/>
  <c r="H8" i="32"/>
  <c r="L5" i="32"/>
  <c r="L22" i="35"/>
  <c r="J10" i="32"/>
  <c r="J26" i="32"/>
  <c r="G23" i="32"/>
  <c r="L18" i="32"/>
  <c r="B22" i="32"/>
  <c r="K22" i="32"/>
  <c r="L9" i="32"/>
  <c r="H18" i="32"/>
  <c r="E18" i="32"/>
  <c r="D19" i="35"/>
  <c r="K19" i="35"/>
  <c r="C26" i="32"/>
  <c r="G18" i="32"/>
  <c r="J6" i="35"/>
  <c r="F24" i="35"/>
  <c r="G19" i="35"/>
  <c r="I19" i="35"/>
  <c r="L17" i="32"/>
  <c r="K17" i="32"/>
  <c r="F26" i="32"/>
  <c r="K13" i="32"/>
  <c r="D25" i="32"/>
  <c r="E25" i="32"/>
  <c r="B26" i="32"/>
  <c r="K26" i="32"/>
  <c r="I16" i="32"/>
  <c r="K22" i="35"/>
  <c r="K17" i="35"/>
  <c r="K9" i="32"/>
  <c r="L25" i="32"/>
  <c r="G26" i="32"/>
  <c r="G9" i="32"/>
  <c r="J9" i="32"/>
  <c r="H26" i="32"/>
  <c r="I26" i="32"/>
  <c r="L23" i="32"/>
  <c r="I23" i="32"/>
  <c r="K12" i="32"/>
  <c r="I24" i="35"/>
  <c r="G10" i="32"/>
  <c r="H10" i="32"/>
  <c r="L26" i="32"/>
  <c r="D26" i="32"/>
  <c r="E26" i="32"/>
  <c r="I6" i="32"/>
  <c r="D11" i="35"/>
  <c r="I11" i="35"/>
  <c r="L11" i="35"/>
  <c r="L13" i="32"/>
  <c r="L7" i="32"/>
  <c r="K7" i="32"/>
  <c r="L19" i="32"/>
  <c r="K19" i="32"/>
  <c r="H23" i="32"/>
  <c r="C24" i="35"/>
  <c r="G11" i="35"/>
  <c r="J21" i="35"/>
  <c r="K11" i="35"/>
  <c r="K24" i="35"/>
  <c r="L24" i="35"/>
  <c r="L21" i="32"/>
  <c r="K21" i="32"/>
  <c r="K10" i="32"/>
  <c r="L10" i="32"/>
  <c r="J18" i="32"/>
  <c r="B18" i="32"/>
  <c r="K18" i="32"/>
  <c r="C18" i="32"/>
  <c r="L15" i="32"/>
  <c r="K15" i="32"/>
  <c r="F23" i="32"/>
  <c r="K23" i="32"/>
  <c r="L12" i="32"/>
  <c r="L24" i="32"/>
  <c r="K24" i="32"/>
  <c r="K5" i="32"/>
  <c r="B19" i="35"/>
  <c r="E19" i="35"/>
  <c r="K23" i="35"/>
  <c r="J11" i="35"/>
  <c r="L6" i="35"/>
  <c r="K6" i="32"/>
  <c r="L6" i="32"/>
  <c r="E17" i="35"/>
  <c r="G26" i="35"/>
  <c r="L17" i="35"/>
  <c r="D26" i="35"/>
  <c r="J25" i="32"/>
  <c r="K25" i="32"/>
  <c r="C25" i="32"/>
  <c r="D14" i="32"/>
  <c r="K14" i="32"/>
  <c r="I22" i="32"/>
  <c r="E16" i="32"/>
  <c r="J23" i="35"/>
  <c r="I26" i="35"/>
  <c r="F26" i="35"/>
  <c r="H17" i="35"/>
  <c r="L26" i="35"/>
  <c r="B25" i="32"/>
  <c r="H25" i="32"/>
  <c r="I25" i="32"/>
  <c r="L14" i="32"/>
  <c r="I14" i="32"/>
  <c r="L22" i="32"/>
  <c r="L16" i="32"/>
  <c r="C26" i="35"/>
  <c r="K26" i="35"/>
  <c r="H26" i="35"/>
  <c r="J17" i="35"/>
  <c r="F25" i="32"/>
  <c r="G25" i="32"/>
  <c r="J14" i="32"/>
  <c r="G14" i="32"/>
  <c r="J22" i="32"/>
  <c r="L8" i="32"/>
  <c r="J16" i="32"/>
  <c r="K16" i="32"/>
  <c r="F17" i="35"/>
  <c r="F23" i="35"/>
  <c r="E26" i="35"/>
  <c r="B26" i="35"/>
  <c r="J26" i="35"/>
  <c r="K8" i="35"/>
  <c r="J22" i="35"/>
  <c r="I12" i="32"/>
  <c r="J12" i="32"/>
  <c r="I10" i="32"/>
  <c r="H19" i="32"/>
  <c r="J23" i="32"/>
  <c r="B23" i="32"/>
  <c r="C23" i="32"/>
  <c r="D24" i="35"/>
  <c r="G24" i="35"/>
  <c r="H11" i="35"/>
  <c r="J24" i="35"/>
  <c r="V21" i="32"/>
  <c r="J24" i="32"/>
  <c r="V23" i="32"/>
  <c r="D21" i="32"/>
  <c r="F10" i="32"/>
  <c r="H15" i="32"/>
  <c r="J19" i="32"/>
  <c r="D23" i="32"/>
  <c r="E23" i="32"/>
  <c r="J8" i="35"/>
  <c r="B24" i="35"/>
  <c r="E24" i="35"/>
  <c r="D9" i="32"/>
  <c r="J13" i="32"/>
  <c r="J17" i="32"/>
  <c r="J21" i="32"/>
  <c r="J7" i="32"/>
  <c r="J11" i="32"/>
  <c r="J15" i="32"/>
  <c r="I8" i="32"/>
  <c r="J8" i="32"/>
  <c r="J20" i="32"/>
  <c r="J5" i="32"/>
  <c r="I6" i="35"/>
  <c r="I9" i="32"/>
  <c r="G21" i="32"/>
  <c r="I15" i="32"/>
  <c r="G6" i="32"/>
  <c r="J6" i="32"/>
  <c r="I8" i="35"/>
  <c r="E22" i="35"/>
  <c r="H9" i="32"/>
  <c r="H17" i="32"/>
  <c r="H22" i="32"/>
  <c r="G22" i="32"/>
  <c r="H16" i="32"/>
  <c r="I20" i="32"/>
  <c r="H6" i="32"/>
  <c r="G21" i="35"/>
  <c r="G23" i="35"/>
  <c r="I17" i="35"/>
  <c r="F9" i="32"/>
  <c r="I13" i="32"/>
  <c r="H21" i="32"/>
  <c r="F22" i="32"/>
  <c r="G7" i="32"/>
  <c r="D16" i="32"/>
  <c r="I24" i="32"/>
  <c r="B17" i="35"/>
  <c r="I23" i="35"/>
  <c r="H13" i="32"/>
  <c r="F21" i="32"/>
  <c r="E21" i="32"/>
  <c r="I11" i="32"/>
  <c r="I19" i="32"/>
  <c r="H20" i="32"/>
  <c r="I5" i="32"/>
  <c r="I17" i="32"/>
  <c r="I21" i="32"/>
  <c r="I7" i="32"/>
  <c r="E20" i="32"/>
  <c r="I21" i="35"/>
  <c r="I22" i="35"/>
  <c r="B22" i="35"/>
  <c r="H22" i="35"/>
  <c r="H12" i="32"/>
  <c r="F24" i="32"/>
  <c r="G5" i="32"/>
  <c r="F22" i="35"/>
  <c r="G24" i="32"/>
  <c r="G13" i="35"/>
  <c r="D17" i="32"/>
  <c r="H11" i="32"/>
  <c r="H24" i="32"/>
  <c r="G6" i="35"/>
  <c r="G8" i="35"/>
  <c r="C22" i="35"/>
  <c r="F14" i="35"/>
  <c r="G13" i="32"/>
  <c r="D13" i="32"/>
  <c r="G17" i="32"/>
  <c r="B21" i="32"/>
  <c r="C21" i="32"/>
  <c r="H7" i="32"/>
  <c r="H5" i="32"/>
  <c r="H6" i="35"/>
  <c r="H8" i="35"/>
  <c r="D22" i="35"/>
  <c r="D21" i="35"/>
  <c r="H21" i="35"/>
  <c r="V16" i="32"/>
  <c r="D22" i="32"/>
  <c r="C12" i="32"/>
  <c r="F16" i="32"/>
  <c r="G16" i="32"/>
  <c r="C17" i="35"/>
  <c r="F11" i="35"/>
  <c r="E23" i="35"/>
  <c r="D12" i="32"/>
  <c r="B16" i="32"/>
  <c r="C16" i="32"/>
  <c r="D17" i="35"/>
  <c r="D23" i="35"/>
  <c r="D15" i="35"/>
  <c r="V13" i="32"/>
  <c r="G11" i="32"/>
  <c r="G15" i="32"/>
  <c r="G19" i="32"/>
  <c r="F8" i="32"/>
  <c r="G20" i="32"/>
  <c r="E5" i="32"/>
  <c r="E21" i="35"/>
  <c r="F19" i="32"/>
  <c r="G8" i="32"/>
  <c r="F20" i="32"/>
  <c r="F5" i="32"/>
  <c r="F6" i="35"/>
  <c r="G12" i="35"/>
  <c r="B13" i="32"/>
  <c r="B17" i="32"/>
  <c r="F7" i="32"/>
  <c r="F11" i="32"/>
  <c r="D24" i="32"/>
  <c r="D5" i="32"/>
  <c r="D6" i="35"/>
  <c r="C6" i="35"/>
  <c r="F21" i="35"/>
  <c r="B14" i="35"/>
  <c r="E13" i="32"/>
  <c r="F13" i="32"/>
  <c r="F17" i="32"/>
  <c r="D20" i="32"/>
  <c r="E14" i="35"/>
  <c r="F18" i="35"/>
  <c r="F15" i="32"/>
  <c r="F6" i="32"/>
  <c r="F8" i="35"/>
  <c r="F12" i="35"/>
  <c r="F14" i="32"/>
  <c r="D15" i="32"/>
  <c r="D10" i="32"/>
  <c r="D7" i="32"/>
  <c r="D8" i="32"/>
  <c r="D13" i="35"/>
  <c r="D6" i="32"/>
  <c r="D8" i="35"/>
  <c r="E8" i="35"/>
  <c r="D11" i="32"/>
  <c r="D19" i="32"/>
  <c r="B8" i="32"/>
  <c r="D12" i="35"/>
  <c r="B11" i="35"/>
  <c r="E17" i="32"/>
  <c r="B6" i="35"/>
  <c r="B18" i="35"/>
  <c r="V5" i="32"/>
  <c r="B20" i="32"/>
  <c r="C5" i="32"/>
  <c r="B5" i="32"/>
  <c r="B21" i="35"/>
  <c r="E18" i="35"/>
  <c r="V11" i="32"/>
  <c r="E14" i="32"/>
  <c r="E11" i="32"/>
  <c r="B11" i="32"/>
  <c r="B15" i="32"/>
  <c r="C19" i="32"/>
  <c r="B12" i="35"/>
  <c r="E9" i="32"/>
  <c r="B9" i="32"/>
  <c r="E12" i="35"/>
  <c r="E7" i="32"/>
  <c r="B7" i="32"/>
  <c r="B8" i="35"/>
  <c r="V24" i="32"/>
  <c r="E15" i="32"/>
  <c r="B19" i="32"/>
  <c r="B24" i="32"/>
  <c r="V12" i="32"/>
  <c r="E10" i="32"/>
  <c r="B10" i="32"/>
  <c r="B14" i="32"/>
  <c r="B13" i="35"/>
  <c r="B12" i="32"/>
  <c r="E6" i="32"/>
  <c r="B6" i="32"/>
  <c r="E11" i="35"/>
  <c r="B23" i="35"/>
  <c r="E22" i="32"/>
  <c r="E19" i="32"/>
  <c r="E8" i="32"/>
  <c r="E24" i="32"/>
  <c r="E13" i="35"/>
  <c r="C11" i="35"/>
  <c r="V10" i="32"/>
  <c r="E12" i="32"/>
  <c r="C23" i="35"/>
  <c r="C17" i="32"/>
  <c r="C8" i="35"/>
  <c r="C21" i="35"/>
  <c r="V7" i="32"/>
  <c r="V20" i="32"/>
  <c r="C13" i="32"/>
  <c r="C7" i="32"/>
  <c r="C11" i="32"/>
  <c r="V22" i="32"/>
  <c r="C14" i="32"/>
  <c r="C22" i="32"/>
  <c r="C15" i="35"/>
  <c r="J32" i="35"/>
  <c r="H32" i="35"/>
  <c r="F32" i="35"/>
  <c r="D32" i="35"/>
  <c r="B32" i="35"/>
  <c r="K32" i="35"/>
  <c r="I32" i="35"/>
  <c r="G32" i="35"/>
  <c r="E32" i="35"/>
  <c r="C32" i="35"/>
  <c r="L32" i="35"/>
  <c r="M32" i="35"/>
  <c r="B15" i="35"/>
  <c r="F15" i="35"/>
  <c r="Q8" i="35"/>
  <c r="O8" i="35"/>
  <c r="L8" i="35"/>
  <c r="P8" i="35"/>
  <c r="K5" i="35"/>
  <c r="T5" i="35"/>
  <c r="R5" i="35"/>
  <c r="P5" i="35"/>
  <c r="N5" i="35"/>
  <c r="L5" i="35"/>
  <c r="U5" i="35"/>
  <c r="Q5" i="35"/>
  <c r="M5" i="35"/>
  <c r="O5" i="35"/>
  <c r="S5" i="35"/>
  <c r="T25" i="35"/>
  <c r="R25" i="35"/>
  <c r="P25" i="35"/>
  <c r="N25" i="35"/>
  <c r="L25" i="35"/>
  <c r="U25" i="35"/>
  <c r="S25" i="35"/>
  <c r="Q25" i="35"/>
  <c r="O25" i="35"/>
  <c r="M25" i="35"/>
  <c r="T20" i="35"/>
  <c r="R20" i="35"/>
  <c r="P20" i="35"/>
  <c r="N20" i="35"/>
  <c r="L20" i="35"/>
  <c r="U20" i="35"/>
  <c r="S20" i="35"/>
  <c r="Q20" i="35"/>
  <c r="O20" i="35"/>
  <c r="M20" i="35"/>
  <c r="T27" i="35"/>
  <c r="R27" i="35"/>
  <c r="P27" i="35"/>
  <c r="N27" i="35"/>
  <c r="L27" i="35"/>
  <c r="U27" i="35"/>
  <c r="S27" i="35"/>
  <c r="Q27" i="35"/>
  <c r="O27" i="35"/>
  <c r="M27" i="35"/>
  <c r="D14" i="35"/>
  <c r="C14" i="35"/>
  <c r="D18" i="35"/>
  <c r="C18" i="35"/>
  <c r="T13" i="35"/>
  <c r="R13" i="35"/>
  <c r="P13" i="35"/>
  <c r="N13" i="35"/>
  <c r="L13" i="35"/>
  <c r="U13" i="35"/>
  <c r="Q13" i="35"/>
  <c r="M13" i="35"/>
  <c r="O13" i="35"/>
  <c r="S13" i="35"/>
  <c r="T15" i="35"/>
  <c r="R15" i="35"/>
  <c r="P15" i="35"/>
  <c r="N15" i="35"/>
  <c r="L15" i="35"/>
  <c r="U15" i="35"/>
  <c r="Q15" i="35"/>
  <c r="M15" i="35"/>
  <c r="S15" i="35"/>
  <c r="O15" i="35"/>
  <c r="T21" i="35"/>
  <c r="R21" i="35"/>
  <c r="P21" i="35"/>
  <c r="N21" i="35"/>
  <c r="L21" i="35"/>
  <c r="U21" i="35"/>
  <c r="S21" i="35"/>
  <c r="Q21" i="35"/>
  <c r="O21" i="35"/>
  <c r="M21" i="35"/>
  <c r="T10" i="35"/>
  <c r="R10" i="35"/>
  <c r="P10" i="35"/>
  <c r="N10" i="35"/>
  <c r="L10" i="35"/>
  <c r="S10" i="35"/>
  <c r="O10" i="35"/>
  <c r="Q10" i="35"/>
  <c r="U10" i="35"/>
  <c r="M10" i="35"/>
  <c r="K7" i="35"/>
  <c r="T7" i="35"/>
  <c r="R7" i="35"/>
  <c r="P7" i="35"/>
  <c r="N7" i="35"/>
  <c r="L7" i="35"/>
  <c r="U7" i="35"/>
  <c r="Q7" i="35"/>
  <c r="M7" i="35"/>
  <c r="S7" i="35"/>
  <c r="O7" i="35"/>
  <c r="T9" i="35"/>
  <c r="R9" i="35"/>
  <c r="P9" i="35"/>
  <c r="N9" i="35"/>
  <c r="L9" i="35"/>
  <c r="U9" i="35"/>
  <c r="Q9" i="35"/>
  <c r="M9" i="35"/>
  <c r="S9" i="35"/>
  <c r="O9" i="35"/>
  <c r="T16" i="35"/>
  <c r="R16" i="35"/>
  <c r="P16" i="35"/>
  <c r="N16" i="35"/>
  <c r="L16" i="35"/>
  <c r="S16" i="35"/>
  <c r="O16" i="35"/>
  <c r="Q16" i="35"/>
  <c r="U16" i="35"/>
  <c r="M16" i="35"/>
  <c r="T18" i="35"/>
  <c r="R18" i="35"/>
  <c r="P18" i="35"/>
  <c r="N18" i="35"/>
  <c r="L18" i="35"/>
  <c r="S18" i="35"/>
  <c r="O18" i="35"/>
  <c r="U18" i="35"/>
  <c r="Q18" i="35"/>
  <c r="M18" i="35"/>
  <c r="T12" i="35"/>
  <c r="R12" i="35"/>
  <c r="P12" i="35"/>
  <c r="N12" i="35"/>
  <c r="L12" i="35"/>
  <c r="S12" i="35"/>
  <c r="O12" i="35"/>
  <c r="Q12" i="35"/>
  <c r="M12" i="35"/>
  <c r="U12" i="35"/>
  <c r="T14" i="35"/>
  <c r="R14" i="35"/>
  <c r="P14" i="35"/>
  <c r="N14" i="35"/>
  <c r="L14" i="35"/>
  <c r="S14" i="35"/>
  <c r="O14" i="35"/>
  <c r="U14" i="35"/>
  <c r="M14" i="35"/>
  <c r="Q14" i="35"/>
  <c r="T23" i="35"/>
  <c r="R23" i="35"/>
  <c r="P23" i="35"/>
  <c r="N23" i="35"/>
  <c r="L23" i="35"/>
  <c r="U23" i="35"/>
  <c r="S23" i="35"/>
  <c r="Q23" i="35"/>
  <c r="O23" i="35"/>
  <c r="M23" i="35"/>
  <c r="J25" i="35"/>
  <c r="H25" i="35"/>
  <c r="F25" i="35"/>
  <c r="D25" i="35"/>
  <c r="B25" i="35"/>
  <c r="K25" i="35"/>
  <c r="I25" i="35"/>
  <c r="G25" i="35"/>
  <c r="E25" i="35"/>
  <c r="C25" i="35"/>
  <c r="J20" i="35"/>
  <c r="H20" i="35"/>
  <c r="K20" i="35"/>
  <c r="I20" i="35"/>
  <c r="J27" i="35"/>
  <c r="H27" i="35"/>
  <c r="F27" i="35"/>
  <c r="D27" i="35"/>
  <c r="B27" i="35"/>
  <c r="K27" i="35"/>
  <c r="I27" i="35"/>
  <c r="G27" i="35"/>
  <c r="E27" i="35"/>
  <c r="C27" i="35"/>
  <c r="F13" i="35"/>
  <c r="J13" i="35"/>
  <c r="H13" i="35"/>
  <c r="K13" i="35"/>
  <c r="I13" i="35"/>
  <c r="V14" i="32"/>
  <c r="J15" i="35"/>
  <c r="H15" i="35"/>
  <c r="K15" i="35"/>
  <c r="I15" i="35"/>
  <c r="J10" i="35"/>
  <c r="H10" i="35"/>
  <c r="K10" i="35"/>
  <c r="I10" i="35"/>
  <c r="V8" i="32"/>
  <c r="J9" i="35"/>
  <c r="H9" i="35"/>
  <c r="K9" i="35"/>
  <c r="I9" i="35"/>
  <c r="V15" i="32"/>
  <c r="J16" i="35"/>
  <c r="H16" i="35"/>
  <c r="K16" i="35"/>
  <c r="I16" i="35"/>
  <c r="V17" i="32"/>
  <c r="J18" i="35"/>
  <c r="H18" i="35"/>
  <c r="K18" i="35"/>
  <c r="I18" i="35"/>
  <c r="J12" i="35"/>
  <c r="H12" i="35"/>
  <c r="K12" i="35"/>
  <c r="I12" i="35"/>
  <c r="J14" i="35"/>
  <c r="H14" i="35"/>
  <c r="K14" i="35"/>
  <c r="I14" i="35"/>
  <c r="G12" i="32"/>
  <c r="F12" i="32"/>
  <c r="G20" i="35"/>
  <c r="E20" i="35"/>
  <c r="C20" i="35"/>
  <c r="F20" i="35"/>
  <c r="D20" i="35"/>
  <c r="B20" i="35"/>
  <c r="V9" i="32"/>
  <c r="G10" i="35"/>
  <c r="E10" i="35"/>
  <c r="C10" i="35"/>
  <c r="F10" i="35"/>
  <c r="D10" i="35"/>
  <c r="B10" i="35"/>
  <c r="G9" i="35"/>
  <c r="E9" i="35"/>
  <c r="C9" i="35"/>
  <c r="F9" i="35"/>
  <c r="D9" i="35"/>
  <c r="B9" i="35"/>
  <c r="G16" i="35"/>
  <c r="E16" i="35"/>
  <c r="C16" i="35"/>
  <c r="F16" i="35"/>
  <c r="D16" i="35"/>
  <c r="B16" i="35"/>
  <c r="V6" i="32"/>
  <c r="I7" i="35"/>
  <c r="G7" i="35"/>
  <c r="E7" i="35"/>
  <c r="C7" i="35"/>
  <c r="J7" i="35"/>
  <c r="H7" i="35"/>
  <c r="F7" i="35"/>
  <c r="D7" i="35"/>
  <c r="B7" i="35"/>
  <c r="I5" i="35"/>
  <c r="G5" i="35"/>
  <c r="E5" i="35"/>
  <c r="C5" i="35"/>
  <c r="J5" i="35"/>
  <c r="H5" i="35"/>
  <c r="F5" i="35"/>
  <c r="D5" i="35"/>
  <c r="U4" i="32"/>
  <c r="U9" i="32"/>
  <c r="S4" i="32"/>
  <c r="S9" i="32"/>
  <c r="T4" i="32"/>
  <c r="R4" i="32"/>
  <c r="C4" i="32"/>
  <c r="E4" i="32"/>
  <c r="G4" i="32"/>
  <c r="I4" i="32"/>
  <c r="K4" i="32"/>
  <c r="M4" i="32"/>
  <c r="O4" i="32"/>
  <c r="Q4" i="32"/>
  <c r="D4" i="32"/>
  <c r="F4" i="32"/>
  <c r="H4" i="32"/>
  <c r="J4" i="32"/>
  <c r="L4" i="32"/>
  <c r="N4" i="32"/>
  <c r="P4" i="32"/>
  <c r="B4" i="32"/>
  <c r="V4" i="32"/>
</calcChain>
</file>

<file path=xl/sharedStrings.xml><?xml version="1.0" encoding="utf-8"?>
<sst xmlns="http://schemas.openxmlformats.org/spreadsheetml/2006/main" count="102" uniqueCount="93">
  <si>
    <t>Sum</t>
    <phoneticPr fontId="7" type="noConversion"/>
  </si>
  <si>
    <t>Col%</t>
    <phoneticPr fontId="7" type="noConversion"/>
  </si>
  <si>
    <t>Brd12</t>
  </si>
  <si>
    <t>Brd13</t>
  </si>
  <si>
    <t>Brd14</t>
  </si>
  <si>
    <t>Brd15</t>
  </si>
  <si>
    <t>Brd16</t>
  </si>
  <si>
    <t>Brd17</t>
  </si>
  <si>
    <t>Brd18</t>
  </si>
  <si>
    <t>Brd19</t>
  </si>
  <si>
    <t>Brd20</t>
  </si>
  <si>
    <t>Base1: Total resp.</t>
    <phoneticPr fontId="7" type="noConversion"/>
  </si>
  <si>
    <t>Attr25</t>
  </si>
  <si>
    <t>Attr26</t>
  </si>
  <si>
    <t>Attr27</t>
  </si>
  <si>
    <t>Attr28</t>
  </si>
  <si>
    <t>Attr29</t>
  </si>
  <si>
    <t>Attr30</t>
  </si>
  <si>
    <t>Attr31</t>
  </si>
  <si>
    <t>Attr32</t>
  </si>
  <si>
    <t>Attr33</t>
  </si>
  <si>
    <t>Attr34</t>
  </si>
  <si>
    <t>Attr35</t>
  </si>
  <si>
    <t>Attr36</t>
  </si>
  <si>
    <t>Attr37</t>
  </si>
  <si>
    <t>Attr38</t>
  </si>
  <si>
    <t>Attr39</t>
  </si>
  <si>
    <t>Attr40</t>
  </si>
  <si>
    <t>Attr41</t>
  </si>
  <si>
    <t>Attr42</t>
  </si>
  <si>
    <t>Attr43</t>
  </si>
  <si>
    <t>Attr44</t>
  </si>
  <si>
    <t>Attr45</t>
  </si>
  <si>
    <t>Attr46</t>
  </si>
  <si>
    <t>Attr47</t>
  </si>
  <si>
    <t>Attr48</t>
  </si>
  <si>
    <t>Attr49</t>
  </si>
  <si>
    <t>Attr50</t>
  </si>
  <si>
    <t>Attr51</t>
  </si>
  <si>
    <t>Attr52</t>
  </si>
  <si>
    <t>Attr53</t>
  </si>
  <si>
    <t>Attr54</t>
  </si>
  <si>
    <t>Attr55</t>
  </si>
  <si>
    <t>Attr56</t>
  </si>
  <si>
    <t>Attr57</t>
  </si>
  <si>
    <t>Attr58</t>
  </si>
  <si>
    <t>Attr59</t>
  </si>
  <si>
    <t>Attr60</t>
  </si>
  <si>
    <t>Standard</t>
    <phoneticPr fontId="28" type="noConversion"/>
  </si>
  <si>
    <t>Deviation</t>
    <phoneticPr fontId="28" type="noConversion"/>
  </si>
  <si>
    <t>Number of</t>
    <phoneticPr fontId="28" type="noConversion"/>
  </si>
  <si>
    <t>attributes</t>
    <phoneticPr fontId="28" type="noConversion"/>
  </si>
  <si>
    <t>3.Gap to expectation</t>
    <phoneticPr fontId="28" type="noConversion"/>
  </si>
  <si>
    <t>brands</t>
    <phoneticPr fontId="28" type="noConversion"/>
  </si>
  <si>
    <t>differentiated</t>
    <phoneticPr fontId="28" type="noConversion"/>
  </si>
  <si>
    <t>Brand name --&gt;</t>
    <phoneticPr fontId="28" type="noConversion"/>
  </si>
  <si>
    <t>Note: Clean data before any action. Fill in following step by step: 1) brand name, delete those unecessary;  2) base1 &amp; base2;  
3) attributes, delete those unecessary;  4) raw counts.       Then, you can go to "final output" sheet for results.</t>
    <phoneticPr fontId="28" type="noConversion"/>
  </si>
  <si>
    <t>Note:</t>
    <phoneticPr fontId="28" type="noConversion"/>
  </si>
  <si>
    <r>
      <t>Please copy the output to a separate sheet for further necessary editing. Below are the definition of each sign.
Sol: sole differentiation;     Dua: dual differentiation;     Shr: shared differentiation
"+1": one standard deviation above expectation;    "-1": one standard deviation below expectation
"+": above expectation;     "</t>
    </r>
    <r>
      <rPr>
        <sz val="12"/>
        <color theme="0"/>
        <rFont val="宋体"/>
        <family val="3"/>
        <charset val="134"/>
      </rPr>
      <t>－</t>
    </r>
    <r>
      <rPr>
        <sz val="12"/>
        <color theme="0"/>
        <rFont val="Arial"/>
        <family val="2"/>
      </rPr>
      <t>": below expectation         ---&gt; in most case, "+/-" can be combined as "above average"</t>
    </r>
    <phoneticPr fontId="28" type="noConversion"/>
  </si>
  <si>
    <t>Avg</t>
    <phoneticPr fontId="28" type="noConversion"/>
  </si>
  <si>
    <t>Std</t>
    <phoneticPr fontId="28" type="noConversion"/>
  </si>
  <si>
    <t>Attr24</t>
  </si>
  <si>
    <t>Please copy the output to a separate sheet for further necessary editing. Below are the definition of each index score.
100: average of all brands on the association percentage of the attribute
&gt;=120 or &lt;=80: one standard deviation above or below the average of all brands on the association percentage of the attribute
&gt;=140 or &lt;=60: two standard deviations above or below the average of all brands on the association percentage on the attribute</t>
    <phoneticPr fontId="28" type="noConversion"/>
  </si>
  <si>
    <t>Braun</t>
    <phoneticPr fontId="38" type="noConversion"/>
  </si>
  <si>
    <t>Colgate</t>
    <phoneticPr fontId="38" type="noConversion"/>
  </si>
  <si>
    <t>Lansung</t>
    <phoneticPr fontId="38" type="noConversion"/>
  </si>
  <si>
    <t>Lebond</t>
    <phoneticPr fontId="38" type="noConversion"/>
  </si>
  <si>
    <t>Oral-B</t>
    <phoneticPr fontId="38" type="noConversion"/>
  </si>
  <si>
    <t>Panasonic</t>
    <phoneticPr fontId="38" type="noConversion"/>
  </si>
  <si>
    <t>Phillips</t>
    <phoneticPr fontId="38" type="noConversion"/>
  </si>
  <si>
    <t>Prooral</t>
    <phoneticPr fontId="38" type="noConversion"/>
  </si>
  <si>
    <t>Qianbeimei</t>
    <phoneticPr fontId="38" type="noConversion"/>
  </si>
  <si>
    <t>Saky</t>
    <phoneticPr fontId="38" type="noConversion"/>
  </si>
  <si>
    <t>Wavebetter</t>
    <phoneticPr fontId="38" type="noConversion"/>
  </si>
  <si>
    <t>Base - Total Aware of brand AND Primary Category Purchasers</t>
    <phoneticPr fontId="38" type="noConversion"/>
  </si>
  <si>
    <t xml:space="preserve">Doesn't offer version I want                                                </t>
  </si>
  <si>
    <t xml:space="preserve">Doesn't offer enough variety or versions in the store/online                </t>
  </si>
  <si>
    <t xml:space="preserve">Doesn't offer newest/latest products                                        </t>
  </si>
  <si>
    <t xml:space="preserve">Brand not carried in the store/online                                       </t>
  </si>
  <si>
    <t xml:space="preserve">Often out of stock                                                          </t>
  </si>
  <si>
    <t xml:space="preserve">Hard to find the brand in the store                                         </t>
  </si>
  <si>
    <t xml:space="preserve">Hard to find the brand online                                               </t>
  </si>
  <si>
    <t xml:space="preserve">Difficult to determine which product is right for me                        </t>
  </si>
  <si>
    <t xml:space="preserve">Costs more than other brands                                                </t>
  </si>
  <si>
    <t xml:space="preserve">Costs more than I'm willing to pay                                          </t>
  </si>
  <si>
    <t xml:space="preserve">Not enough promotions, discounts or coupons                                 </t>
  </si>
  <si>
    <t xml:space="preserve">Other brands offer more promotions, discounts or coupons                    </t>
  </si>
  <si>
    <t xml:space="preserve">Other brands have more shopper or loyalty card offers                       </t>
  </si>
  <si>
    <t xml:space="preserve">Recommended another brand by others(i.e. family members/peers or iWOM)      </t>
  </si>
  <si>
    <t xml:space="preserve">In-store salesperson or advisor recommended another brand                   </t>
  </si>
  <si>
    <t xml:space="preserve">Researched online while shopping and found negative reviews of the product  </t>
  </si>
  <si>
    <t xml:space="preserve">Dentist recommended another brand                                           </t>
  </si>
  <si>
    <t xml:space="preserve">Some other reason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</si>
</sst>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%"/>
    <numFmt numFmtId="177" formatCode="0.0"/>
    <numFmt numFmtId="178" formatCode="0.000"/>
  </numFmts>
  <fonts count="43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name val="Arial"/>
      <family val="2"/>
    </font>
    <font>
      <sz val="11"/>
      <color indexed="8"/>
      <name val="宋体"/>
      <family val="3"/>
      <charset val="134"/>
    </font>
    <font>
      <sz val="10"/>
      <color indexed="8"/>
      <name val="Arial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0"/>
      <color theme="1"/>
      <name val="Arial"/>
      <family val="2"/>
    </font>
    <font>
      <sz val="9"/>
      <name val="宋体"/>
      <family val="3"/>
      <charset val="134"/>
      <scheme val="minor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4"/>
      <color rgb="FF000000"/>
      <name val="Arial"/>
      <family val="2"/>
    </font>
    <font>
      <sz val="12"/>
      <color theme="0"/>
      <name val="Arial"/>
      <family val="2"/>
    </font>
    <font>
      <sz val="12"/>
      <color theme="0"/>
      <name val="宋体"/>
      <family val="3"/>
      <charset val="134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sz val="8"/>
      <name val="Arial"/>
      <family val="2"/>
    </font>
    <font>
      <sz val="9"/>
      <name val="宋体"/>
      <family val="2"/>
      <charset val="134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</font>
    <font>
      <b/>
      <sz val="9"/>
      <color theme="1"/>
      <name val="Calibri"/>
      <family val="2"/>
    </font>
  </fonts>
  <fills count="4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4">
    <xf numFmtId="0" fontId="0" fillId="0" borderId="0">
      <alignment vertical="center"/>
    </xf>
    <xf numFmtId="0" fontId="10" fillId="2" borderId="0" applyNumberFormat="0" applyBorder="0" applyAlignment="0" applyProtection="0">
      <alignment vertical="center"/>
    </xf>
    <xf numFmtId="0" fontId="10" fillId="3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11" fillId="19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1" applyNumberFormat="0" applyFill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15" fillId="0" borderId="3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9" fillId="22" borderId="5" applyNumberFormat="0" applyAlignment="0" applyProtection="0">
      <alignment vertical="center"/>
    </xf>
    <xf numFmtId="0" fontId="20" fillId="23" borderId="6" applyNumberFormat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1" fillId="24" borderId="0" applyNumberFormat="0" applyBorder="0" applyAlignment="0" applyProtection="0">
      <alignment vertical="center"/>
    </xf>
    <xf numFmtId="0" fontId="11" fillId="25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5" fillId="22" borderId="8" applyNumberFormat="0" applyAlignment="0" applyProtection="0">
      <alignment vertical="center"/>
    </xf>
    <xf numFmtId="0" fontId="26" fillId="31" borderId="5" applyNumberFormat="0" applyAlignment="0" applyProtection="0">
      <alignment vertical="center"/>
    </xf>
    <xf numFmtId="0" fontId="4" fillId="32" borderId="9" applyNumberFormat="0" applyFont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49">
    <xf numFmtId="0" fontId="0" fillId="0" borderId="0" xfId="0">
      <alignment vertical="center"/>
    </xf>
    <xf numFmtId="0" fontId="27" fillId="0" borderId="0" xfId="0" applyFont="1" applyProtection="1">
      <alignment vertical="center"/>
      <protection hidden="1"/>
    </xf>
    <xf numFmtId="0" fontId="27" fillId="0" borderId="0" xfId="0" applyFont="1" applyAlignment="1" applyProtection="1">
      <alignment horizontal="center" vertical="center"/>
      <protection hidden="1"/>
    </xf>
    <xf numFmtId="1" fontId="27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Fill="1" applyBorder="1" applyAlignment="1" applyProtection="1">
      <alignment horizontal="center" vertical="center"/>
      <protection hidden="1"/>
    </xf>
    <xf numFmtId="0" fontId="27" fillId="0" borderId="0" xfId="0" applyFont="1" applyBorder="1" applyAlignment="1" applyProtection="1">
      <alignment horizontal="center" vertical="center"/>
      <protection hidden="1"/>
    </xf>
    <xf numFmtId="10" fontId="27" fillId="0" borderId="0" xfId="0" applyNumberFormat="1" applyFont="1" applyBorder="1" applyAlignment="1" applyProtection="1">
      <alignment horizontal="center" vertical="center"/>
      <protection hidden="1"/>
    </xf>
    <xf numFmtId="0" fontId="27" fillId="0" borderId="0" xfId="0" applyFont="1" applyBorder="1" applyProtection="1">
      <alignment vertical="center"/>
      <protection hidden="1"/>
    </xf>
    <xf numFmtId="0" fontId="27" fillId="0" borderId="0" xfId="0" applyFont="1" applyFill="1" applyProtection="1">
      <alignment vertical="center"/>
      <protection hidden="1"/>
    </xf>
    <xf numFmtId="177" fontId="27" fillId="0" borderId="0" xfId="0" applyNumberFormat="1" applyFont="1" applyAlignment="1" applyProtection="1">
      <alignment horizontal="center" vertical="center"/>
      <protection hidden="1"/>
    </xf>
    <xf numFmtId="0" fontId="0" fillId="0" borderId="0" xfId="0" applyBorder="1" applyProtection="1">
      <alignment vertical="center"/>
      <protection hidden="1"/>
    </xf>
    <xf numFmtId="0" fontId="5" fillId="0" borderId="0" xfId="0" applyFont="1" applyBorder="1" applyProtection="1">
      <alignment vertical="center"/>
      <protection hidden="1"/>
    </xf>
    <xf numFmtId="0" fontId="8" fillId="0" borderId="0" xfId="0" applyFont="1" applyBorder="1" applyAlignment="1" applyProtection="1">
      <alignment horizontal="right" vertical="center"/>
      <protection hidden="1"/>
    </xf>
    <xf numFmtId="176" fontId="27" fillId="0" borderId="0" xfId="0" applyNumberFormat="1" applyFont="1" applyBorder="1" applyAlignment="1" applyProtection="1">
      <alignment horizontal="center" vertical="center"/>
      <protection hidden="1"/>
    </xf>
    <xf numFmtId="0" fontId="29" fillId="34" borderId="10" xfId="0" applyFont="1" applyFill="1" applyBorder="1" applyAlignment="1" applyProtection="1">
      <alignment vertical="center" wrapText="1"/>
      <protection hidden="1"/>
    </xf>
    <xf numFmtId="0" fontId="29" fillId="37" borderId="10" xfId="0" applyFont="1" applyFill="1" applyBorder="1" applyAlignment="1" applyProtection="1">
      <alignment horizontal="center" vertical="center" wrapText="1"/>
      <protection hidden="1"/>
    </xf>
    <xf numFmtId="0" fontId="30" fillId="36" borderId="10" xfId="0" applyFont="1" applyFill="1" applyBorder="1" applyAlignment="1" applyProtection="1">
      <alignment horizontal="center" vertical="center" wrapText="1"/>
      <protection hidden="1"/>
    </xf>
    <xf numFmtId="49" fontId="3" fillId="38" borderId="10" xfId="0" applyNumberFormat="1" applyFont="1" applyFill="1" applyBorder="1" applyAlignment="1" applyProtection="1">
      <alignment vertical="center" wrapText="1"/>
      <protection hidden="1"/>
    </xf>
    <xf numFmtId="1" fontId="3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10" xfId="0" applyNumberFormat="1" applyFont="1" applyBorder="1" applyAlignment="1" applyProtection="1">
      <alignment horizontal="center" vertical="center" wrapText="1"/>
      <protection hidden="1"/>
    </xf>
    <xf numFmtId="0" fontId="6" fillId="33" borderId="10" xfId="0" applyFont="1" applyFill="1" applyBorder="1" applyAlignment="1" applyProtection="1">
      <alignment vertical="center"/>
      <protection hidden="1"/>
    </xf>
    <xf numFmtId="49" fontId="30" fillId="35" borderId="10" xfId="0" applyNumberFormat="1" applyFont="1" applyFill="1" applyBorder="1" applyAlignment="1" applyProtection="1">
      <alignment vertical="center" wrapText="1"/>
      <protection hidden="1"/>
    </xf>
    <xf numFmtId="0" fontId="30" fillId="36" borderId="10" xfId="0" applyFont="1" applyFill="1" applyBorder="1" applyAlignment="1" applyProtection="1">
      <alignment horizontal="center" vertical="center" wrapText="1"/>
      <protection locked="0" hidden="1"/>
    </xf>
    <xf numFmtId="0" fontId="29" fillId="37" borderId="10" xfId="0" applyFont="1" applyFill="1" applyBorder="1" applyAlignment="1" applyProtection="1">
      <alignment horizontal="center" vertical="center" wrapText="1"/>
      <protection locked="0" hidden="1"/>
    </xf>
    <xf numFmtId="0" fontId="0" fillId="34" borderId="10" xfId="0" applyFill="1" applyBorder="1" applyProtection="1">
      <alignment vertical="center"/>
      <protection hidden="1"/>
    </xf>
    <xf numFmtId="49" fontId="3" fillId="38" borderId="10" xfId="0" applyNumberFormat="1" applyFont="1" applyFill="1" applyBorder="1" applyAlignment="1" applyProtection="1">
      <alignment vertical="center" wrapText="1"/>
      <protection locked="0" hidden="1"/>
    </xf>
    <xf numFmtId="0" fontId="3" fillId="0" borderId="10" xfId="0" applyFont="1" applyFill="1" applyBorder="1" applyAlignment="1" applyProtection="1">
      <alignment horizontal="center" vertical="center" wrapText="1"/>
      <protection locked="0"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2" fontId="3" fillId="0" borderId="10" xfId="0" applyNumberFormat="1" applyFont="1" applyBorder="1" applyAlignment="1" applyProtection="1">
      <alignment horizontal="center" vertical="center" wrapText="1"/>
      <protection hidden="1"/>
    </xf>
    <xf numFmtId="0" fontId="36" fillId="0" borderId="0" xfId="0" applyFont="1" applyBorder="1" applyProtection="1">
      <alignment vertical="center"/>
      <protection hidden="1"/>
    </xf>
    <xf numFmtId="0" fontId="36" fillId="0" borderId="0" xfId="0" applyFont="1" applyBorder="1" applyAlignment="1" applyProtection="1">
      <alignment horizontal="center" vertical="center"/>
      <protection hidden="1"/>
    </xf>
    <xf numFmtId="178" fontId="36" fillId="0" borderId="0" xfId="0" applyNumberFormat="1" applyFont="1" applyBorder="1" applyAlignment="1" applyProtection="1">
      <alignment horizontal="center" vertical="center"/>
      <protection hidden="1"/>
    </xf>
    <xf numFmtId="0" fontId="29" fillId="34" borderId="10" xfId="0" applyFont="1" applyFill="1" applyBorder="1" applyAlignment="1" applyProtection="1">
      <alignment horizontal="center" vertical="center" wrapText="1"/>
      <protection hidden="1"/>
    </xf>
    <xf numFmtId="0" fontId="30" fillId="34" borderId="10" xfId="0" applyFont="1" applyFill="1" applyBorder="1" applyAlignment="1" applyProtection="1">
      <alignment horizontal="center" vertical="center" wrapText="1"/>
      <protection hidden="1"/>
    </xf>
    <xf numFmtId="1" fontId="3" fillId="34" borderId="10" xfId="0" applyNumberFormat="1" applyFont="1" applyFill="1" applyBorder="1" applyAlignment="1" applyProtection="1">
      <alignment horizontal="center" vertical="center" wrapText="1"/>
      <protection hidden="1"/>
    </xf>
    <xf numFmtId="0" fontId="36" fillId="34" borderId="0" xfId="0" applyFont="1" applyFill="1" applyBorder="1" applyProtection="1">
      <alignment vertical="center"/>
      <protection hidden="1"/>
    </xf>
    <xf numFmtId="0" fontId="27" fillId="40" borderId="10" xfId="0" applyFont="1" applyFill="1" applyBorder="1" applyAlignment="1" applyProtection="1">
      <alignment horizontal="center" vertical="top"/>
      <protection locked="0"/>
    </xf>
    <xf numFmtId="0" fontId="34" fillId="41" borderId="0" xfId="0" applyFont="1" applyFill="1" applyAlignment="1" applyProtection="1">
      <alignment horizontal="right" vertical="center"/>
      <protection hidden="1"/>
    </xf>
    <xf numFmtId="0" fontId="37" fillId="0" borderId="0" xfId="0" applyFont="1" applyBorder="1" applyAlignment="1">
      <alignment horizontal="center" vertical="center" wrapText="1"/>
    </xf>
    <xf numFmtId="0" fontId="40" fillId="0" borderId="0" xfId="0" applyFont="1" applyBorder="1" applyAlignment="1">
      <alignment horizontal="center"/>
    </xf>
    <xf numFmtId="49" fontId="39" fillId="0" borderId="0" xfId="0" applyNumberFormat="1" applyFont="1" applyFill="1" applyAlignment="1">
      <alignment vertical="center"/>
    </xf>
    <xf numFmtId="49" fontId="37" fillId="0" borderId="0" xfId="0" applyNumberFormat="1" applyFont="1" applyAlignment="1">
      <alignment vertical="center"/>
    </xf>
    <xf numFmtId="0" fontId="35" fillId="39" borderId="10" xfId="0" applyFont="1" applyFill="1" applyBorder="1" applyAlignment="1" applyProtection="1">
      <alignment horizontal="left" vertical="center" wrapText="1"/>
      <protection hidden="1"/>
    </xf>
    <xf numFmtId="0" fontId="32" fillId="41" borderId="11" xfId="0" applyFont="1" applyFill="1" applyBorder="1" applyAlignment="1" applyProtection="1">
      <alignment horizontal="left" vertical="center" wrapText="1"/>
      <protection hidden="1"/>
    </xf>
    <xf numFmtId="0" fontId="32" fillId="41" borderId="11" xfId="0" applyFont="1" applyFill="1" applyBorder="1" applyAlignment="1" applyProtection="1">
      <alignment horizontal="left" vertical="center"/>
      <protection hidden="1"/>
    </xf>
    <xf numFmtId="0" fontId="42" fillId="0" borderId="12" xfId="0" applyFont="1" applyBorder="1" applyAlignment="1">
      <alignment horizontal="center" vertical="center"/>
    </xf>
    <xf numFmtId="49" fontId="41" fillId="0" borderId="13" xfId="0" applyNumberFormat="1" applyFont="1" applyBorder="1" applyAlignment="1">
      <alignment horizontal="left" vertical="center" wrapText="1"/>
    </xf>
    <xf numFmtId="0" fontId="41" fillId="0" borderId="0" xfId="0" applyFont="1" applyBorder="1" applyAlignment="1">
      <alignment horizontal="center" vertical="center"/>
    </xf>
  </cellXfs>
  <cellStyles count="44">
    <cellStyle name="20% - 着色 1" xfId="1" builtinId="30" customBuiltin="1"/>
    <cellStyle name="20% - 着色 2" xfId="2" builtinId="34" customBuiltin="1"/>
    <cellStyle name="20% - 着色 3" xfId="3" builtinId="38" customBuiltin="1"/>
    <cellStyle name="20% - 着色 4" xfId="4" builtinId="42" customBuiltin="1"/>
    <cellStyle name="20% - 着色 5" xfId="5" builtinId="46" customBuiltin="1"/>
    <cellStyle name="20% - 着色 6" xfId="6" builtinId="50" customBuiltin="1"/>
    <cellStyle name="40% - 着色 1" xfId="7" builtinId="31" customBuiltin="1"/>
    <cellStyle name="40% - 着色 2" xfId="8" builtinId="35" customBuiltin="1"/>
    <cellStyle name="40% - 着色 3" xfId="9" builtinId="39" customBuiltin="1"/>
    <cellStyle name="40% - 着色 4" xfId="10" builtinId="43" customBuiltin="1"/>
    <cellStyle name="40% - 着色 5" xfId="11" builtinId="47" customBuiltin="1"/>
    <cellStyle name="40% - 着色 6" xfId="12" builtinId="51" customBuiltin="1"/>
    <cellStyle name="60% - 着色 1" xfId="13" builtinId="32" customBuiltin="1"/>
    <cellStyle name="60% - 着色 2" xfId="14" builtinId="36" customBuiltin="1"/>
    <cellStyle name="60% - 着色 3" xfId="15" builtinId="40" customBuiltin="1"/>
    <cellStyle name="60% - 着色 4" xfId="16" builtinId="44" customBuiltin="1"/>
    <cellStyle name="60% - 着色 5" xfId="17" builtinId="48" customBuiltin="1"/>
    <cellStyle name="60% - 着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常规 2" xfId="42"/>
    <cellStyle name="常规 3" xfId="43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适中" xfId="38" builtinId="28" customBuiltin="1"/>
    <cellStyle name="输出" xfId="39" builtinId="21" customBuiltin="1"/>
    <cellStyle name="输入" xfId="40" builtinId="20" customBuiltin="1"/>
    <cellStyle name="着色 1" xfId="32" builtinId="29" customBuiltin="1"/>
    <cellStyle name="着色 2" xfId="33" builtinId="33" customBuiltin="1"/>
    <cellStyle name="着色 3" xfId="34" builtinId="37" customBuiltin="1"/>
    <cellStyle name="着色 4" xfId="35" builtinId="41" customBuiltin="1"/>
    <cellStyle name="着色 5" xfId="36" builtinId="45" customBuiltin="1"/>
    <cellStyle name="着色 6" xfId="37" builtinId="49" customBuiltin="1"/>
    <cellStyle name="注释" xfId="41" builtinId="10" customBuiltin="1"/>
  </cellStyles>
  <dxfs count="8">
    <dxf>
      <font>
        <b/>
        <i val="0"/>
        <color theme="0"/>
      </font>
      <fill>
        <patternFill>
          <bgColor rgb="FF00990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theme="9" tint="-0.499984740745262"/>
        </patternFill>
      </fill>
    </dxf>
    <dxf>
      <font>
        <b/>
        <i val="0"/>
        <color rgb="FF0099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0000CC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>
    <mruColors>
      <color rgb="FFFF00FF"/>
      <color rgb="FF0000CC"/>
      <color rgb="FF0000FF"/>
      <color rgb="FF00CC00"/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76200</xdr:rowOff>
        </xdr:from>
        <xdr:to>
          <xdr:col>0</xdr:col>
          <xdr:colOff>1276350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67"/>
  <sheetViews>
    <sheetView view="pageBreakPreview" zoomScale="80" zoomScaleNormal="70" zoomScaleSheetLayoutView="80" workbookViewId="0">
      <pane xSplit="1" ySplit="4" topLeftCell="B5" activePane="bottomRight" state="frozen"/>
      <selection activeCell="J24" sqref="J24"/>
      <selection pane="topRight" activeCell="J24" sqref="J24"/>
      <selection pane="bottomLeft" activeCell="J24" sqref="J24"/>
      <selection pane="bottomRight" activeCell="I30" sqref="I30"/>
    </sheetView>
  </sheetViews>
  <sheetFormatPr defaultRowHeight="13.5" x14ac:dyDescent="0.15"/>
  <cols>
    <col min="1" max="1" width="20.625" style="11" customWidth="1"/>
    <col min="2" max="4" width="6.75" style="11" bestFit="1" customWidth="1"/>
    <col min="5" max="10" width="6" style="11" bestFit="1" customWidth="1"/>
    <col min="11" max="21" width="6.875" style="11" bestFit="1" customWidth="1"/>
    <col min="22" max="22" width="3.625" style="11" hidden="1" customWidth="1"/>
    <col min="23" max="23" width="6.5" style="11" hidden="1" customWidth="1"/>
    <col min="24" max="24" width="6.75" style="11" hidden="1" customWidth="1"/>
    <col min="25" max="16384" width="9" style="11"/>
  </cols>
  <sheetData>
    <row r="1" spans="1:24" ht="33" customHeight="1" x14ac:dyDescent="0.15">
      <c r="A1" s="25"/>
      <c r="B1" s="43" t="s">
        <v>56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</row>
    <row r="2" spans="1:24" ht="22.5" x14ac:dyDescent="0.15">
      <c r="A2" s="15" t="s">
        <v>55</v>
      </c>
      <c r="B2" s="39" t="s">
        <v>63</v>
      </c>
      <c r="C2" s="39" t="s">
        <v>64</v>
      </c>
      <c r="D2" s="39" t="s">
        <v>65</v>
      </c>
      <c r="E2" s="39" t="s">
        <v>66</v>
      </c>
      <c r="F2" s="39" t="s">
        <v>67</v>
      </c>
      <c r="G2" s="39" t="s">
        <v>68</v>
      </c>
      <c r="H2" s="39" t="s">
        <v>69</v>
      </c>
      <c r="I2" s="39" t="s">
        <v>70</v>
      </c>
      <c r="J2" s="39" t="s">
        <v>71</v>
      </c>
      <c r="K2" s="39" t="s">
        <v>72</v>
      </c>
      <c r="L2" s="39" t="s">
        <v>73</v>
      </c>
      <c r="M2" s="24" t="s">
        <v>2</v>
      </c>
      <c r="N2" s="24" t="s">
        <v>3</v>
      </c>
      <c r="O2" s="24" t="s">
        <v>4</v>
      </c>
      <c r="P2" s="24" t="s">
        <v>5</v>
      </c>
      <c r="Q2" s="24" t="s">
        <v>6</v>
      </c>
      <c r="R2" s="24" t="s">
        <v>7</v>
      </c>
      <c r="S2" s="24" t="s">
        <v>8</v>
      </c>
      <c r="T2" s="24" t="s">
        <v>9</v>
      </c>
      <c r="U2" s="24" t="s">
        <v>10</v>
      </c>
      <c r="V2" s="4"/>
      <c r="W2" s="4"/>
      <c r="X2" s="4"/>
    </row>
    <row r="3" spans="1:24" x14ac:dyDescent="0.15">
      <c r="A3" s="15" t="s">
        <v>11</v>
      </c>
      <c r="B3" s="23"/>
      <c r="C3" s="28" t="str">
        <f>IF(ISBLANK($B3),"",$B3)</f>
        <v/>
      </c>
      <c r="D3" s="28" t="str">
        <f t="shared" ref="D3:U3" si="0">IF(ISBLANK($B3),"",$B3)</f>
        <v/>
      </c>
      <c r="E3" s="28" t="str">
        <f t="shared" si="0"/>
        <v/>
      </c>
      <c r="F3" s="28" t="str">
        <f t="shared" si="0"/>
        <v/>
      </c>
      <c r="G3" s="28" t="str">
        <f t="shared" si="0"/>
        <v/>
      </c>
      <c r="H3" s="28" t="str">
        <f t="shared" si="0"/>
        <v/>
      </c>
      <c r="I3" s="28" t="str">
        <f t="shared" si="0"/>
        <v/>
      </c>
      <c r="J3" s="28" t="str">
        <f t="shared" si="0"/>
        <v/>
      </c>
      <c r="K3" s="28" t="str">
        <f t="shared" si="0"/>
        <v/>
      </c>
      <c r="L3" s="28" t="str">
        <f t="shared" si="0"/>
        <v/>
      </c>
      <c r="M3" s="28" t="str">
        <f t="shared" si="0"/>
        <v/>
      </c>
      <c r="N3" s="28" t="str">
        <f t="shared" si="0"/>
        <v/>
      </c>
      <c r="O3" s="28" t="str">
        <f t="shared" si="0"/>
        <v/>
      </c>
      <c r="P3" s="28" t="str">
        <f t="shared" si="0"/>
        <v/>
      </c>
      <c r="Q3" s="28" t="str">
        <f t="shared" si="0"/>
        <v/>
      </c>
      <c r="R3" s="28" t="str">
        <f t="shared" si="0"/>
        <v/>
      </c>
      <c r="S3" s="28" t="str">
        <f t="shared" si="0"/>
        <v/>
      </c>
      <c r="T3" s="28" t="str">
        <f t="shared" si="0"/>
        <v/>
      </c>
      <c r="U3" s="28" t="str">
        <f t="shared" si="0"/>
        <v/>
      </c>
      <c r="V3" s="5"/>
      <c r="W3" s="5"/>
      <c r="X3" s="5"/>
    </row>
    <row r="4" spans="1:24" ht="28.5" customHeight="1" x14ac:dyDescent="0.15">
      <c r="A4" s="41" t="s">
        <v>74</v>
      </c>
      <c r="B4" s="46">
        <v>259</v>
      </c>
      <c r="C4" s="46">
        <v>207</v>
      </c>
      <c r="D4" s="46">
        <v>30</v>
      </c>
      <c r="E4" s="46">
        <v>50</v>
      </c>
      <c r="F4" s="46">
        <v>257</v>
      </c>
      <c r="G4" s="46">
        <v>254</v>
      </c>
      <c r="H4" s="46">
        <v>404</v>
      </c>
      <c r="I4" s="46">
        <v>51</v>
      </c>
      <c r="J4" s="46">
        <v>29</v>
      </c>
      <c r="K4" s="46">
        <v>92</v>
      </c>
      <c r="L4" s="46">
        <v>26</v>
      </c>
      <c r="M4" s="23"/>
      <c r="N4" s="23"/>
      <c r="O4" s="23"/>
      <c r="P4" s="23"/>
      <c r="Q4" s="23"/>
      <c r="R4" s="23"/>
      <c r="S4" s="23"/>
      <c r="T4" s="23"/>
      <c r="U4" s="23"/>
      <c r="V4" s="5"/>
      <c r="W4" s="5"/>
      <c r="X4" s="5"/>
    </row>
    <row r="5" spans="1:24" x14ac:dyDescent="0.15">
      <c r="A5" s="47" t="s">
        <v>75</v>
      </c>
      <c r="B5" s="48">
        <v>59</v>
      </c>
      <c r="C5" s="48">
        <v>59</v>
      </c>
      <c r="D5" s="48">
        <v>7</v>
      </c>
      <c r="E5" s="48">
        <v>10</v>
      </c>
      <c r="F5" s="48">
        <v>57</v>
      </c>
      <c r="G5" s="48">
        <v>65</v>
      </c>
      <c r="H5" s="48">
        <v>94</v>
      </c>
      <c r="I5" s="48">
        <v>9</v>
      </c>
      <c r="J5" s="48">
        <v>9</v>
      </c>
      <c r="K5" s="48">
        <v>22</v>
      </c>
      <c r="L5" s="48">
        <v>5</v>
      </c>
      <c r="M5" s="37"/>
      <c r="N5" s="37"/>
      <c r="O5" s="37"/>
      <c r="P5" s="37"/>
      <c r="Q5" s="37"/>
      <c r="R5" s="37"/>
      <c r="S5" s="37"/>
      <c r="T5" s="37"/>
      <c r="U5" s="37"/>
      <c r="V5" s="6"/>
      <c r="W5" s="6">
        <f t="shared" ref="W5:W64" si="1">SUM(B5:U5)</f>
        <v>396</v>
      </c>
      <c r="X5" s="7">
        <f t="shared" ref="X5:X13" si="2">W5/$W$66</f>
        <v>7.5156576200417533E-2</v>
      </c>
    </row>
    <row r="6" spans="1:24" ht="36" x14ac:dyDescent="0.15">
      <c r="A6" s="47" t="s">
        <v>76</v>
      </c>
      <c r="B6" s="48">
        <v>52</v>
      </c>
      <c r="C6" s="48">
        <v>42</v>
      </c>
      <c r="D6" s="48">
        <v>1</v>
      </c>
      <c r="E6" s="48">
        <v>7</v>
      </c>
      <c r="F6" s="48">
        <v>52</v>
      </c>
      <c r="G6" s="48">
        <v>66</v>
      </c>
      <c r="H6" s="48">
        <v>69</v>
      </c>
      <c r="I6" s="48">
        <v>8</v>
      </c>
      <c r="J6" s="48">
        <v>5</v>
      </c>
      <c r="K6" s="48">
        <v>21</v>
      </c>
      <c r="L6" s="48">
        <v>2</v>
      </c>
      <c r="M6" s="37"/>
      <c r="N6" s="37"/>
      <c r="O6" s="37"/>
      <c r="P6" s="37"/>
      <c r="Q6" s="37"/>
      <c r="R6" s="37"/>
      <c r="S6" s="37"/>
      <c r="T6" s="37"/>
      <c r="U6" s="37"/>
      <c r="V6" s="6"/>
      <c r="W6" s="6">
        <f t="shared" si="1"/>
        <v>325</v>
      </c>
      <c r="X6" s="7">
        <f t="shared" si="2"/>
        <v>6.1681533497817423E-2</v>
      </c>
    </row>
    <row r="7" spans="1:24" ht="24" x14ac:dyDescent="0.15">
      <c r="A7" s="47" t="s">
        <v>77</v>
      </c>
      <c r="B7" s="48">
        <v>41</v>
      </c>
      <c r="C7" s="48">
        <v>39</v>
      </c>
      <c r="D7" s="48">
        <v>3</v>
      </c>
      <c r="E7" s="48">
        <v>8</v>
      </c>
      <c r="F7" s="48">
        <v>44</v>
      </c>
      <c r="G7" s="48">
        <v>46</v>
      </c>
      <c r="H7" s="48">
        <v>56</v>
      </c>
      <c r="I7" s="48">
        <v>8</v>
      </c>
      <c r="J7" s="48">
        <v>9</v>
      </c>
      <c r="K7" s="48">
        <v>19</v>
      </c>
      <c r="L7" s="48">
        <v>2</v>
      </c>
      <c r="M7" s="37"/>
      <c r="N7" s="37"/>
      <c r="O7" s="37"/>
      <c r="P7" s="37"/>
      <c r="Q7" s="37"/>
      <c r="R7" s="37"/>
      <c r="S7" s="37"/>
      <c r="T7" s="37"/>
      <c r="U7" s="37"/>
      <c r="V7" s="6"/>
      <c r="W7" s="6">
        <f t="shared" si="1"/>
        <v>275</v>
      </c>
      <c r="X7" s="7">
        <f t="shared" si="2"/>
        <v>5.2192066805845511E-2</v>
      </c>
    </row>
    <row r="8" spans="1:24" ht="24" x14ac:dyDescent="0.15">
      <c r="A8" s="47" t="s">
        <v>78</v>
      </c>
      <c r="B8" s="48">
        <v>45</v>
      </c>
      <c r="C8" s="48">
        <v>43</v>
      </c>
      <c r="D8" s="48">
        <v>8</v>
      </c>
      <c r="E8" s="48">
        <v>10</v>
      </c>
      <c r="F8" s="48">
        <v>37</v>
      </c>
      <c r="G8" s="48">
        <v>54</v>
      </c>
      <c r="H8" s="48">
        <v>53</v>
      </c>
      <c r="I8" s="48">
        <v>10</v>
      </c>
      <c r="J8" s="48">
        <v>7</v>
      </c>
      <c r="K8" s="48">
        <v>18</v>
      </c>
      <c r="L8" s="48">
        <v>8</v>
      </c>
      <c r="M8" s="37"/>
      <c r="N8" s="37"/>
      <c r="O8" s="37"/>
      <c r="P8" s="37"/>
      <c r="Q8" s="37"/>
      <c r="R8" s="37"/>
      <c r="S8" s="37"/>
      <c r="T8" s="37"/>
      <c r="U8" s="37"/>
      <c r="V8" s="6"/>
      <c r="W8" s="6">
        <f t="shared" si="1"/>
        <v>293</v>
      </c>
      <c r="X8" s="7">
        <f t="shared" si="2"/>
        <v>5.5608274814955401E-2</v>
      </c>
    </row>
    <row r="9" spans="1:24" x14ac:dyDescent="0.15">
      <c r="A9" s="47" t="s">
        <v>79</v>
      </c>
      <c r="B9" s="48">
        <v>47</v>
      </c>
      <c r="C9" s="48">
        <v>38</v>
      </c>
      <c r="D9" s="48">
        <v>4</v>
      </c>
      <c r="E9" s="48">
        <v>10</v>
      </c>
      <c r="F9" s="48">
        <v>39</v>
      </c>
      <c r="G9" s="48">
        <v>49</v>
      </c>
      <c r="H9" s="48">
        <v>74</v>
      </c>
      <c r="I9" s="48">
        <v>15</v>
      </c>
      <c r="J9" s="48">
        <v>5</v>
      </c>
      <c r="K9" s="48">
        <v>19</v>
      </c>
      <c r="L9" s="48">
        <v>7</v>
      </c>
      <c r="M9" s="37"/>
      <c r="N9" s="37"/>
      <c r="O9" s="37"/>
      <c r="P9" s="37"/>
      <c r="Q9" s="37"/>
      <c r="R9" s="37"/>
      <c r="S9" s="37"/>
      <c r="T9" s="37"/>
      <c r="U9" s="37"/>
      <c r="V9" s="6"/>
      <c r="W9" s="6">
        <f t="shared" si="1"/>
        <v>307</v>
      </c>
      <c r="X9" s="7">
        <f t="shared" si="2"/>
        <v>5.8265325488707533E-2</v>
      </c>
    </row>
    <row r="10" spans="1:24" ht="24" x14ac:dyDescent="0.15">
      <c r="A10" s="47" t="s">
        <v>80</v>
      </c>
      <c r="B10" s="48">
        <v>43</v>
      </c>
      <c r="C10" s="48">
        <v>44</v>
      </c>
      <c r="D10" s="48">
        <v>7</v>
      </c>
      <c r="E10" s="48">
        <v>11</v>
      </c>
      <c r="F10" s="48">
        <v>43</v>
      </c>
      <c r="G10" s="48">
        <v>56</v>
      </c>
      <c r="H10" s="48">
        <v>65</v>
      </c>
      <c r="I10" s="48">
        <v>8</v>
      </c>
      <c r="J10" s="48">
        <v>7</v>
      </c>
      <c r="K10" s="48">
        <v>24</v>
      </c>
      <c r="L10" s="48">
        <v>5</v>
      </c>
      <c r="M10" s="37"/>
      <c r="N10" s="37"/>
      <c r="O10" s="37"/>
      <c r="P10" s="37"/>
      <c r="Q10" s="37"/>
      <c r="R10" s="37"/>
      <c r="S10" s="37"/>
      <c r="T10" s="37"/>
      <c r="U10" s="37"/>
      <c r="V10" s="6"/>
      <c r="W10" s="6">
        <f t="shared" si="1"/>
        <v>313</v>
      </c>
      <c r="X10" s="7">
        <f t="shared" si="2"/>
        <v>5.9404061491744167E-2</v>
      </c>
    </row>
    <row r="11" spans="1:24" x14ac:dyDescent="0.15">
      <c r="A11" s="47" t="s">
        <v>81</v>
      </c>
      <c r="B11" s="48">
        <v>41</v>
      </c>
      <c r="C11" s="48">
        <v>40</v>
      </c>
      <c r="D11" s="48">
        <v>6</v>
      </c>
      <c r="E11" s="48">
        <v>6</v>
      </c>
      <c r="F11" s="48">
        <v>22</v>
      </c>
      <c r="G11" s="48">
        <v>40</v>
      </c>
      <c r="H11" s="48">
        <v>60</v>
      </c>
      <c r="I11" s="48">
        <v>9</v>
      </c>
      <c r="J11" s="48">
        <v>7</v>
      </c>
      <c r="K11" s="48">
        <v>18</v>
      </c>
      <c r="L11" s="48">
        <v>4</v>
      </c>
      <c r="M11" s="37"/>
      <c r="N11" s="37"/>
      <c r="O11" s="37"/>
      <c r="P11" s="37"/>
      <c r="Q11" s="37"/>
      <c r="R11" s="37"/>
      <c r="S11" s="37"/>
      <c r="T11" s="37"/>
      <c r="U11" s="37"/>
      <c r="V11" s="6"/>
      <c r="W11" s="6">
        <f t="shared" si="1"/>
        <v>253</v>
      </c>
      <c r="X11" s="7">
        <f t="shared" si="2"/>
        <v>4.8016701461377868E-2</v>
      </c>
    </row>
    <row r="12" spans="1:24" ht="24" x14ac:dyDescent="0.15">
      <c r="A12" s="47" t="s">
        <v>82</v>
      </c>
      <c r="B12" s="48">
        <v>46</v>
      </c>
      <c r="C12" s="48">
        <v>39</v>
      </c>
      <c r="D12" s="48">
        <v>3</v>
      </c>
      <c r="E12" s="48">
        <v>11</v>
      </c>
      <c r="F12" s="48">
        <v>53</v>
      </c>
      <c r="G12" s="48">
        <v>54</v>
      </c>
      <c r="H12" s="48">
        <v>59</v>
      </c>
      <c r="I12" s="48">
        <v>8</v>
      </c>
      <c r="J12" s="48">
        <v>8</v>
      </c>
      <c r="K12" s="48">
        <v>22</v>
      </c>
      <c r="L12" s="48">
        <v>6</v>
      </c>
      <c r="M12" s="37"/>
      <c r="N12" s="37"/>
      <c r="O12" s="37"/>
      <c r="P12" s="37"/>
      <c r="Q12" s="37"/>
      <c r="R12" s="37"/>
      <c r="S12" s="37"/>
      <c r="T12" s="37"/>
      <c r="U12" s="37"/>
      <c r="V12" s="6"/>
      <c r="W12" s="6">
        <f t="shared" si="1"/>
        <v>309</v>
      </c>
      <c r="X12" s="7">
        <f t="shared" si="2"/>
        <v>5.8644904156386408E-2</v>
      </c>
    </row>
    <row r="13" spans="1:24" ht="24" x14ac:dyDescent="0.15">
      <c r="A13" s="47" t="s">
        <v>83</v>
      </c>
      <c r="B13" s="48">
        <v>55</v>
      </c>
      <c r="C13" s="48">
        <v>31</v>
      </c>
      <c r="D13" s="48">
        <v>5</v>
      </c>
      <c r="E13" s="48">
        <v>6</v>
      </c>
      <c r="F13" s="48">
        <v>40</v>
      </c>
      <c r="G13" s="48">
        <v>56</v>
      </c>
      <c r="H13" s="48">
        <v>109</v>
      </c>
      <c r="I13" s="48">
        <v>6</v>
      </c>
      <c r="J13" s="48">
        <v>4</v>
      </c>
      <c r="K13" s="48">
        <v>12</v>
      </c>
      <c r="L13" s="48">
        <v>4</v>
      </c>
      <c r="M13" s="37"/>
      <c r="N13" s="37"/>
      <c r="O13" s="37"/>
      <c r="P13" s="37"/>
      <c r="Q13" s="37"/>
      <c r="R13" s="37"/>
      <c r="S13" s="37"/>
      <c r="T13" s="37"/>
      <c r="U13" s="37"/>
      <c r="V13" s="6"/>
      <c r="W13" s="6">
        <f t="shared" si="1"/>
        <v>328</v>
      </c>
      <c r="X13" s="7">
        <f t="shared" si="2"/>
        <v>6.2250901499335737E-2</v>
      </c>
    </row>
    <row r="14" spans="1:24" ht="24" x14ac:dyDescent="0.15">
      <c r="A14" s="47" t="s">
        <v>84</v>
      </c>
      <c r="B14" s="48">
        <v>43</v>
      </c>
      <c r="C14" s="48">
        <v>35</v>
      </c>
      <c r="D14" s="48">
        <v>7</v>
      </c>
      <c r="E14" s="48">
        <v>4</v>
      </c>
      <c r="F14" s="48">
        <v>45</v>
      </c>
      <c r="G14" s="48">
        <v>41</v>
      </c>
      <c r="H14" s="48">
        <v>70</v>
      </c>
      <c r="I14" s="48">
        <v>2</v>
      </c>
      <c r="J14" s="48">
        <v>7</v>
      </c>
      <c r="K14" s="48">
        <v>17</v>
      </c>
      <c r="L14" s="48">
        <v>7</v>
      </c>
      <c r="M14" s="37"/>
      <c r="N14" s="37"/>
      <c r="O14" s="37"/>
      <c r="P14" s="37"/>
      <c r="Q14" s="37"/>
      <c r="R14" s="37"/>
      <c r="S14" s="37"/>
      <c r="T14" s="37"/>
      <c r="U14" s="37"/>
      <c r="V14" s="6"/>
      <c r="W14" s="6">
        <f t="shared" ref="W14:W53" si="3">SUM(B14:U14)</f>
        <v>278</v>
      </c>
      <c r="X14" s="7">
        <f t="shared" ref="X14:X53" si="4">W14/$W$66</f>
        <v>5.2761434807363825E-2</v>
      </c>
    </row>
    <row r="15" spans="1:24" ht="24" x14ac:dyDescent="0.15">
      <c r="A15" s="47" t="s">
        <v>85</v>
      </c>
      <c r="B15" s="48">
        <v>72</v>
      </c>
      <c r="C15" s="48">
        <v>47</v>
      </c>
      <c r="D15" s="48">
        <v>6</v>
      </c>
      <c r="E15" s="48">
        <v>9</v>
      </c>
      <c r="F15" s="48">
        <v>66</v>
      </c>
      <c r="G15" s="48">
        <v>79</v>
      </c>
      <c r="H15" s="48">
        <v>115</v>
      </c>
      <c r="I15" s="48">
        <v>9</v>
      </c>
      <c r="J15" s="48">
        <v>9</v>
      </c>
      <c r="K15" s="48">
        <v>23</v>
      </c>
      <c r="L15" s="48">
        <v>7</v>
      </c>
      <c r="M15" s="37"/>
      <c r="N15" s="37"/>
      <c r="O15" s="37"/>
      <c r="P15" s="37"/>
      <c r="Q15" s="37"/>
      <c r="R15" s="37"/>
      <c r="S15" s="37"/>
      <c r="T15" s="37"/>
      <c r="U15" s="37"/>
      <c r="V15" s="6"/>
      <c r="W15" s="6">
        <f t="shared" si="3"/>
        <v>442</v>
      </c>
      <c r="X15" s="7">
        <f t="shared" si="4"/>
        <v>8.3886885557031693E-2</v>
      </c>
    </row>
    <row r="16" spans="1:24" ht="36" x14ac:dyDescent="0.15">
      <c r="A16" s="47" t="s">
        <v>86</v>
      </c>
      <c r="B16" s="48">
        <v>53</v>
      </c>
      <c r="C16" s="48">
        <v>54</v>
      </c>
      <c r="D16" s="48">
        <v>5</v>
      </c>
      <c r="E16" s="48">
        <v>4</v>
      </c>
      <c r="F16" s="48">
        <v>46</v>
      </c>
      <c r="G16" s="48">
        <v>49</v>
      </c>
      <c r="H16" s="48">
        <v>71</v>
      </c>
      <c r="I16" s="48">
        <v>9</v>
      </c>
      <c r="J16" s="48">
        <v>4</v>
      </c>
      <c r="K16" s="48">
        <v>20</v>
      </c>
      <c r="L16" s="48">
        <v>5</v>
      </c>
      <c r="M16" s="37"/>
      <c r="N16" s="37"/>
      <c r="O16" s="37"/>
      <c r="P16" s="37"/>
      <c r="Q16" s="37"/>
      <c r="R16" s="37"/>
      <c r="S16" s="37"/>
      <c r="T16" s="37"/>
      <c r="U16" s="37"/>
      <c r="V16" s="6"/>
      <c r="W16" s="6">
        <f t="shared" si="3"/>
        <v>320</v>
      </c>
      <c r="X16" s="7">
        <f t="shared" si="4"/>
        <v>6.0732586828620233E-2</v>
      </c>
    </row>
    <row r="17" spans="1:24" ht="24" x14ac:dyDescent="0.15">
      <c r="A17" s="47" t="s">
        <v>87</v>
      </c>
      <c r="B17" s="48">
        <v>47</v>
      </c>
      <c r="C17" s="48">
        <v>36</v>
      </c>
      <c r="D17" s="48">
        <v>7</v>
      </c>
      <c r="E17" s="48">
        <v>7</v>
      </c>
      <c r="F17" s="48">
        <v>44</v>
      </c>
      <c r="G17" s="48">
        <v>40</v>
      </c>
      <c r="H17" s="48">
        <v>72</v>
      </c>
      <c r="I17" s="48">
        <v>4</v>
      </c>
      <c r="J17" s="48">
        <v>2</v>
      </c>
      <c r="K17" s="48">
        <v>25</v>
      </c>
      <c r="L17" s="48">
        <v>4</v>
      </c>
      <c r="M17" s="37"/>
      <c r="N17" s="37"/>
      <c r="O17" s="37"/>
      <c r="P17" s="37"/>
      <c r="Q17" s="37"/>
      <c r="R17" s="37"/>
      <c r="S17" s="37"/>
      <c r="T17" s="37"/>
      <c r="U17" s="37"/>
      <c r="V17" s="6"/>
      <c r="W17" s="6">
        <f t="shared" si="3"/>
        <v>288</v>
      </c>
      <c r="X17" s="7">
        <f t="shared" si="4"/>
        <v>5.4659328145758211E-2</v>
      </c>
    </row>
    <row r="18" spans="1:24" ht="36" x14ac:dyDescent="0.15">
      <c r="A18" s="47" t="s">
        <v>88</v>
      </c>
      <c r="B18" s="48">
        <v>37</v>
      </c>
      <c r="C18" s="48">
        <v>47</v>
      </c>
      <c r="D18" s="48">
        <v>2</v>
      </c>
      <c r="E18" s="48">
        <v>10</v>
      </c>
      <c r="F18" s="48">
        <v>39</v>
      </c>
      <c r="G18" s="48">
        <v>50</v>
      </c>
      <c r="H18" s="48">
        <v>71</v>
      </c>
      <c r="I18" s="48">
        <v>9</v>
      </c>
      <c r="J18" s="48">
        <v>6</v>
      </c>
      <c r="K18" s="48">
        <v>20</v>
      </c>
      <c r="L18" s="48">
        <v>3</v>
      </c>
      <c r="M18" s="37"/>
      <c r="N18" s="37"/>
      <c r="O18" s="37"/>
      <c r="P18" s="37"/>
      <c r="Q18" s="37"/>
      <c r="R18" s="37"/>
      <c r="S18" s="37"/>
      <c r="T18" s="37"/>
      <c r="U18" s="37"/>
      <c r="V18" s="6"/>
      <c r="W18" s="6">
        <f t="shared" si="3"/>
        <v>294</v>
      </c>
      <c r="X18" s="7">
        <f t="shared" si="4"/>
        <v>5.5798064148794839E-2</v>
      </c>
    </row>
    <row r="19" spans="1:24" ht="36" x14ac:dyDescent="0.15">
      <c r="A19" s="47" t="s">
        <v>89</v>
      </c>
      <c r="B19" s="48">
        <v>45</v>
      </c>
      <c r="C19" s="48">
        <v>32</v>
      </c>
      <c r="D19" s="48">
        <v>6</v>
      </c>
      <c r="E19" s="48">
        <v>11</v>
      </c>
      <c r="F19" s="48">
        <v>39</v>
      </c>
      <c r="G19" s="48">
        <v>45</v>
      </c>
      <c r="H19" s="48">
        <v>66</v>
      </c>
      <c r="I19" s="48">
        <v>10</v>
      </c>
      <c r="J19" s="48">
        <v>6</v>
      </c>
      <c r="K19" s="48">
        <v>24</v>
      </c>
      <c r="L19" s="48">
        <v>5</v>
      </c>
      <c r="M19" s="37"/>
      <c r="N19" s="37"/>
      <c r="O19" s="37"/>
      <c r="P19" s="37"/>
      <c r="Q19" s="37"/>
      <c r="R19" s="37"/>
      <c r="S19" s="37"/>
      <c r="T19" s="37"/>
      <c r="U19" s="37"/>
      <c r="V19" s="6"/>
      <c r="W19" s="6">
        <f t="shared" si="3"/>
        <v>289</v>
      </c>
      <c r="X19" s="7">
        <f t="shared" si="4"/>
        <v>5.4849117479597649E-2</v>
      </c>
    </row>
    <row r="20" spans="1:24" ht="36" x14ac:dyDescent="0.15">
      <c r="A20" s="47" t="s">
        <v>90</v>
      </c>
      <c r="B20" s="48">
        <v>42</v>
      </c>
      <c r="C20" s="48">
        <v>43</v>
      </c>
      <c r="D20" s="48">
        <v>7</v>
      </c>
      <c r="E20" s="48">
        <v>7</v>
      </c>
      <c r="F20" s="48">
        <v>37</v>
      </c>
      <c r="G20" s="48">
        <v>39</v>
      </c>
      <c r="H20" s="48">
        <v>57</v>
      </c>
      <c r="I20" s="48">
        <v>3</v>
      </c>
      <c r="J20" s="48">
        <v>9</v>
      </c>
      <c r="K20" s="48">
        <v>18</v>
      </c>
      <c r="L20" s="48">
        <v>4</v>
      </c>
      <c r="M20" s="37"/>
      <c r="N20" s="37"/>
      <c r="O20" s="37"/>
      <c r="P20" s="37"/>
      <c r="Q20" s="37"/>
      <c r="R20" s="37"/>
      <c r="S20" s="37"/>
      <c r="T20" s="37"/>
      <c r="U20" s="37"/>
      <c r="V20" s="6"/>
      <c r="W20" s="6">
        <f t="shared" si="3"/>
        <v>266</v>
      </c>
      <c r="X20" s="7">
        <f t="shared" si="4"/>
        <v>5.0483962801290569E-2</v>
      </c>
    </row>
    <row r="21" spans="1:24" ht="24" x14ac:dyDescent="0.15">
      <c r="A21" s="47" t="s">
        <v>91</v>
      </c>
      <c r="B21" s="48">
        <v>34</v>
      </c>
      <c r="C21" s="48">
        <v>42</v>
      </c>
      <c r="D21" s="48">
        <v>8</v>
      </c>
      <c r="E21" s="48">
        <v>6</v>
      </c>
      <c r="F21" s="48">
        <v>36</v>
      </c>
      <c r="G21" s="48">
        <v>35</v>
      </c>
      <c r="H21" s="48">
        <v>68</v>
      </c>
      <c r="I21" s="48">
        <v>2</v>
      </c>
      <c r="J21" s="48">
        <v>7</v>
      </c>
      <c r="K21" s="48">
        <v>20</v>
      </c>
      <c r="L21" s="48">
        <v>7</v>
      </c>
      <c r="M21" s="37"/>
      <c r="N21" s="37"/>
      <c r="O21" s="37"/>
      <c r="P21" s="37"/>
      <c r="Q21" s="37"/>
      <c r="R21" s="37"/>
      <c r="S21" s="37"/>
      <c r="T21" s="37"/>
      <c r="U21" s="37"/>
      <c r="V21" s="6"/>
      <c r="W21" s="6">
        <f t="shared" si="3"/>
        <v>265</v>
      </c>
      <c r="X21" s="7">
        <f t="shared" si="4"/>
        <v>5.0294173467451131E-2</v>
      </c>
    </row>
    <row r="22" spans="1:24" x14ac:dyDescent="0.15">
      <c r="A22" s="47" t="s">
        <v>92</v>
      </c>
      <c r="B22" s="48">
        <v>4</v>
      </c>
      <c r="C22" s="48">
        <v>5</v>
      </c>
      <c r="D22" s="48">
        <v>1</v>
      </c>
      <c r="E22" s="48">
        <v>1</v>
      </c>
      <c r="F22" s="48">
        <v>3</v>
      </c>
      <c r="G22" s="48">
        <v>5</v>
      </c>
      <c r="H22" s="48">
        <v>3</v>
      </c>
      <c r="I22" s="48">
        <v>1</v>
      </c>
      <c r="J22" s="48">
        <v>2</v>
      </c>
      <c r="K22" s="48">
        <v>2</v>
      </c>
      <c r="L22" s="48">
        <v>1</v>
      </c>
      <c r="M22" s="37"/>
      <c r="N22" s="37"/>
      <c r="O22" s="37"/>
      <c r="P22" s="37"/>
      <c r="Q22" s="37"/>
      <c r="R22" s="37"/>
      <c r="S22" s="37"/>
      <c r="T22" s="37"/>
      <c r="U22" s="37"/>
      <c r="V22" s="6"/>
      <c r="W22" s="6">
        <f t="shared" si="3"/>
        <v>28</v>
      </c>
      <c r="X22" s="7">
        <f t="shared" si="4"/>
        <v>5.31410134750427E-3</v>
      </c>
    </row>
    <row r="23" spans="1:24" x14ac:dyDescent="0.2">
      <c r="A23" s="42"/>
      <c r="B23" s="40"/>
      <c r="C23" s="40"/>
      <c r="D23" s="40"/>
      <c r="E23" s="40"/>
      <c r="F23" s="40"/>
      <c r="G23" s="40"/>
      <c r="H23" s="40"/>
      <c r="I23" s="40"/>
      <c r="J23" s="40"/>
      <c r="K23" s="40"/>
      <c r="L23" s="40"/>
      <c r="M23" s="37"/>
      <c r="N23" s="37"/>
      <c r="O23" s="37"/>
      <c r="P23" s="37"/>
      <c r="Q23" s="37"/>
      <c r="R23" s="37"/>
      <c r="S23" s="37"/>
      <c r="T23" s="37"/>
      <c r="U23" s="37"/>
      <c r="V23" s="6"/>
      <c r="W23" s="6"/>
      <c r="X23" s="7"/>
    </row>
    <row r="24" spans="1:24" x14ac:dyDescent="0.2">
      <c r="A24" s="42"/>
      <c r="B24" s="40"/>
      <c r="C24" s="40"/>
      <c r="D24" s="40"/>
      <c r="E24" s="40"/>
      <c r="F24" s="40"/>
      <c r="G24" s="40"/>
      <c r="H24" s="40"/>
      <c r="I24" s="40"/>
      <c r="J24" s="40"/>
      <c r="K24" s="40"/>
      <c r="L24" s="40"/>
      <c r="M24" s="37"/>
      <c r="N24" s="37"/>
      <c r="O24" s="37"/>
      <c r="P24" s="37"/>
      <c r="Q24" s="37"/>
      <c r="R24" s="37"/>
      <c r="S24" s="37"/>
      <c r="T24" s="37"/>
      <c r="U24" s="37"/>
      <c r="V24" s="6"/>
      <c r="W24" s="6"/>
      <c r="X24" s="7"/>
    </row>
    <row r="25" spans="1:24" x14ac:dyDescent="0.2">
      <c r="A25" s="42"/>
      <c r="B25" s="40"/>
      <c r="C25" s="40"/>
      <c r="D25" s="40"/>
      <c r="E25" s="40"/>
      <c r="F25" s="40"/>
      <c r="G25" s="40"/>
      <c r="H25" s="40"/>
      <c r="I25" s="40"/>
      <c r="J25" s="40"/>
      <c r="K25" s="40"/>
      <c r="L25" s="40"/>
      <c r="M25" s="37"/>
      <c r="N25" s="37"/>
      <c r="O25" s="37"/>
      <c r="P25" s="37"/>
      <c r="Q25" s="37"/>
      <c r="R25" s="37"/>
      <c r="S25" s="37"/>
      <c r="T25" s="37"/>
      <c r="U25" s="37"/>
      <c r="V25" s="6"/>
      <c r="W25" s="6"/>
      <c r="X25" s="7"/>
    </row>
    <row r="26" spans="1:24" x14ac:dyDescent="0.2">
      <c r="A26" s="42"/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37"/>
      <c r="N26" s="37"/>
      <c r="O26" s="37"/>
      <c r="P26" s="37"/>
      <c r="Q26" s="37"/>
      <c r="R26" s="37"/>
      <c r="S26" s="37"/>
      <c r="T26" s="37"/>
      <c r="U26" s="37"/>
      <c r="V26" s="6"/>
      <c r="W26" s="6"/>
      <c r="X26" s="7"/>
    </row>
    <row r="27" spans="1:24" x14ac:dyDescent="0.2">
      <c r="A27" s="42"/>
      <c r="B27" s="40"/>
      <c r="C27" s="40"/>
      <c r="D27" s="40"/>
      <c r="E27" s="40"/>
      <c r="F27" s="40"/>
      <c r="G27" s="40"/>
      <c r="H27" s="40"/>
      <c r="I27" s="40"/>
      <c r="J27" s="40"/>
      <c r="K27" s="40"/>
      <c r="L27" s="40"/>
      <c r="M27" s="37"/>
      <c r="N27" s="37"/>
      <c r="O27" s="37"/>
      <c r="P27" s="37"/>
      <c r="Q27" s="37"/>
      <c r="R27" s="37"/>
      <c r="S27" s="37"/>
      <c r="T27" s="37"/>
      <c r="U27" s="37"/>
      <c r="V27" s="6"/>
      <c r="W27" s="6"/>
      <c r="X27" s="7"/>
    </row>
    <row r="28" spans="1:24" x14ac:dyDescent="0.15">
      <c r="A28" s="26" t="s">
        <v>61</v>
      </c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/>
      <c r="O28" s="37"/>
      <c r="P28" s="37"/>
      <c r="Q28" s="37"/>
      <c r="R28" s="37"/>
      <c r="S28" s="37"/>
      <c r="T28" s="37"/>
      <c r="U28" s="37"/>
      <c r="V28" s="6"/>
      <c r="W28" s="6">
        <f t="shared" si="3"/>
        <v>0</v>
      </c>
      <c r="X28" s="7">
        <f t="shared" si="4"/>
        <v>0</v>
      </c>
    </row>
    <row r="29" spans="1:24" x14ac:dyDescent="0.15">
      <c r="A29" s="26" t="s">
        <v>12</v>
      </c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27"/>
      <c r="O29" s="27"/>
      <c r="P29" s="27"/>
      <c r="Q29" s="27"/>
      <c r="R29" s="27"/>
      <c r="S29" s="27"/>
      <c r="T29" s="27"/>
      <c r="U29" s="27"/>
      <c r="V29" s="6"/>
      <c r="W29" s="6">
        <f t="shared" si="3"/>
        <v>0</v>
      </c>
      <c r="X29" s="7">
        <f t="shared" si="4"/>
        <v>0</v>
      </c>
    </row>
    <row r="30" spans="1:24" x14ac:dyDescent="0.15">
      <c r="A30" s="26" t="s">
        <v>13</v>
      </c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27"/>
      <c r="O30" s="27"/>
      <c r="P30" s="27"/>
      <c r="Q30" s="27"/>
      <c r="R30" s="27"/>
      <c r="S30" s="27"/>
      <c r="T30" s="27"/>
      <c r="U30" s="27"/>
      <c r="V30" s="6"/>
      <c r="W30" s="6">
        <f t="shared" si="3"/>
        <v>0</v>
      </c>
      <c r="X30" s="7">
        <f t="shared" si="4"/>
        <v>0</v>
      </c>
    </row>
    <row r="31" spans="1:24" x14ac:dyDescent="0.15">
      <c r="A31" s="26" t="s">
        <v>14</v>
      </c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27"/>
      <c r="O31" s="27"/>
      <c r="P31" s="27"/>
      <c r="Q31" s="27"/>
      <c r="R31" s="27"/>
      <c r="S31" s="27"/>
      <c r="T31" s="27"/>
      <c r="U31" s="27"/>
      <c r="V31" s="6"/>
      <c r="W31" s="6">
        <f t="shared" si="3"/>
        <v>0</v>
      </c>
      <c r="X31" s="7">
        <f t="shared" si="4"/>
        <v>0</v>
      </c>
    </row>
    <row r="32" spans="1:24" x14ac:dyDescent="0.15">
      <c r="A32" s="26" t="s">
        <v>15</v>
      </c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27"/>
      <c r="O32" s="27"/>
      <c r="P32" s="27"/>
      <c r="Q32" s="27"/>
      <c r="R32" s="27"/>
      <c r="S32" s="27"/>
      <c r="T32" s="27"/>
      <c r="U32" s="27"/>
      <c r="V32" s="6"/>
      <c r="W32" s="6">
        <f t="shared" si="3"/>
        <v>0</v>
      </c>
      <c r="X32" s="7">
        <f t="shared" si="4"/>
        <v>0</v>
      </c>
    </row>
    <row r="33" spans="1:24" x14ac:dyDescent="0.15">
      <c r="A33" s="26" t="s">
        <v>16</v>
      </c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27"/>
      <c r="O33" s="27"/>
      <c r="P33" s="27"/>
      <c r="Q33" s="27"/>
      <c r="R33" s="27"/>
      <c r="S33" s="27"/>
      <c r="T33" s="27"/>
      <c r="U33" s="27"/>
      <c r="V33" s="6"/>
      <c r="W33" s="6">
        <f t="shared" si="3"/>
        <v>0</v>
      </c>
      <c r="X33" s="7">
        <f t="shared" si="4"/>
        <v>0</v>
      </c>
    </row>
    <row r="34" spans="1:24" x14ac:dyDescent="0.15">
      <c r="A34" s="26" t="s">
        <v>17</v>
      </c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6"/>
      <c r="W34" s="6">
        <f t="shared" si="3"/>
        <v>0</v>
      </c>
      <c r="X34" s="7">
        <f t="shared" si="4"/>
        <v>0</v>
      </c>
    </row>
    <row r="35" spans="1:24" x14ac:dyDescent="0.15">
      <c r="A35" s="26" t="s">
        <v>18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6"/>
      <c r="W35" s="6">
        <f t="shared" si="3"/>
        <v>0</v>
      </c>
      <c r="X35" s="7">
        <f t="shared" si="4"/>
        <v>0</v>
      </c>
    </row>
    <row r="36" spans="1:24" x14ac:dyDescent="0.15">
      <c r="A36" s="26" t="s">
        <v>19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6"/>
      <c r="W36" s="6">
        <f t="shared" si="3"/>
        <v>0</v>
      </c>
      <c r="X36" s="7">
        <f t="shared" si="4"/>
        <v>0</v>
      </c>
    </row>
    <row r="37" spans="1:24" x14ac:dyDescent="0.15">
      <c r="A37" s="26" t="s">
        <v>20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6"/>
      <c r="W37" s="6">
        <f t="shared" si="3"/>
        <v>0</v>
      </c>
      <c r="X37" s="7">
        <f t="shared" si="4"/>
        <v>0</v>
      </c>
    </row>
    <row r="38" spans="1:24" x14ac:dyDescent="0.15">
      <c r="A38" s="26" t="s">
        <v>21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6"/>
      <c r="W38" s="6">
        <f t="shared" si="3"/>
        <v>0</v>
      </c>
      <c r="X38" s="7">
        <f t="shared" si="4"/>
        <v>0</v>
      </c>
    </row>
    <row r="39" spans="1:24" x14ac:dyDescent="0.15">
      <c r="A39" s="26" t="s">
        <v>22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6"/>
      <c r="W39" s="6">
        <f t="shared" si="3"/>
        <v>0</v>
      </c>
      <c r="X39" s="7">
        <f t="shared" si="4"/>
        <v>0</v>
      </c>
    </row>
    <row r="40" spans="1:24" x14ac:dyDescent="0.15">
      <c r="A40" s="26" t="s">
        <v>23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6"/>
      <c r="W40" s="6">
        <f t="shared" si="3"/>
        <v>0</v>
      </c>
      <c r="X40" s="7">
        <f t="shared" si="4"/>
        <v>0</v>
      </c>
    </row>
    <row r="41" spans="1:24" x14ac:dyDescent="0.15">
      <c r="A41" s="26" t="s">
        <v>24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6"/>
      <c r="W41" s="6">
        <f t="shared" si="3"/>
        <v>0</v>
      </c>
      <c r="X41" s="7">
        <f t="shared" si="4"/>
        <v>0</v>
      </c>
    </row>
    <row r="42" spans="1:24" x14ac:dyDescent="0.15">
      <c r="A42" s="26" t="s">
        <v>25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6"/>
      <c r="W42" s="6">
        <f t="shared" si="3"/>
        <v>0</v>
      </c>
      <c r="X42" s="7">
        <f t="shared" si="4"/>
        <v>0</v>
      </c>
    </row>
    <row r="43" spans="1:24" x14ac:dyDescent="0.15">
      <c r="A43" s="26" t="s">
        <v>26</v>
      </c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6"/>
      <c r="W43" s="6">
        <f t="shared" si="3"/>
        <v>0</v>
      </c>
      <c r="X43" s="7">
        <f t="shared" si="4"/>
        <v>0</v>
      </c>
    </row>
    <row r="44" spans="1:24" x14ac:dyDescent="0.15">
      <c r="A44" s="26" t="s">
        <v>27</v>
      </c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6"/>
      <c r="W44" s="6">
        <f t="shared" si="3"/>
        <v>0</v>
      </c>
      <c r="X44" s="7">
        <f t="shared" si="4"/>
        <v>0</v>
      </c>
    </row>
    <row r="45" spans="1:24" x14ac:dyDescent="0.15">
      <c r="A45" s="26" t="s">
        <v>28</v>
      </c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6"/>
      <c r="W45" s="6">
        <f t="shared" si="3"/>
        <v>0</v>
      </c>
      <c r="X45" s="7">
        <f t="shared" si="4"/>
        <v>0</v>
      </c>
    </row>
    <row r="46" spans="1:24" x14ac:dyDescent="0.15">
      <c r="A46" s="26" t="s">
        <v>29</v>
      </c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6"/>
      <c r="W46" s="6">
        <f t="shared" si="3"/>
        <v>0</v>
      </c>
      <c r="X46" s="7">
        <f t="shared" si="4"/>
        <v>0</v>
      </c>
    </row>
    <row r="47" spans="1:24" x14ac:dyDescent="0.15">
      <c r="A47" s="26" t="s">
        <v>30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6"/>
      <c r="W47" s="6">
        <f t="shared" si="3"/>
        <v>0</v>
      </c>
      <c r="X47" s="7">
        <f t="shared" si="4"/>
        <v>0</v>
      </c>
    </row>
    <row r="48" spans="1:24" x14ac:dyDescent="0.15">
      <c r="A48" s="26" t="s">
        <v>31</v>
      </c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6"/>
      <c r="W48" s="6">
        <f t="shared" si="3"/>
        <v>0</v>
      </c>
      <c r="X48" s="7">
        <f t="shared" si="4"/>
        <v>0</v>
      </c>
    </row>
    <row r="49" spans="1:24" x14ac:dyDescent="0.15">
      <c r="A49" s="26" t="s">
        <v>32</v>
      </c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6"/>
      <c r="W49" s="6">
        <f t="shared" si="3"/>
        <v>0</v>
      </c>
      <c r="X49" s="7">
        <f t="shared" si="4"/>
        <v>0</v>
      </c>
    </row>
    <row r="50" spans="1:24" x14ac:dyDescent="0.15">
      <c r="A50" s="26" t="s">
        <v>33</v>
      </c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6"/>
      <c r="W50" s="6">
        <f t="shared" si="3"/>
        <v>0</v>
      </c>
      <c r="X50" s="7">
        <f t="shared" si="4"/>
        <v>0</v>
      </c>
    </row>
    <row r="51" spans="1:24" x14ac:dyDescent="0.15">
      <c r="A51" s="26" t="s">
        <v>34</v>
      </c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6"/>
      <c r="W51" s="6">
        <f t="shared" si="3"/>
        <v>0</v>
      </c>
      <c r="X51" s="7">
        <f t="shared" si="4"/>
        <v>0</v>
      </c>
    </row>
    <row r="52" spans="1:24" x14ac:dyDescent="0.15">
      <c r="A52" s="26" t="s">
        <v>35</v>
      </c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6"/>
      <c r="W52" s="6">
        <f t="shared" si="3"/>
        <v>0</v>
      </c>
      <c r="X52" s="7">
        <f t="shared" si="4"/>
        <v>0</v>
      </c>
    </row>
    <row r="53" spans="1:24" x14ac:dyDescent="0.15">
      <c r="A53" s="26" t="s">
        <v>36</v>
      </c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6"/>
      <c r="W53" s="6">
        <f t="shared" si="3"/>
        <v>0</v>
      </c>
      <c r="X53" s="7">
        <f t="shared" si="4"/>
        <v>0</v>
      </c>
    </row>
    <row r="54" spans="1:24" x14ac:dyDescent="0.15">
      <c r="A54" s="26" t="s">
        <v>37</v>
      </c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6"/>
      <c r="W54" s="6">
        <f t="shared" si="1"/>
        <v>0</v>
      </c>
      <c r="X54" s="7">
        <f t="shared" ref="X54:X64" si="5">W54/$W$66</f>
        <v>0</v>
      </c>
    </row>
    <row r="55" spans="1:24" x14ac:dyDescent="0.15">
      <c r="A55" s="26" t="s">
        <v>38</v>
      </c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6"/>
      <c r="W55" s="6">
        <f t="shared" si="1"/>
        <v>0</v>
      </c>
      <c r="X55" s="7">
        <f t="shared" si="5"/>
        <v>0</v>
      </c>
    </row>
    <row r="56" spans="1:24" x14ac:dyDescent="0.15">
      <c r="A56" s="26" t="s">
        <v>39</v>
      </c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6"/>
      <c r="W56" s="6">
        <f t="shared" si="1"/>
        <v>0</v>
      </c>
      <c r="X56" s="7">
        <f t="shared" si="5"/>
        <v>0</v>
      </c>
    </row>
    <row r="57" spans="1:24" x14ac:dyDescent="0.15">
      <c r="A57" s="26" t="s">
        <v>40</v>
      </c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6"/>
      <c r="W57" s="6">
        <f t="shared" si="1"/>
        <v>0</v>
      </c>
      <c r="X57" s="7">
        <f t="shared" si="5"/>
        <v>0</v>
      </c>
    </row>
    <row r="58" spans="1:24" x14ac:dyDescent="0.15">
      <c r="A58" s="26" t="s">
        <v>41</v>
      </c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6"/>
      <c r="W58" s="6">
        <f t="shared" si="1"/>
        <v>0</v>
      </c>
      <c r="X58" s="7">
        <f t="shared" si="5"/>
        <v>0</v>
      </c>
    </row>
    <row r="59" spans="1:24" x14ac:dyDescent="0.15">
      <c r="A59" s="26" t="s">
        <v>42</v>
      </c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6"/>
      <c r="W59" s="6">
        <f t="shared" si="1"/>
        <v>0</v>
      </c>
      <c r="X59" s="7">
        <f t="shared" si="5"/>
        <v>0</v>
      </c>
    </row>
    <row r="60" spans="1:24" x14ac:dyDescent="0.15">
      <c r="A60" s="26" t="s">
        <v>43</v>
      </c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6"/>
      <c r="W60" s="6">
        <f t="shared" si="1"/>
        <v>0</v>
      </c>
      <c r="X60" s="7">
        <f t="shared" si="5"/>
        <v>0</v>
      </c>
    </row>
    <row r="61" spans="1:24" x14ac:dyDescent="0.15">
      <c r="A61" s="26" t="s">
        <v>44</v>
      </c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6"/>
      <c r="W61" s="6">
        <f t="shared" si="1"/>
        <v>0</v>
      </c>
      <c r="X61" s="7">
        <f t="shared" si="5"/>
        <v>0</v>
      </c>
    </row>
    <row r="62" spans="1:24" x14ac:dyDescent="0.15">
      <c r="A62" s="26" t="s">
        <v>45</v>
      </c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6"/>
      <c r="W62" s="6">
        <f t="shared" si="1"/>
        <v>0</v>
      </c>
      <c r="X62" s="7">
        <f t="shared" si="5"/>
        <v>0</v>
      </c>
    </row>
    <row r="63" spans="1:24" x14ac:dyDescent="0.15">
      <c r="A63" s="26" t="s">
        <v>46</v>
      </c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8"/>
      <c r="W63" s="6">
        <f t="shared" si="1"/>
        <v>0</v>
      </c>
      <c r="X63" s="7">
        <f t="shared" si="5"/>
        <v>0</v>
      </c>
    </row>
    <row r="64" spans="1:24" x14ac:dyDescent="0.15">
      <c r="A64" s="26" t="s">
        <v>47</v>
      </c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8"/>
      <c r="W64" s="6">
        <f t="shared" si="1"/>
        <v>0</v>
      </c>
      <c r="X64" s="7">
        <f t="shared" si="5"/>
        <v>0</v>
      </c>
    </row>
    <row r="65" spans="1:24" hidden="1" x14ac:dyDescent="0.15">
      <c r="A65" s="12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6"/>
      <c r="W65" s="6"/>
      <c r="X65" s="6"/>
    </row>
    <row r="66" spans="1:24" hidden="1" x14ac:dyDescent="0.15">
      <c r="A66" s="13" t="s">
        <v>0</v>
      </c>
      <c r="B66" s="6">
        <f t="shared" ref="B66:L66" si="6">SUM(B5:B64)</f>
        <v>806</v>
      </c>
      <c r="C66" s="6">
        <f t="shared" si="6"/>
        <v>716</v>
      </c>
      <c r="D66" s="6">
        <f t="shared" si="6"/>
        <v>93</v>
      </c>
      <c r="E66" s="6">
        <f t="shared" si="6"/>
        <v>138</v>
      </c>
      <c r="F66" s="6">
        <f t="shared" si="6"/>
        <v>742</v>
      </c>
      <c r="G66" s="6">
        <f t="shared" si="6"/>
        <v>869</v>
      </c>
      <c r="H66" s="6">
        <f t="shared" si="6"/>
        <v>1232</v>
      </c>
      <c r="I66" s="6">
        <f t="shared" si="6"/>
        <v>130</v>
      </c>
      <c r="J66" s="6">
        <f t="shared" si="6"/>
        <v>113</v>
      </c>
      <c r="K66" s="6">
        <f t="shared" si="6"/>
        <v>344</v>
      </c>
      <c r="L66" s="6">
        <f t="shared" si="6"/>
        <v>86</v>
      </c>
      <c r="M66" s="6">
        <f t="shared" ref="M66:U66" si="7">SUM(M5:M64)</f>
        <v>0</v>
      </c>
      <c r="N66" s="6">
        <f t="shared" si="7"/>
        <v>0</v>
      </c>
      <c r="O66" s="6">
        <f t="shared" si="7"/>
        <v>0</v>
      </c>
      <c r="P66" s="6">
        <f t="shared" si="7"/>
        <v>0</v>
      </c>
      <c r="Q66" s="6">
        <f t="shared" si="7"/>
        <v>0</v>
      </c>
      <c r="R66" s="6">
        <f t="shared" si="7"/>
        <v>0</v>
      </c>
      <c r="S66" s="6">
        <f t="shared" si="7"/>
        <v>0</v>
      </c>
      <c r="T66" s="6">
        <f t="shared" si="7"/>
        <v>0</v>
      </c>
      <c r="U66" s="6">
        <f t="shared" si="7"/>
        <v>0</v>
      </c>
      <c r="V66" s="6"/>
      <c r="W66" s="6">
        <f>SUM(B5:U64)</f>
        <v>5269</v>
      </c>
      <c r="X66" s="6"/>
    </row>
    <row r="67" spans="1:24" hidden="1" x14ac:dyDescent="0.15">
      <c r="A67" s="13" t="s">
        <v>1</v>
      </c>
      <c r="B67" s="14">
        <f t="shared" ref="B67:D67" si="8">B66/$W$66</f>
        <v>0.1529702030745872</v>
      </c>
      <c r="C67" s="14">
        <f t="shared" si="8"/>
        <v>0.13588916302903778</v>
      </c>
      <c r="D67" s="14">
        <f t="shared" si="8"/>
        <v>1.7650408047067755E-2</v>
      </c>
      <c r="E67" s="14">
        <f t="shared" ref="E67:U67" si="9">E66/$W$66</f>
        <v>2.6190928069842474E-2</v>
      </c>
      <c r="F67" s="14">
        <f t="shared" si="9"/>
        <v>0.14082368570886317</v>
      </c>
      <c r="G67" s="14">
        <f t="shared" si="9"/>
        <v>0.1649269311064718</v>
      </c>
      <c r="H67" s="14">
        <f t="shared" si="9"/>
        <v>0.23382045929018788</v>
      </c>
      <c r="I67" s="14">
        <f t="shared" si="9"/>
        <v>2.4672613399126971E-2</v>
      </c>
      <c r="J67" s="14">
        <f t="shared" si="9"/>
        <v>2.1446194723856518E-2</v>
      </c>
      <c r="K67" s="14">
        <f t="shared" si="9"/>
        <v>6.5287530840766744E-2</v>
      </c>
      <c r="L67" s="14">
        <f t="shared" si="9"/>
        <v>1.6321882710191686E-2</v>
      </c>
      <c r="M67" s="14">
        <f t="shared" si="9"/>
        <v>0</v>
      </c>
      <c r="N67" s="14">
        <f t="shared" si="9"/>
        <v>0</v>
      </c>
      <c r="O67" s="14">
        <f t="shared" si="9"/>
        <v>0</v>
      </c>
      <c r="P67" s="14">
        <f t="shared" si="9"/>
        <v>0</v>
      </c>
      <c r="Q67" s="14">
        <f t="shared" si="9"/>
        <v>0</v>
      </c>
      <c r="R67" s="14">
        <f t="shared" si="9"/>
        <v>0</v>
      </c>
      <c r="S67" s="14">
        <f t="shared" si="9"/>
        <v>0</v>
      </c>
      <c r="T67" s="14">
        <f t="shared" si="9"/>
        <v>0</v>
      </c>
      <c r="U67" s="14">
        <f t="shared" si="9"/>
        <v>0</v>
      </c>
      <c r="V67" s="6"/>
      <c r="W67" s="6"/>
      <c r="X67" s="6"/>
    </row>
  </sheetData>
  <sheetProtection formatCells="0" formatRows="0"/>
  <mergeCells count="1">
    <mergeCell ref="B1:U1"/>
  </mergeCells>
  <phoneticPr fontId="28" type="noConversion"/>
  <dataValidations xWindow="343" yWindow="315" count="1">
    <dataValidation type="whole" allowBlank="1" showInputMessage="1" showErrorMessage="1" prompt="请输入整数" sqref="B3 B4:U4 B5:U64">
      <formula1>1</formula1>
      <formula2>100000</formula2>
    </dataValidation>
  </dataValidations>
  <pageMargins left="0.70866141732283472" right="0.70866141732283472" top="0.74803149606299213" bottom="0.74803149606299213" header="0.31496062992125984" footer="0.31496062992125984"/>
  <pageSetup paperSize="9" scale="85" fitToHeight="0" orientation="landscape" r:id="rId1"/>
  <headerFooter>
    <oddHeader>&amp;C&amp;"Arial,常规"&amp;10&amp;F</oddHeader>
    <oddFooter>&amp;L&amp;"Arial,常规"&amp;10&amp;A&amp;C&amp;"Arial,常规"&amp;10Page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n_data">
                <anchor moveWithCells="1" sizeWithCells="1">
                  <from>
                    <xdr:col>0</xdr:col>
                    <xdr:colOff>152400</xdr:colOff>
                    <xdr:row>0</xdr:row>
                    <xdr:rowOff>76200</xdr:rowOff>
                  </from>
                  <to>
                    <xdr:col>0</xdr:col>
                    <xdr:colOff>1276350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66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D12" sqref="D12"/>
    </sheetView>
  </sheetViews>
  <sheetFormatPr defaultRowHeight="13.5" x14ac:dyDescent="0.15"/>
  <cols>
    <col min="1" max="1" width="20.625" style="11" customWidth="1"/>
    <col min="2" max="4" width="6.75" style="11" bestFit="1" customWidth="1"/>
    <col min="5" max="10" width="6" style="11" bestFit="1" customWidth="1"/>
    <col min="11" max="21" width="6.875" style="11" bestFit="1" customWidth="1"/>
    <col min="22" max="22" width="3.625" style="11" hidden="1" customWidth="1"/>
    <col min="23" max="23" width="5.625" style="11" hidden="1" customWidth="1"/>
    <col min="24" max="24" width="6.75" style="11" hidden="1" customWidth="1"/>
    <col min="25" max="16384" width="9" style="11"/>
  </cols>
  <sheetData>
    <row r="1" spans="1:24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  <c r="V1" s="4"/>
      <c r="W1" s="4"/>
      <c r="X1" s="4"/>
    </row>
    <row r="2" spans="1:24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  <c r="V2" s="5"/>
      <c r="W2" s="5"/>
      <c r="X2" s="5"/>
    </row>
    <row r="3" spans="1:24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  <c r="V3" s="5"/>
      <c r="W3" s="5"/>
      <c r="X3" s="5"/>
    </row>
    <row r="4" spans="1:24" ht="38.25" x14ac:dyDescent="0.15">
      <c r="A4" s="18" t="str">
        <f>IF(ISBLANK('Raw counts'!A5),"",'Raw counts'!A5)</f>
        <v xml:space="preserve">Doesn't offer version I want                                                </v>
      </c>
      <c r="B4" s="20">
        <f>IF(ISBLANK('Raw counts'!B5),"",'Raw counts'!$W$66*'Raw counts'!$X5*'Raw counts'!B$67)</f>
        <v>60.576200417536526</v>
      </c>
      <c r="C4" s="20">
        <f>IF(ISBLANK('Raw counts'!C5),"",'Raw counts'!$W$66*'Raw counts'!$X5*'Raw counts'!C$67)</f>
        <v>53.812108559498959</v>
      </c>
      <c r="D4" s="20">
        <f>IF(ISBLANK('Raw counts'!D5),"",'Raw counts'!$W$66*'Raw counts'!$X5*'Raw counts'!D$67)</f>
        <v>6.989561586638831</v>
      </c>
      <c r="E4" s="20">
        <f>IF(ISBLANK('Raw counts'!E5),"",'Raw counts'!$W$66*'Raw counts'!$X5*'Raw counts'!E$67)</f>
        <v>10.371607515657621</v>
      </c>
      <c r="F4" s="20">
        <f>IF(ISBLANK('Raw counts'!F5),"",'Raw counts'!$W$66*'Raw counts'!$X5*'Raw counts'!F$67)</f>
        <v>55.766179540709814</v>
      </c>
      <c r="G4" s="20">
        <f>IF(ISBLANK('Raw counts'!G5),"",'Raw counts'!$W$66*'Raw counts'!$X5*'Raw counts'!G$67)</f>
        <v>65.311064718162839</v>
      </c>
      <c r="H4" s="20">
        <f>IF(ISBLANK('Raw counts'!H5),"",'Raw counts'!$W$66*'Raw counts'!$X5*'Raw counts'!H$67)</f>
        <v>92.592901878914404</v>
      </c>
      <c r="I4" s="20">
        <f>IF(ISBLANK('Raw counts'!I5),"",'Raw counts'!$W$66*'Raw counts'!$X5*'Raw counts'!I$67)</f>
        <v>9.7703549060542798</v>
      </c>
      <c r="J4" s="20">
        <f>IF(ISBLANK('Raw counts'!J5),"",'Raw counts'!$W$66*'Raw counts'!$X5*'Raw counts'!J$67)</f>
        <v>8.4926931106471812</v>
      </c>
      <c r="K4" s="20">
        <f>IF(ISBLANK('Raw counts'!K5),"",'Raw counts'!$W$66*'Raw counts'!$X5*'Raw counts'!K$67)</f>
        <v>25.853862212943632</v>
      </c>
      <c r="L4" s="20">
        <f>IF(ISBLANK('Raw counts'!L5),"",'Raw counts'!$W$66*'Raw counts'!$X5*'Raw counts'!L$67)</f>
        <v>6.463465553235908</v>
      </c>
      <c r="M4" s="20" t="str">
        <f>IF(ISBLANK('Raw counts'!M5),"",'Raw counts'!$W$66*'Raw counts'!$X5*'Raw counts'!M$67)</f>
        <v/>
      </c>
      <c r="N4" s="20" t="str">
        <f>IF(ISBLANK('Raw counts'!N5),"",'Raw counts'!$W$66*'Raw counts'!$X5*'Raw counts'!N$67)</f>
        <v/>
      </c>
      <c r="O4" s="20" t="str">
        <f>IF(ISBLANK('Raw counts'!O5),"",'Raw counts'!$W$66*'Raw counts'!$X5*'Raw counts'!O$67)</f>
        <v/>
      </c>
      <c r="P4" s="20" t="str">
        <f>IF(ISBLANK('Raw counts'!P5),"",'Raw counts'!$W$66*'Raw counts'!$X5*'Raw counts'!P$67)</f>
        <v/>
      </c>
      <c r="Q4" s="20" t="str">
        <f>IF(ISBLANK('Raw counts'!Q5),"",'Raw counts'!$W$66*'Raw counts'!$X5*'Raw counts'!Q$67)</f>
        <v/>
      </c>
      <c r="R4" s="20" t="str">
        <f>IF(ISBLANK('Raw counts'!R5),"",'Raw counts'!$W$66*'Raw counts'!$X5*'Raw counts'!R$67)</f>
        <v/>
      </c>
      <c r="S4" s="20" t="str">
        <f>IF(ISBLANK('Raw counts'!S5),"",'Raw counts'!$W$66*'Raw counts'!$X5*'Raw counts'!S$67)</f>
        <v/>
      </c>
      <c r="T4" s="20" t="str">
        <f>IF(ISBLANK('Raw counts'!T5),"",'Raw counts'!$W$66*'Raw counts'!$X5*'Raw counts'!T$67)</f>
        <v/>
      </c>
      <c r="U4" s="20" t="str">
        <f>IF(ISBLANK('Raw counts'!U5),"",'Raw counts'!$W$66*'Raw counts'!$X5*'Raw counts'!U$67)</f>
        <v/>
      </c>
      <c r="V4" s="6"/>
      <c r="W4" s="6">
        <f t="shared" ref="W4:W63" si="0">SUM(B4:U4)</f>
        <v>396</v>
      </c>
      <c r="X4" s="7">
        <f t="shared" ref="X4:X63" si="1">W4/$W$65</f>
        <v>7.5156576200417491E-2</v>
      </c>
    </row>
    <row r="5" spans="1:24" ht="38.25" x14ac:dyDescent="0.15">
      <c r="A5" s="18" t="str">
        <f>IF(ISBLANK('Raw counts'!A6),"",'Raw counts'!A6)</f>
        <v xml:space="preserve">Doesn't offer enough variety or versions in the store/online                </v>
      </c>
      <c r="B5" s="20">
        <f>IF(ISBLANK('Raw counts'!B6),"",'Raw counts'!$W$66*'Raw counts'!$X6*'Raw counts'!B$67)</f>
        <v>49.715315999240836</v>
      </c>
      <c r="C5" s="20">
        <f>IF(ISBLANK('Raw counts'!C6),"",'Raw counts'!$W$66*'Raw counts'!$X6*'Raw counts'!C$67)</f>
        <v>44.163977984437281</v>
      </c>
      <c r="D5" s="20">
        <f>IF(ISBLANK('Raw counts'!D6),"",'Raw counts'!$W$66*'Raw counts'!$X6*'Raw counts'!D$67)</f>
        <v>5.7363826152970203</v>
      </c>
      <c r="E5" s="20">
        <f>IF(ISBLANK('Raw counts'!E6),"",'Raw counts'!$W$66*'Raw counts'!$X6*'Raw counts'!E$67)</f>
        <v>8.5120516226988041</v>
      </c>
      <c r="F5" s="20">
        <f>IF(ISBLANK('Raw counts'!F6),"",'Raw counts'!$W$66*'Raw counts'!$X6*'Raw counts'!F$67)</f>
        <v>45.767697855380533</v>
      </c>
      <c r="G5" s="20">
        <f>IF(ISBLANK('Raw counts'!G6),"",'Raw counts'!$W$66*'Raw counts'!$X6*'Raw counts'!G$67)</f>
        <v>53.601252609603335</v>
      </c>
      <c r="H5" s="20">
        <f>IF(ISBLANK('Raw counts'!H6),"",'Raw counts'!$W$66*'Raw counts'!$X6*'Raw counts'!H$67)</f>
        <v>75.991649269311068</v>
      </c>
      <c r="I5" s="20">
        <f>IF(ISBLANK('Raw counts'!I6),"",'Raw counts'!$W$66*'Raw counts'!$X6*'Raw counts'!I$67)</f>
        <v>8.0185993547162653</v>
      </c>
      <c r="J5" s="20">
        <f>IF(ISBLANK('Raw counts'!J6),"",'Raw counts'!$W$66*'Raw counts'!$X6*'Raw counts'!J$67)</f>
        <v>6.9700132852533683</v>
      </c>
      <c r="K5" s="20">
        <f>IF(ISBLANK('Raw counts'!K6),"",'Raw counts'!$W$66*'Raw counts'!$X6*'Raw counts'!K$67)</f>
        <v>21.218447523249193</v>
      </c>
      <c r="L5" s="20">
        <f>IF(ISBLANK('Raw counts'!L6),"",'Raw counts'!$W$66*'Raw counts'!$X6*'Raw counts'!L$67)</f>
        <v>5.3046118808122982</v>
      </c>
      <c r="M5" s="20" t="str">
        <f>IF(ISBLANK('Raw counts'!M6),"",'Raw counts'!$W$66*'Raw counts'!$X6*'Raw counts'!M$67)</f>
        <v/>
      </c>
      <c r="N5" s="20" t="str">
        <f>IF(ISBLANK('Raw counts'!N6),"",'Raw counts'!$W$66*'Raw counts'!$X6*'Raw counts'!N$67)</f>
        <v/>
      </c>
      <c r="O5" s="20" t="str">
        <f>IF(ISBLANK('Raw counts'!O6),"",'Raw counts'!$W$66*'Raw counts'!$X6*'Raw counts'!O$67)</f>
        <v/>
      </c>
      <c r="P5" s="20" t="str">
        <f>IF(ISBLANK('Raw counts'!P6),"",'Raw counts'!$W$66*'Raw counts'!$X6*'Raw counts'!P$67)</f>
        <v/>
      </c>
      <c r="Q5" s="20" t="str">
        <f>IF(ISBLANK('Raw counts'!Q6),"",'Raw counts'!$W$66*'Raw counts'!$X6*'Raw counts'!Q$67)</f>
        <v/>
      </c>
      <c r="R5" s="20" t="str">
        <f>IF(ISBLANK('Raw counts'!R6),"",'Raw counts'!$W$66*'Raw counts'!$X6*'Raw counts'!R$67)</f>
        <v/>
      </c>
      <c r="S5" s="20" t="str">
        <f>IF(ISBLANK('Raw counts'!S6),"",'Raw counts'!$W$66*'Raw counts'!$X6*'Raw counts'!S$67)</f>
        <v/>
      </c>
      <c r="T5" s="20" t="str">
        <f>IF(ISBLANK('Raw counts'!T6),"",'Raw counts'!$W$66*'Raw counts'!$X6*'Raw counts'!T$67)</f>
        <v/>
      </c>
      <c r="U5" s="20" t="str">
        <f>IF(ISBLANK('Raw counts'!U6),"",'Raw counts'!$W$66*'Raw counts'!$X6*'Raw counts'!U$67)</f>
        <v/>
      </c>
      <c r="V5" s="6"/>
      <c r="W5" s="6">
        <f t="shared" si="0"/>
        <v>325</v>
      </c>
      <c r="X5" s="7">
        <f t="shared" si="1"/>
        <v>6.1681533497817381E-2</v>
      </c>
    </row>
    <row r="6" spans="1:24" ht="25.5" x14ac:dyDescent="0.15">
      <c r="A6" s="18" t="str">
        <f>IF(ISBLANK('Raw counts'!A7),"",'Raw counts'!A7)</f>
        <v xml:space="preserve">Doesn't offer newest/latest products                                        </v>
      </c>
      <c r="B6" s="20">
        <f>IF(ISBLANK('Raw counts'!B7),"",'Raw counts'!$W$66*'Raw counts'!$X7*'Raw counts'!B$67)</f>
        <v>42.066805845511482</v>
      </c>
      <c r="C6" s="20">
        <f>IF(ISBLANK('Raw counts'!C7),"",'Raw counts'!$W$66*'Raw counts'!$X7*'Raw counts'!C$67)</f>
        <v>37.369519832985389</v>
      </c>
      <c r="D6" s="20">
        <f>IF(ISBLANK('Raw counts'!D7),"",'Raw counts'!$W$66*'Raw counts'!$X7*'Raw counts'!D$67)</f>
        <v>4.8538622129436328</v>
      </c>
      <c r="E6" s="20">
        <f>IF(ISBLANK('Raw counts'!E7),"",'Raw counts'!$W$66*'Raw counts'!$X7*'Raw counts'!E$67)</f>
        <v>7.2025052192066807</v>
      </c>
      <c r="F6" s="20">
        <f>IF(ISBLANK('Raw counts'!F7),"",'Raw counts'!$W$66*'Raw counts'!$X7*'Raw counts'!F$67)</f>
        <v>38.726513569937367</v>
      </c>
      <c r="G6" s="20">
        <f>IF(ISBLANK('Raw counts'!G7),"",'Raw counts'!$W$66*'Raw counts'!$X7*'Raw counts'!G$67)</f>
        <v>45.354906054279745</v>
      </c>
      <c r="H6" s="20">
        <f>IF(ISBLANK('Raw counts'!H7),"",'Raw counts'!$W$66*'Raw counts'!$X7*'Raw counts'!H$67)</f>
        <v>64.300626304801668</v>
      </c>
      <c r="I6" s="20">
        <f>IF(ISBLANK('Raw counts'!I7),"",'Raw counts'!$W$66*'Raw counts'!$X7*'Raw counts'!I$67)</f>
        <v>6.7849686847599173</v>
      </c>
      <c r="J6" s="20">
        <f>IF(ISBLANK('Raw counts'!J7),"",'Raw counts'!$W$66*'Raw counts'!$X7*'Raw counts'!J$67)</f>
        <v>5.8977035490605427</v>
      </c>
      <c r="K6" s="20">
        <f>IF(ISBLANK('Raw counts'!K7),"",'Raw counts'!$W$66*'Raw counts'!$X7*'Raw counts'!K$67)</f>
        <v>17.954070981210855</v>
      </c>
      <c r="L6" s="20">
        <f>IF(ISBLANK('Raw counts'!L7),"",'Raw counts'!$W$66*'Raw counts'!$X7*'Raw counts'!L$67)</f>
        <v>4.4885177453027136</v>
      </c>
      <c r="M6" s="20" t="str">
        <f>IF(ISBLANK('Raw counts'!M7),"",'Raw counts'!$W$66*'Raw counts'!$X7*'Raw counts'!M$67)</f>
        <v/>
      </c>
      <c r="N6" s="20" t="str">
        <f>IF(ISBLANK('Raw counts'!N7),"",'Raw counts'!$W$66*'Raw counts'!$X7*'Raw counts'!N$67)</f>
        <v/>
      </c>
      <c r="O6" s="20" t="str">
        <f>IF(ISBLANK('Raw counts'!O7),"",'Raw counts'!$W$66*'Raw counts'!$X7*'Raw counts'!O$67)</f>
        <v/>
      </c>
      <c r="P6" s="20" t="str">
        <f>IF(ISBLANK('Raw counts'!P7),"",'Raw counts'!$W$66*'Raw counts'!$X7*'Raw counts'!P$67)</f>
        <v/>
      </c>
      <c r="Q6" s="20" t="str">
        <f>IF(ISBLANK('Raw counts'!Q7),"",'Raw counts'!$W$66*'Raw counts'!$X7*'Raw counts'!Q$67)</f>
        <v/>
      </c>
      <c r="R6" s="20" t="str">
        <f>IF(ISBLANK('Raw counts'!R7),"",'Raw counts'!$W$66*'Raw counts'!$X7*'Raw counts'!R$67)</f>
        <v/>
      </c>
      <c r="S6" s="20" t="str">
        <f>IF(ISBLANK('Raw counts'!S7),"",'Raw counts'!$W$66*'Raw counts'!$X7*'Raw counts'!S$67)</f>
        <v/>
      </c>
      <c r="T6" s="20" t="str">
        <f>IF(ISBLANK('Raw counts'!T7),"",'Raw counts'!$W$66*'Raw counts'!$X7*'Raw counts'!T$67)</f>
        <v/>
      </c>
      <c r="U6" s="20" t="str">
        <f>IF(ISBLANK('Raw counts'!U7),"",'Raw counts'!$W$66*'Raw counts'!$X7*'Raw counts'!U$67)</f>
        <v/>
      </c>
      <c r="V6" s="6"/>
      <c r="W6" s="6">
        <f t="shared" si="0"/>
        <v>275</v>
      </c>
      <c r="X6" s="7">
        <f t="shared" si="1"/>
        <v>5.2192066805845476E-2</v>
      </c>
    </row>
    <row r="7" spans="1:24" ht="25.5" x14ac:dyDescent="0.15">
      <c r="A7" s="18" t="str">
        <f>IF(ISBLANK('Raw counts'!A8),"",'Raw counts'!A8)</f>
        <v xml:space="preserve">Brand not carried in the store/online                                       </v>
      </c>
      <c r="B7" s="20">
        <f>IF(ISBLANK('Raw counts'!B8),"",'Raw counts'!$W$66*'Raw counts'!$X8*'Raw counts'!B$67)</f>
        <v>44.820269500854046</v>
      </c>
      <c r="C7" s="20">
        <f>IF(ISBLANK('Raw counts'!C8),"",'Raw counts'!$W$66*'Raw counts'!$X8*'Raw counts'!C$67)</f>
        <v>39.815524767508066</v>
      </c>
      <c r="D7" s="20">
        <f>IF(ISBLANK('Raw counts'!D8),"",'Raw counts'!$W$66*'Raw counts'!$X8*'Raw counts'!D$67)</f>
        <v>5.1715695577908525</v>
      </c>
      <c r="E7" s="20">
        <f>IF(ISBLANK('Raw counts'!E8),"",'Raw counts'!$W$66*'Raw counts'!$X8*'Raw counts'!E$67)</f>
        <v>7.6739419244638452</v>
      </c>
      <c r="F7" s="20">
        <f>IF(ISBLANK('Raw counts'!F8),"",'Raw counts'!$W$66*'Raw counts'!$X8*'Raw counts'!F$67)</f>
        <v>41.261339912696911</v>
      </c>
      <c r="G7" s="20">
        <f>IF(ISBLANK('Raw counts'!G8),"",'Raw counts'!$W$66*'Raw counts'!$X8*'Raw counts'!G$67)</f>
        <v>48.323590814196237</v>
      </c>
      <c r="H7" s="20">
        <f>IF(ISBLANK('Raw counts'!H8),"",'Raw counts'!$W$66*'Raw counts'!$X8*'Raw counts'!H$67)</f>
        <v>68.509394572025045</v>
      </c>
      <c r="I7" s="20">
        <f>IF(ISBLANK('Raw counts'!I8),"",'Raw counts'!$W$66*'Raw counts'!$X8*'Raw counts'!I$67)</f>
        <v>7.2290757259442024</v>
      </c>
      <c r="J7" s="20">
        <f>IF(ISBLANK('Raw counts'!J8),"",'Raw counts'!$W$66*'Raw counts'!$X8*'Raw counts'!J$67)</f>
        <v>6.2837350540899601</v>
      </c>
      <c r="K7" s="20">
        <f>IF(ISBLANK('Raw counts'!K8),"",'Raw counts'!$W$66*'Raw counts'!$X8*'Raw counts'!K$67)</f>
        <v>19.129246536344656</v>
      </c>
      <c r="L7" s="20">
        <f>IF(ISBLANK('Raw counts'!L8),"",'Raw counts'!$W$66*'Raw counts'!$X8*'Raw counts'!L$67)</f>
        <v>4.782311634086164</v>
      </c>
      <c r="M7" s="20" t="str">
        <f>IF(ISBLANK('Raw counts'!M8),"",'Raw counts'!$W$66*'Raw counts'!$X8*'Raw counts'!M$67)</f>
        <v/>
      </c>
      <c r="N7" s="20" t="str">
        <f>IF(ISBLANK('Raw counts'!N8),"",'Raw counts'!$W$66*'Raw counts'!$X8*'Raw counts'!N$67)</f>
        <v/>
      </c>
      <c r="O7" s="20" t="str">
        <f>IF(ISBLANK('Raw counts'!O8),"",'Raw counts'!$W$66*'Raw counts'!$X8*'Raw counts'!O$67)</f>
        <v/>
      </c>
      <c r="P7" s="20" t="str">
        <f>IF(ISBLANK('Raw counts'!P8),"",'Raw counts'!$W$66*'Raw counts'!$X8*'Raw counts'!P$67)</f>
        <v/>
      </c>
      <c r="Q7" s="20" t="str">
        <f>IF(ISBLANK('Raw counts'!Q8),"",'Raw counts'!$W$66*'Raw counts'!$X8*'Raw counts'!Q$67)</f>
        <v/>
      </c>
      <c r="R7" s="20" t="str">
        <f>IF(ISBLANK('Raw counts'!R8),"",'Raw counts'!$W$66*'Raw counts'!$X8*'Raw counts'!R$67)</f>
        <v/>
      </c>
      <c r="S7" s="20" t="str">
        <f>IF(ISBLANK('Raw counts'!S8),"",'Raw counts'!$W$66*'Raw counts'!$X8*'Raw counts'!S$67)</f>
        <v/>
      </c>
      <c r="T7" s="20" t="str">
        <f>IF(ISBLANK('Raw counts'!T8),"",'Raw counts'!$W$66*'Raw counts'!$X8*'Raw counts'!T$67)</f>
        <v/>
      </c>
      <c r="U7" s="20" t="str">
        <f>IF(ISBLANK('Raw counts'!U8),"",'Raw counts'!$W$66*'Raw counts'!$X8*'Raw counts'!U$67)</f>
        <v/>
      </c>
      <c r="V7" s="6"/>
      <c r="W7" s="6">
        <f t="shared" si="0"/>
        <v>293</v>
      </c>
      <c r="X7" s="7">
        <f t="shared" si="1"/>
        <v>5.5608274814955359E-2</v>
      </c>
    </row>
    <row r="8" spans="1:24" ht="25.5" x14ac:dyDescent="0.15">
      <c r="A8" s="18" t="str">
        <f>IF(ISBLANK('Raw counts'!A9),"",'Raw counts'!A9)</f>
        <v xml:space="preserve">Often out of stock                                                          </v>
      </c>
      <c r="B8" s="20">
        <f>IF(ISBLANK('Raw counts'!B9),"",'Raw counts'!$W$66*'Raw counts'!$X9*'Raw counts'!B$67)</f>
        <v>46.961852343898272</v>
      </c>
      <c r="C8" s="20">
        <f>IF(ISBLANK('Raw counts'!C9),"",'Raw counts'!$W$66*'Raw counts'!$X9*'Raw counts'!C$67)</f>
        <v>41.717973049914598</v>
      </c>
      <c r="D8" s="20">
        <f>IF(ISBLANK('Raw counts'!D9),"",'Raw counts'!$W$66*'Raw counts'!$X9*'Raw counts'!D$67)</f>
        <v>5.4186752704498007</v>
      </c>
      <c r="E8" s="20">
        <f>IF(ISBLANK('Raw counts'!E9),"",'Raw counts'!$W$66*'Raw counts'!$X9*'Raw counts'!E$67)</f>
        <v>8.0406149174416388</v>
      </c>
      <c r="F8" s="20">
        <f>IF(ISBLANK('Raw counts'!F9),"",'Raw counts'!$W$66*'Raw counts'!$X9*'Raw counts'!F$67)</f>
        <v>43.232871512620989</v>
      </c>
      <c r="G8" s="20">
        <f>IF(ISBLANK('Raw counts'!G9),"",'Raw counts'!$W$66*'Raw counts'!$X9*'Raw counts'!G$67)</f>
        <v>50.632567849686843</v>
      </c>
      <c r="H8" s="20">
        <f>IF(ISBLANK('Raw counts'!H9),"",'Raw counts'!$W$66*'Raw counts'!$X9*'Raw counts'!H$67)</f>
        <v>71.782881002087677</v>
      </c>
      <c r="I8" s="20">
        <f>IF(ISBLANK('Raw counts'!I9),"",'Raw counts'!$W$66*'Raw counts'!$X9*'Raw counts'!I$67)</f>
        <v>7.5744923135319802</v>
      </c>
      <c r="J8" s="20">
        <f>IF(ISBLANK('Raw counts'!J9),"",'Raw counts'!$W$66*'Raw counts'!$X9*'Raw counts'!J$67)</f>
        <v>6.5839817802239509</v>
      </c>
      <c r="K8" s="20">
        <f>IF(ISBLANK('Raw counts'!K9),"",'Raw counts'!$W$66*'Raw counts'!$X9*'Raw counts'!K$67)</f>
        <v>20.043271968115391</v>
      </c>
      <c r="L8" s="20">
        <f>IF(ISBLANK('Raw counts'!L9),"",'Raw counts'!$W$66*'Raw counts'!$X9*'Raw counts'!L$67)</f>
        <v>5.0108179920288478</v>
      </c>
      <c r="M8" s="20" t="str">
        <f>IF(ISBLANK('Raw counts'!M9),"",'Raw counts'!$W$66*'Raw counts'!$X9*'Raw counts'!M$67)</f>
        <v/>
      </c>
      <c r="N8" s="20" t="str">
        <f>IF(ISBLANK('Raw counts'!N9),"",'Raw counts'!$W$66*'Raw counts'!$X9*'Raw counts'!N$67)</f>
        <v/>
      </c>
      <c r="O8" s="20" t="str">
        <f>IF(ISBLANK('Raw counts'!O9),"",'Raw counts'!$W$66*'Raw counts'!$X9*'Raw counts'!O$67)</f>
        <v/>
      </c>
      <c r="P8" s="20" t="str">
        <f>IF(ISBLANK('Raw counts'!P9),"",'Raw counts'!$W$66*'Raw counts'!$X9*'Raw counts'!P$67)</f>
        <v/>
      </c>
      <c r="Q8" s="20" t="str">
        <f>IF(ISBLANK('Raw counts'!Q9),"",'Raw counts'!$W$66*'Raw counts'!$X9*'Raw counts'!Q$67)</f>
        <v/>
      </c>
      <c r="R8" s="20" t="str">
        <f>IF(ISBLANK('Raw counts'!R9),"",'Raw counts'!$W$66*'Raw counts'!$X9*'Raw counts'!R$67)</f>
        <v/>
      </c>
      <c r="S8" s="20" t="str">
        <f>IF(ISBLANK('Raw counts'!S9),"",'Raw counts'!$W$66*'Raw counts'!$X9*'Raw counts'!S$67)</f>
        <v/>
      </c>
      <c r="T8" s="20" t="str">
        <f>IF(ISBLANK('Raw counts'!T9),"",'Raw counts'!$W$66*'Raw counts'!$X9*'Raw counts'!T$67)</f>
        <v/>
      </c>
      <c r="U8" s="20" t="str">
        <f>IF(ISBLANK('Raw counts'!U9),"",'Raw counts'!$W$66*'Raw counts'!$X9*'Raw counts'!U$67)</f>
        <v/>
      </c>
      <c r="V8" s="6"/>
      <c r="W8" s="6">
        <f t="shared" si="0"/>
        <v>307</v>
      </c>
      <c r="X8" s="7">
        <f t="shared" si="1"/>
        <v>5.8265325488707498E-2</v>
      </c>
    </row>
    <row r="9" spans="1:24" ht="38.25" x14ac:dyDescent="0.15">
      <c r="A9" s="18" t="str">
        <f>IF(ISBLANK('Raw counts'!A10),"",'Raw counts'!A10)</f>
        <v xml:space="preserve">Hard to find the brand in the store                                         </v>
      </c>
      <c r="B9" s="20">
        <f>IF(ISBLANK('Raw counts'!B10),"",'Raw counts'!$W$66*'Raw counts'!$X10*'Raw counts'!B$67)</f>
        <v>47.879673562345793</v>
      </c>
      <c r="C9" s="20">
        <f>IF(ISBLANK('Raw counts'!C10),"",'Raw counts'!$W$66*'Raw counts'!$X10*'Raw counts'!C$67)</f>
        <v>42.533308028088825</v>
      </c>
      <c r="D9" s="20">
        <f>IF(ISBLANK('Raw counts'!D10),"",'Raw counts'!$W$66*'Raw counts'!$X10*'Raw counts'!D$67)</f>
        <v>5.5245777187322078</v>
      </c>
      <c r="E9" s="20">
        <f>IF(ISBLANK('Raw counts'!E10),"",'Raw counts'!$W$66*'Raw counts'!$X10*'Raw counts'!E$67)</f>
        <v>8.1977604858606945</v>
      </c>
      <c r="F9" s="20">
        <f>IF(ISBLANK('Raw counts'!F10),"",'Raw counts'!$W$66*'Raw counts'!$X10*'Raw counts'!F$67)</f>
        <v>44.077813626874175</v>
      </c>
      <c r="G9" s="20">
        <f>IF(ISBLANK('Raw counts'!G10),"",'Raw counts'!$W$66*'Raw counts'!$X10*'Raw counts'!G$67)</f>
        <v>51.622129436325672</v>
      </c>
      <c r="H9" s="20">
        <f>IF(ISBLANK('Raw counts'!H10),"",'Raw counts'!$W$66*'Raw counts'!$X10*'Raw counts'!H$67)</f>
        <v>73.185803757828808</v>
      </c>
      <c r="I9" s="20">
        <f>IF(ISBLANK('Raw counts'!I10),"",'Raw counts'!$W$66*'Raw counts'!$X10*'Raw counts'!I$67)</f>
        <v>7.7225279939267422</v>
      </c>
      <c r="J9" s="20">
        <f>IF(ISBLANK('Raw counts'!J10),"",'Raw counts'!$W$66*'Raw counts'!$X10*'Raw counts'!J$67)</f>
        <v>6.71265894856709</v>
      </c>
      <c r="K9" s="20">
        <f>IF(ISBLANK('Raw counts'!K10),"",'Raw counts'!$W$66*'Raw counts'!$X10*'Raw counts'!K$67)</f>
        <v>20.434997153159991</v>
      </c>
      <c r="L9" s="20">
        <f>IF(ISBLANK('Raw counts'!L10),"",'Raw counts'!$W$66*'Raw counts'!$X10*'Raw counts'!L$67)</f>
        <v>5.1087492882899976</v>
      </c>
      <c r="M9" s="20" t="str">
        <f>IF(ISBLANK('Raw counts'!M10),"",'Raw counts'!$W$66*'Raw counts'!$X10*'Raw counts'!M$67)</f>
        <v/>
      </c>
      <c r="N9" s="20" t="str">
        <f>IF(ISBLANK('Raw counts'!N10),"",'Raw counts'!$W$66*'Raw counts'!$X10*'Raw counts'!N$67)</f>
        <v/>
      </c>
      <c r="O9" s="20" t="str">
        <f>IF(ISBLANK('Raw counts'!O10),"",'Raw counts'!$W$66*'Raw counts'!$X10*'Raw counts'!O$67)</f>
        <v/>
      </c>
      <c r="P9" s="20" t="str">
        <f>IF(ISBLANK('Raw counts'!P10),"",'Raw counts'!$W$66*'Raw counts'!$X10*'Raw counts'!P$67)</f>
        <v/>
      </c>
      <c r="Q9" s="20" t="str">
        <f>IF(ISBLANK('Raw counts'!Q10),"",'Raw counts'!$W$66*'Raw counts'!$X10*'Raw counts'!Q$67)</f>
        <v/>
      </c>
      <c r="R9" s="20" t="str">
        <f>IF(ISBLANK('Raw counts'!R10),"",'Raw counts'!$W$66*'Raw counts'!$X10*'Raw counts'!R$67)</f>
        <v/>
      </c>
      <c r="S9" s="20" t="str">
        <f>IF(ISBLANK('Raw counts'!S10),"",'Raw counts'!$W$66*'Raw counts'!$X10*'Raw counts'!S$67)</f>
        <v/>
      </c>
      <c r="T9" s="20" t="str">
        <f>IF(ISBLANK('Raw counts'!T10),"",'Raw counts'!$W$66*'Raw counts'!$X10*'Raw counts'!T$67)</f>
        <v/>
      </c>
      <c r="U9" s="20" t="str">
        <f>IF(ISBLANK('Raw counts'!U10),"",'Raw counts'!$W$66*'Raw counts'!$X10*'Raw counts'!U$67)</f>
        <v/>
      </c>
      <c r="V9" s="6"/>
      <c r="W9" s="6">
        <f t="shared" si="0"/>
        <v>312.99999999999994</v>
      </c>
      <c r="X9" s="7">
        <f t="shared" si="1"/>
        <v>5.9404061491744112E-2</v>
      </c>
    </row>
    <row r="10" spans="1:24" ht="25.5" x14ac:dyDescent="0.15">
      <c r="A10" s="18" t="str">
        <f>IF(ISBLANK('Raw counts'!A11),"",'Raw counts'!A11)</f>
        <v xml:space="preserve">Hard to find the brand online                                               </v>
      </c>
      <c r="B10" s="20">
        <f>IF(ISBLANK('Raw counts'!B11),"",'Raw counts'!$W$66*'Raw counts'!$X11*'Raw counts'!B$67)</f>
        <v>38.701461377870558</v>
      </c>
      <c r="C10" s="20">
        <f>IF(ISBLANK('Raw counts'!C11),"",'Raw counts'!$W$66*'Raw counts'!$X11*'Raw counts'!C$67)</f>
        <v>34.379958246346561</v>
      </c>
      <c r="D10" s="20">
        <f>IF(ISBLANK('Raw counts'!D11),"",'Raw counts'!$W$66*'Raw counts'!$X11*'Raw counts'!D$67)</f>
        <v>4.4655532359081418</v>
      </c>
      <c r="E10" s="20">
        <f>IF(ISBLANK('Raw counts'!E11),"",'Raw counts'!$W$66*'Raw counts'!$X11*'Raw counts'!E$67)</f>
        <v>6.6263048016701456</v>
      </c>
      <c r="F10" s="20">
        <f>IF(ISBLANK('Raw counts'!F11),"",'Raw counts'!$W$66*'Raw counts'!$X11*'Raw counts'!F$67)</f>
        <v>35.628392484342385</v>
      </c>
      <c r="G10" s="20">
        <f>IF(ISBLANK('Raw counts'!G11),"",'Raw counts'!$W$66*'Raw counts'!$X11*'Raw counts'!G$67)</f>
        <v>41.726513569937367</v>
      </c>
      <c r="H10" s="20">
        <f>IF(ISBLANK('Raw counts'!H11),"",'Raw counts'!$W$66*'Raw counts'!$X11*'Raw counts'!H$67)</f>
        <v>59.156576200417533</v>
      </c>
      <c r="I10" s="20">
        <f>IF(ISBLANK('Raw counts'!I11),"",'Raw counts'!$W$66*'Raw counts'!$X11*'Raw counts'!I$67)</f>
        <v>6.2421711899791239</v>
      </c>
      <c r="J10" s="20">
        <f>IF(ISBLANK('Raw counts'!J11),"",'Raw counts'!$W$66*'Raw counts'!$X11*'Raw counts'!J$67)</f>
        <v>5.4258872651356995</v>
      </c>
      <c r="K10" s="20">
        <f>IF(ISBLANK('Raw counts'!K11),"",'Raw counts'!$W$66*'Raw counts'!$X11*'Raw counts'!K$67)</f>
        <v>16.517745302713987</v>
      </c>
      <c r="L10" s="20">
        <f>IF(ISBLANK('Raw counts'!L11),"",'Raw counts'!$W$66*'Raw counts'!$X11*'Raw counts'!L$67)</f>
        <v>4.1294363256784967</v>
      </c>
      <c r="M10" s="20" t="str">
        <f>IF(ISBLANK('Raw counts'!M11),"",'Raw counts'!$W$66*'Raw counts'!$X11*'Raw counts'!M$67)</f>
        <v/>
      </c>
      <c r="N10" s="20" t="str">
        <f>IF(ISBLANK('Raw counts'!N11),"",'Raw counts'!$W$66*'Raw counts'!$X11*'Raw counts'!N$67)</f>
        <v/>
      </c>
      <c r="O10" s="20" t="str">
        <f>IF(ISBLANK('Raw counts'!O11),"",'Raw counts'!$W$66*'Raw counts'!$X11*'Raw counts'!O$67)</f>
        <v/>
      </c>
      <c r="P10" s="20" t="str">
        <f>IF(ISBLANK('Raw counts'!P11),"",'Raw counts'!$W$66*'Raw counts'!$X11*'Raw counts'!P$67)</f>
        <v/>
      </c>
      <c r="Q10" s="20" t="str">
        <f>IF(ISBLANK('Raw counts'!Q11),"",'Raw counts'!$W$66*'Raw counts'!$X11*'Raw counts'!Q$67)</f>
        <v/>
      </c>
      <c r="R10" s="20" t="str">
        <f>IF(ISBLANK('Raw counts'!R11),"",'Raw counts'!$W$66*'Raw counts'!$X11*'Raw counts'!R$67)</f>
        <v/>
      </c>
      <c r="S10" s="20" t="str">
        <f>IF(ISBLANK('Raw counts'!S11),"",'Raw counts'!$W$66*'Raw counts'!$X11*'Raw counts'!S$67)</f>
        <v/>
      </c>
      <c r="T10" s="20" t="str">
        <f>IF(ISBLANK('Raw counts'!T11),"",'Raw counts'!$W$66*'Raw counts'!$X11*'Raw counts'!T$67)</f>
        <v/>
      </c>
      <c r="U10" s="20" t="str">
        <f>IF(ISBLANK('Raw counts'!U11),"",'Raw counts'!$W$66*'Raw counts'!$X11*'Raw counts'!U$67)</f>
        <v/>
      </c>
      <c r="V10" s="6"/>
      <c r="W10" s="6">
        <f t="shared" si="0"/>
        <v>252.99999999999997</v>
      </c>
      <c r="X10" s="7">
        <f t="shared" si="1"/>
        <v>4.8016701461377834E-2</v>
      </c>
    </row>
    <row r="11" spans="1:24" ht="25.5" x14ac:dyDescent="0.15">
      <c r="A11" s="18" t="str">
        <f>IF(ISBLANK('Raw counts'!A12),"",'Raw counts'!A12)</f>
        <v xml:space="preserve">Difficult to determine which product is right for me                        </v>
      </c>
      <c r="B11" s="20">
        <f>IF(ISBLANK('Raw counts'!B12),"",'Raw counts'!$W$66*'Raw counts'!$X12*'Raw counts'!B$67)</f>
        <v>47.267792750047441</v>
      </c>
      <c r="C11" s="20">
        <f>IF(ISBLANK('Raw counts'!C12),"",'Raw counts'!$W$66*'Raw counts'!$X12*'Raw counts'!C$67)</f>
        <v>41.989751375972673</v>
      </c>
      <c r="D11" s="20">
        <f>IF(ISBLANK('Raw counts'!D12),"",'Raw counts'!$W$66*'Raw counts'!$X12*'Raw counts'!D$67)</f>
        <v>5.4539760865439364</v>
      </c>
      <c r="E11" s="20">
        <f>IF(ISBLANK('Raw counts'!E12),"",'Raw counts'!$W$66*'Raw counts'!$X12*'Raw counts'!E$67)</f>
        <v>8.0929967735813246</v>
      </c>
      <c r="F11" s="20">
        <f>IF(ISBLANK('Raw counts'!F12),"",'Raw counts'!$W$66*'Raw counts'!$X12*'Raw counts'!F$67)</f>
        <v>43.514518884038722</v>
      </c>
      <c r="G11" s="20">
        <f>IF(ISBLANK('Raw counts'!G12),"",'Raw counts'!$W$66*'Raw counts'!$X12*'Raw counts'!G$67)</f>
        <v>50.962421711899786</v>
      </c>
      <c r="H11" s="20">
        <f>IF(ISBLANK('Raw counts'!H12),"",'Raw counts'!$W$66*'Raw counts'!$X12*'Raw counts'!H$67)</f>
        <v>72.250521920668049</v>
      </c>
      <c r="I11" s="20">
        <f>IF(ISBLANK('Raw counts'!I12),"",'Raw counts'!$W$66*'Raw counts'!$X12*'Raw counts'!I$67)</f>
        <v>7.6238375403302339</v>
      </c>
      <c r="J11" s="20">
        <f>IF(ISBLANK('Raw counts'!J12),"",'Raw counts'!$W$66*'Raw counts'!$X12*'Raw counts'!J$67)</f>
        <v>6.6268741696716642</v>
      </c>
      <c r="K11" s="20">
        <f>IF(ISBLANK('Raw counts'!K12),"",'Raw counts'!$W$66*'Raw counts'!$X12*'Raw counts'!K$67)</f>
        <v>20.173847029796924</v>
      </c>
      <c r="L11" s="20">
        <f>IF(ISBLANK('Raw counts'!L12),"",'Raw counts'!$W$66*'Raw counts'!$X12*'Raw counts'!L$67)</f>
        <v>5.0434617574492311</v>
      </c>
      <c r="M11" s="20" t="str">
        <f>IF(ISBLANK('Raw counts'!M12),"",'Raw counts'!$W$66*'Raw counts'!$X12*'Raw counts'!M$67)</f>
        <v/>
      </c>
      <c r="N11" s="20" t="str">
        <f>IF(ISBLANK('Raw counts'!N12),"",'Raw counts'!$W$66*'Raw counts'!$X12*'Raw counts'!N$67)</f>
        <v/>
      </c>
      <c r="O11" s="20" t="str">
        <f>IF(ISBLANK('Raw counts'!O12),"",'Raw counts'!$W$66*'Raw counts'!$X12*'Raw counts'!O$67)</f>
        <v/>
      </c>
      <c r="P11" s="20" t="str">
        <f>IF(ISBLANK('Raw counts'!P12),"",'Raw counts'!$W$66*'Raw counts'!$X12*'Raw counts'!P$67)</f>
        <v/>
      </c>
      <c r="Q11" s="20" t="str">
        <f>IF(ISBLANK('Raw counts'!Q12),"",'Raw counts'!$W$66*'Raw counts'!$X12*'Raw counts'!Q$67)</f>
        <v/>
      </c>
      <c r="R11" s="20" t="str">
        <f>IF(ISBLANK('Raw counts'!R12),"",'Raw counts'!$W$66*'Raw counts'!$X12*'Raw counts'!R$67)</f>
        <v/>
      </c>
      <c r="S11" s="20" t="str">
        <f>IF(ISBLANK('Raw counts'!S12),"",'Raw counts'!$W$66*'Raw counts'!$X12*'Raw counts'!S$67)</f>
        <v/>
      </c>
      <c r="T11" s="20" t="str">
        <f>IF(ISBLANK('Raw counts'!T12),"",'Raw counts'!$W$66*'Raw counts'!$X12*'Raw counts'!T$67)</f>
        <v/>
      </c>
      <c r="U11" s="20" t="str">
        <f>IF(ISBLANK('Raw counts'!U12),"",'Raw counts'!$W$66*'Raw counts'!$X12*'Raw counts'!U$67)</f>
        <v/>
      </c>
      <c r="V11" s="6"/>
      <c r="W11" s="6">
        <f t="shared" si="0"/>
        <v>309</v>
      </c>
      <c r="X11" s="7">
        <f t="shared" si="1"/>
        <v>5.8644904156386374E-2</v>
      </c>
    </row>
    <row r="12" spans="1:24" ht="25.5" x14ac:dyDescent="0.15">
      <c r="A12" s="18" t="str">
        <f>IF(ISBLANK('Raw counts'!A13),"",'Raw counts'!A13)</f>
        <v xml:space="preserve">Costs more than other brands                                                </v>
      </c>
      <c r="B12" s="20">
        <f>IF(ISBLANK('Raw counts'!B13),"",'Raw counts'!$W$66*'Raw counts'!$X13*'Raw counts'!B$67)</f>
        <v>50.1742266084646</v>
      </c>
      <c r="C12" s="20">
        <f>IF(ISBLANK('Raw counts'!C13),"",'Raw counts'!$W$66*'Raw counts'!$X13*'Raw counts'!C$67)</f>
        <v>44.571645473524391</v>
      </c>
      <c r="D12" s="20">
        <f>IF(ISBLANK('Raw counts'!D13),"",'Raw counts'!$W$66*'Raw counts'!$X13*'Raw counts'!D$67)</f>
        <v>5.7893338394382239</v>
      </c>
      <c r="E12" s="20">
        <f>IF(ISBLANK('Raw counts'!E13),"",'Raw counts'!$W$66*'Raw counts'!$X13*'Raw counts'!E$67)</f>
        <v>8.5906244069083311</v>
      </c>
      <c r="F12" s="20">
        <f>IF(ISBLANK('Raw counts'!F13),"",'Raw counts'!$W$66*'Raw counts'!$X13*'Raw counts'!F$67)</f>
        <v>46.190168912507119</v>
      </c>
      <c r="G12" s="20">
        <f>IF(ISBLANK('Raw counts'!G13),"",'Raw counts'!$W$66*'Raw counts'!$X13*'Raw counts'!G$67)</f>
        <v>54.09603340292275</v>
      </c>
      <c r="H12" s="20">
        <f>IF(ISBLANK('Raw counts'!H13),"",'Raw counts'!$W$66*'Raw counts'!$X13*'Raw counts'!H$67)</f>
        <v>76.693110647181626</v>
      </c>
      <c r="I12" s="20">
        <f>IF(ISBLANK('Raw counts'!I13),"",'Raw counts'!$W$66*'Raw counts'!$X13*'Raw counts'!I$67)</f>
        <v>8.0926171949136467</v>
      </c>
      <c r="J12" s="20">
        <f>IF(ISBLANK('Raw counts'!J13),"",'Raw counts'!$W$66*'Raw counts'!$X13*'Raw counts'!J$67)</f>
        <v>7.0343518694249383</v>
      </c>
      <c r="K12" s="20">
        <f>IF(ISBLANK('Raw counts'!K13),"",'Raw counts'!$W$66*'Raw counts'!$X13*'Raw counts'!K$67)</f>
        <v>21.414310115771492</v>
      </c>
      <c r="L12" s="20">
        <f>IF(ISBLANK('Raw counts'!L13),"",'Raw counts'!$W$66*'Raw counts'!$X13*'Raw counts'!L$67)</f>
        <v>5.3535775289428731</v>
      </c>
      <c r="M12" s="20" t="str">
        <f>IF(ISBLANK('Raw counts'!M13),"",'Raw counts'!$W$66*'Raw counts'!$X13*'Raw counts'!M$67)</f>
        <v/>
      </c>
      <c r="N12" s="20" t="str">
        <f>IF(ISBLANK('Raw counts'!N13),"",'Raw counts'!$W$66*'Raw counts'!$X13*'Raw counts'!N$67)</f>
        <v/>
      </c>
      <c r="O12" s="20" t="str">
        <f>IF(ISBLANK('Raw counts'!O13),"",'Raw counts'!$W$66*'Raw counts'!$X13*'Raw counts'!O$67)</f>
        <v/>
      </c>
      <c r="P12" s="20" t="str">
        <f>IF(ISBLANK('Raw counts'!P13),"",'Raw counts'!$W$66*'Raw counts'!$X13*'Raw counts'!P$67)</f>
        <v/>
      </c>
      <c r="Q12" s="20" t="str">
        <f>IF(ISBLANK('Raw counts'!Q13),"",'Raw counts'!$W$66*'Raw counts'!$X13*'Raw counts'!Q$67)</f>
        <v/>
      </c>
      <c r="R12" s="20" t="str">
        <f>IF(ISBLANK('Raw counts'!R13),"",'Raw counts'!$W$66*'Raw counts'!$X13*'Raw counts'!R$67)</f>
        <v/>
      </c>
      <c r="S12" s="20" t="str">
        <f>IF(ISBLANK('Raw counts'!S13),"",'Raw counts'!$W$66*'Raw counts'!$X13*'Raw counts'!S$67)</f>
        <v/>
      </c>
      <c r="T12" s="20" t="str">
        <f>IF(ISBLANK('Raw counts'!T13),"",'Raw counts'!$W$66*'Raw counts'!$X13*'Raw counts'!T$67)</f>
        <v/>
      </c>
      <c r="U12" s="20" t="str">
        <f>IF(ISBLANK('Raw counts'!U13),"",'Raw counts'!$W$66*'Raw counts'!$X13*'Raw counts'!U$67)</f>
        <v/>
      </c>
      <c r="V12" s="6"/>
      <c r="W12" s="6">
        <f t="shared" si="0"/>
        <v>328.00000000000006</v>
      </c>
      <c r="X12" s="7">
        <f t="shared" si="1"/>
        <v>6.2250901499335702E-2</v>
      </c>
    </row>
    <row r="13" spans="1:24" ht="38.25" x14ac:dyDescent="0.15">
      <c r="A13" s="18" t="str">
        <f>IF(ISBLANK('Raw counts'!A14),"",'Raw counts'!A14)</f>
        <v xml:space="preserve">Costs more than I'm willing to pay                                          </v>
      </c>
      <c r="B13" s="20">
        <f>IF(ISBLANK('Raw counts'!B14),"",'Raw counts'!$W$66*'Raw counts'!$X14*'Raw counts'!B$67)</f>
        <v>42.525716454735239</v>
      </c>
      <c r="C13" s="20">
        <f>IF(ISBLANK('Raw counts'!C14),"",'Raw counts'!$W$66*'Raw counts'!$X14*'Raw counts'!C$67)</f>
        <v>37.7771873220725</v>
      </c>
      <c r="D13" s="20">
        <f>IF(ISBLANK('Raw counts'!D14),"",'Raw counts'!$W$66*'Raw counts'!$X14*'Raw counts'!D$67)</f>
        <v>4.9068134370848364</v>
      </c>
      <c r="E13" s="20">
        <f>IF(ISBLANK('Raw counts'!E14),"",'Raw counts'!$W$66*'Raw counts'!$X14*'Raw counts'!E$67)</f>
        <v>7.2810780034162077</v>
      </c>
      <c r="F13" s="20">
        <f>IF(ISBLANK('Raw counts'!F14),"",'Raw counts'!$W$66*'Raw counts'!$X14*'Raw counts'!F$67)</f>
        <v>39.14898462706396</v>
      </c>
      <c r="G13" s="20">
        <f>IF(ISBLANK('Raw counts'!G14),"",'Raw counts'!$W$66*'Raw counts'!$X14*'Raw counts'!G$67)</f>
        <v>45.849686847599159</v>
      </c>
      <c r="H13" s="20">
        <f>IF(ISBLANK('Raw counts'!H14),"",'Raw counts'!$W$66*'Raw counts'!$X14*'Raw counts'!H$67)</f>
        <v>65.002087682672226</v>
      </c>
      <c r="I13" s="20">
        <f>IF(ISBLANK('Raw counts'!I14),"",'Raw counts'!$W$66*'Raw counts'!$X14*'Raw counts'!I$67)</f>
        <v>6.8589865249572979</v>
      </c>
      <c r="J13" s="20">
        <f>IF(ISBLANK('Raw counts'!J14),"",'Raw counts'!$W$66*'Raw counts'!$X14*'Raw counts'!J$67)</f>
        <v>5.9620421332321119</v>
      </c>
      <c r="K13" s="20">
        <f>IF(ISBLANK('Raw counts'!K14),"",'Raw counts'!$W$66*'Raw counts'!$X14*'Raw counts'!K$67)</f>
        <v>18.149933573733154</v>
      </c>
      <c r="L13" s="20">
        <f>IF(ISBLANK('Raw counts'!L14),"",'Raw counts'!$W$66*'Raw counts'!$X14*'Raw counts'!L$67)</f>
        <v>4.5374833934332885</v>
      </c>
      <c r="M13" s="20" t="str">
        <f>IF(ISBLANK('Raw counts'!M14),"",'Raw counts'!$W$66*'Raw counts'!$X14*'Raw counts'!M$67)</f>
        <v/>
      </c>
      <c r="N13" s="20" t="str">
        <f>IF(ISBLANK('Raw counts'!N14),"",'Raw counts'!$W$66*'Raw counts'!$X14*'Raw counts'!N$67)</f>
        <v/>
      </c>
      <c r="O13" s="20" t="str">
        <f>IF(ISBLANK('Raw counts'!O14),"",'Raw counts'!$W$66*'Raw counts'!$X14*'Raw counts'!O$67)</f>
        <v/>
      </c>
      <c r="P13" s="20" t="str">
        <f>IF(ISBLANK('Raw counts'!P14),"",'Raw counts'!$W$66*'Raw counts'!$X14*'Raw counts'!P$67)</f>
        <v/>
      </c>
      <c r="Q13" s="20" t="str">
        <f>IF(ISBLANK('Raw counts'!Q14),"",'Raw counts'!$W$66*'Raw counts'!$X14*'Raw counts'!Q$67)</f>
        <v/>
      </c>
      <c r="R13" s="20" t="str">
        <f>IF(ISBLANK('Raw counts'!R14),"",'Raw counts'!$W$66*'Raw counts'!$X14*'Raw counts'!R$67)</f>
        <v/>
      </c>
      <c r="S13" s="20" t="str">
        <f>IF(ISBLANK('Raw counts'!S14),"",'Raw counts'!$W$66*'Raw counts'!$X14*'Raw counts'!S$67)</f>
        <v/>
      </c>
      <c r="T13" s="20" t="str">
        <f>IF(ISBLANK('Raw counts'!T14),"",'Raw counts'!$W$66*'Raw counts'!$X14*'Raw counts'!T$67)</f>
        <v/>
      </c>
      <c r="U13" s="20" t="str">
        <f>IF(ISBLANK('Raw counts'!U14),"",'Raw counts'!$W$66*'Raw counts'!$X14*'Raw counts'!U$67)</f>
        <v/>
      </c>
      <c r="V13" s="6"/>
      <c r="W13" s="6">
        <f t="shared" ref="W13:W52" si="2">SUM(B13:U13)</f>
        <v>277.99999999999994</v>
      </c>
      <c r="X13" s="7">
        <f t="shared" si="1"/>
        <v>5.2761434807363776E-2</v>
      </c>
    </row>
    <row r="14" spans="1:24" x14ac:dyDescent="0.15">
      <c r="A14" s="18" t="str">
        <f>IF(ISBLANK('Raw counts'!A15),"",'Raw counts'!A15)</f>
        <v xml:space="preserve">Not enough promotions, discounts or coupons                                 </v>
      </c>
      <c r="B14" s="20">
        <f>IF(ISBLANK('Raw counts'!B15),"",'Raw counts'!$W$66*'Raw counts'!$X15*'Raw counts'!B$67)</f>
        <v>67.612829758967536</v>
      </c>
      <c r="C14" s="20">
        <f>IF(ISBLANK('Raw counts'!C15),"",'Raw counts'!$W$66*'Raw counts'!$X15*'Raw counts'!C$67)</f>
        <v>60.063010058834699</v>
      </c>
      <c r="D14" s="20">
        <f>IF(ISBLANK('Raw counts'!D15),"",'Raw counts'!$W$66*'Raw counts'!$X15*'Raw counts'!D$67)</f>
        <v>7.8014803568039479</v>
      </c>
      <c r="E14" s="20">
        <f>IF(ISBLANK('Raw counts'!E15),"",'Raw counts'!$W$66*'Raw counts'!$X15*'Raw counts'!E$67)</f>
        <v>11.576390206870373</v>
      </c>
      <c r="F14" s="20">
        <f>IF(ISBLANK('Raw counts'!F15),"",'Raw counts'!$W$66*'Raw counts'!$X15*'Raw counts'!F$67)</f>
        <v>62.24406908331752</v>
      </c>
      <c r="G14" s="20">
        <f>IF(ISBLANK('Raw counts'!G15),"",'Raw counts'!$W$66*'Raw counts'!$X15*'Raw counts'!G$67)</f>
        <v>72.897703549060537</v>
      </c>
      <c r="H14" s="20">
        <f>IF(ISBLANK('Raw counts'!H15),"",'Raw counts'!$W$66*'Raw counts'!$X15*'Raw counts'!H$67)</f>
        <v>103.34864300626305</v>
      </c>
      <c r="I14" s="20">
        <f>IF(ISBLANK('Raw counts'!I15),"",'Raw counts'!$W$66*'Raw counts'!$X15*'Raw counts'!I$67)</f>
        <v>10.90529512241412</v>
      </c>
      <c r="J14" s="20">
        <f>IF(ISBLANK('Raw counts'!J15),"",'Raw counts'!$W$66*'Raw counts'!$X15*'Raw counts'!J$67)</f>
        <v>9.479218067944581</v>
      </c>
      <c r="K14" s="20">
        <f>IF(ISBLANK('Raw counts'!K15),"",'Raw counts'!$W$66*'Raw counts'!$X15*'Raw counts'!K$67)</f>
        <v>28.8570886316189</v>
      </c>
      <c r="L14" s="20">
        <f>IF(ISBLANK('Raw counts'!L15),"",'Raw counts'!$W$66*'Raw counts'!$X15*'Raw counts'!L$67)</f>
        <v>7.2142721579047251</v>
      </c>
      <c r="M14" s="20" t="str">
        <f>IF(ISBLANK('Raw counts'!M15),"",'Raw counts'!$W$66*'Raw counts'!$X15*'Raw counts'!M$67)</f>
        <v/>
      </c>
      <c r="N14" s="20" t="str">
        <f>IF(ISBLANK('Raw counts'!N15),"",'Raw counts'!$W$66*'Raw counts'!$X15*'Raw counts'!N$67)</f>
        <v/>
      </c>
      <c r="O14" s="20" t="str">
        <f>IF(ISBLANK('Raw counts'!O15),"",'Raw counts'!$W$66*'Raw counts'!$X15*'Raw counts'!O$67)</f>
        <v/>
      </c>
      <c r="P14" s="20" t="str">
        <f>IF(ISBLANK('Raw counts'!P15),"",'Raw counts'!$W$66*'Raw counts'!$X15*'Raw counts'!P$67)</f>
        <v/>
      </c>
      <c r="Q14" s="20" t="str">
        <f>IF(ISBLANK('Raw counts'!Q15),"",'Raw counts'!$W$66*'Raw counts'!$X15*'Raw counts'!Q$67)</f>
        <v/>
      </c>
      <c r="R14" s="20" t="str">
        <f>IF(ISBLANK('Raw counts'!R15),"",'Raw counts'!$W$66*'Raw counts'!$X15*'Raw counts'!R$67)</f>
        <v/>
      </c>
      <c r="S14" s="20" t="str">
        <f>IF(ISBLANK('Raw counts'!S15),"",'Raw counts'!$W$66*'Raw counts'!$X15*'Raw counts'!S$67)</f>
        <v/>
      </c>
      <c r="T14" s="20" t="str">
        <f>IF(ISBLANK('Raw counts'!T15),"",'Raw counts'!$W$66*'Raw counts'!$X15*'Raw counts'!T$67)</f>
        <v/>
      </c>
      <c r="U14" s="20" t="str">
        <f>IF(ISBLANK('Raw counts'!U15),"",'Raw counts'!$W$66*'Raw counts'!$X15*'Raw counts'!U$67)</f>
        <v/>
      </c>
      <c r="V14" s="6"/>
      <c r="W14" s="6">
        <f t="shared" si="2"/>
        <v>442.00000000000006</v>
      </c>
      <c r="X14" s="7">
        <f t="shared" si="1"/>
        <v>8.3886885557031651E-2</v>
      </c>
    </row>
    <row r="15" spans="1:24" x14ac:dyDescent="0.15">
      <c r="A15" s="18" t="str">
        <f>IF(ISBLANK('Raw counts'!A16),"",'Raw counts'!A16)</f>
        <v xml:space="preserve">Other brands offer more promotions, discounts or coupons                    </v>
      </c>
      <c r="B15" s="20">
        <f>IF(ISBLANK('Raw counts'!B16),"",'Raw counts'!$W$66*'Raw counts'!$X16*'Raw counts'!B$67)</f>
        <v>48.950464983867903</v>
      </c>
      <c r="C15" s="20">
        <f>IF(ISBLANK('Raw counts'!C16),"",'Raw counts'!$W$66*'Raw counts'!$X16*'Raw counts'!C$67)</f>
        <v>43.484532169292088</v>
      </c>
      <c r="D15" s="20">
        <f>IF(ISBLANK('Raw counts'!D16),"",'Raw counts'!$W$66*'Raw counts'!$X16*'Raw counts'!D$67)</f>
        <v>5.6481305750616819</v>
      </c>
      <c r="E15" s="20">
        <f>IF(ISBLANK('Raw counts'!E16),"",'Raw counts'!$W$66*'Raw counts'!$X16*'Raw counts'!E$67)</f>
        <v>8.3810969823495913</v>
      </c>
      <c r="F15" s="20">
        <f>IF(ISBLANK('Raw counts'!F16),"",'Raw counts'!$W$66*'Raw counts'!$X16*'Raw counts'!F$67)</f>
        <v>45.063579426836213</v>
      </c>
      <c r="G15" s="20">
        <f>IF(ISBLANK('Raw counts'!G16),"",'Raw counts'!$W$66*'Raw counts'!$X16*'Raw counts'!G$67)</f>
        <v>52.776617954070979</v>
      </c>
      <c r="H15" s="20">
        <f>IF(ISBLANK('Raw counts'!H16),"",'Raw counts'!$W$66*'Raw counts'!$X16*'Raw counts'!H$67)</f>
        <v>74.822546972860124</v>
      </c>
      <c r="I15" s="20">
        <f>IF(ISBLANK('Raw counts'!I16),"",'Raw counts'!$W$66*'Raw counts'!$X16*'Raw counts'!I$67)</f>
        <v>7.8952362877206301</v>
      </c>
      <c r="J15" s="20">
        <f>IF(ISBLANK('Raw counts'!J16),"",'Raw counts'!$W$66*'Raw counts'!$X16*'Raw counts'!J$67)</f>
        <v>6.8627823116340858</v>
      </c>
      <c r="K15" s="20">
        <f>IF(ISBLANK('Raw counts'!K16),"",'Raw counts'!$W$66*'Raw counts'!$X16*'Raw counts'!K$67)</f>
        <v>20.89200986904536</v>
      </c>
      <c r="L15" s="20">
        <f>IF(ISBLANK('Raw counts'!L16),"",'Raw counts'!$W$66*'Raw counts'!$X16*'Raw counts'!L$67)</f>
        <v>5.22300246726134</v>
      </c>
      <c r="M15" s="20" t="str">
        <f>IF(ISBLANK('Raw counts'!M16),"",'Raw counts'!$W$66*'Raw counts'!$X16*'Raw counts'!M$67)</f>
        <v/>
      </c>
      <c r="N15" s="20" t="str">
        <f>IF(ISBLANK('Raw counts'!N16),"",'Raw counts'!$W$66*'Raw counts'!$X16*'Raw counts'!N$67)</f>
        <v/>
      </c>
      <c r="O15" s="20" t="str">
        <f>IF(ISBLANK('Raw counts'!O16),"",'Raw counts'!$W$66*'Raw counts'!$X16*'Raw counts'!O$67)</f>
        <v/>
      </c>
      <c r="P15" s="20" t="str">
        <f>IF(ISBLANK('Raw counts'!P16),"",'Raw counts'!$W$66*'Raw counts'!$X16*'Raw counts'!P$67)</f>
        <v/>
      </c>
      <c r="Q15" s="20" t="str">
        <f>IF(ISBLANK('Raw counts'!Q16),"",'Raw counts'!$W$66*'Raw counts'!$X16*'Raw counts'!Q$67)</f>
        <v/>
      </c>
      <c r="R15" s="20" t="str">
        <f>IF(ISBLANK('Raw counts'!R16),"",'Raw counts'!$W$66*'Raw counts'!$X16*'Raw counts'!R$67)</f>
        <v/>
      </c>
      <c r="S15" s="20" t="str">
        <f>IF(ISBLANK('Raw counts'!S16),"",'Raw counts'!$W$66*'Raw counts'!$X16*'Raw counts'!S$67)</f>
        <v/>
      </c>
      <c r="T15" s="20" t="str">
        <f>IF(ISBLANK('Raw counts'!T16),"",'Raw counts'!$W$66*'Raw counts'!$X16*'Raw counts'!T$67)</f>
        <v/>
      </c>
      <c r="U15" s="20" t="str">
        <f>IF(ISBLANK('Raw counts'!U16),"",'Raw counts'!$W$66*'Raw counts'!$X16*'Raw counts'!U$67)</f>
        <v/>
      </c>
      <c r="V15" s="6"/>
      <c r="W15" s="6">
        <f t="shared" si="2"/>
        <v>320</v>
      </c>
      <c r="X15" s="7">
        <f t="shared" si="1"/>
        <v>6.0732586828620191E-2</v>
      </c>
    </row>
    <row r="16" spans="1:24" x14ac:dyDescent="0.15">
      <c r="A16" s="18" t="str">
        <f>IF(ISBLANK('Raw counts'!A17),"",'Raw counts'!A17)</f>
        <v xml:space="preserve">Other brands have more shopper or loyalty card offers                       </v>
      </c>
      <c r="B16" s="20">
        <f>IF(ISBLANK('Raw counts'!B17),"",'Raw counts'!$W$66*'Raw counts'!$X17*'Raw counts'!B$67)</f>
        <v>44.055418485481113</v>
      </c>
      <c r="C16" s="20">
        <f>IF(ISBLANK('Raw counts'!C17),"",'Raw counts'!$W$66*'Raw counts'!$X17*'Raw counts'!C$67)</f>
        <v>39.13607895236288</v>
      </c>
      <c r="D16" s="20">
        <f>IF(ISBLANK('Raw counts'!D17),"",'Raw counts'!$W$66*'Raw counts'!$X17*'Raw counts'!D$67)</f>
        <v>5.0833175175555132</v>
      </c>
      <c r="E16" s="20">
        <f>IF(ISBLANK('Raw counts'!E17),"",'Raw counts'!$W$66*'Raw counts'!$X17*'Raw counts'!E$67)</f>
        <v>7.5429872841146324</v>
      </c>
      <c r="F16" s="20">
        <f>IF(ISBLANK('Raw counts'!F17),"",'Raw counts'!$W$66*'Raw counts'!$X17*'Raw counts'!F$67)</f>
        <v>40.557221484152592</v>
      </c>
      <c r="G16" s="20">
        <f>IF(ISBLANK('Raw counts'!G17),"",'Raw counts'!$W$66*'Raw counts'!$X17*'Raw counts'!G$67)</f>
        <v>47.49895615866388</v>
      </c>
      <c r="H16" s="20">
        <f>IF(ISBLANK('Raw counts'!H17),"",'Raw counts'!$W$66*'Raw counts'!$X17*'Raw counts'!H$67)</f>
        <v>67.340292275574114</v>
      </c>
      <c r="I16" s="20">
        <f>IF(ISBLANK('Raw counts'!I17),"",'Raw counts'!$W$66*'Raw counts'!$X17*'Raw counts'!I$67)</f>
        <v>7.1057126589485673</v>
      </c>
      <c r="J16" s="20">
        <f>IF(ISBLANK('Raw counts'!J17),"",'Raw counts'!$W$66*'Raw counts'!$X17*'Raw counts'!J$67)</f>
        <v>6.1765040804706768</v>
      </c>
      <c r="K16" s="20">
        <f>IF(ISBLANK('Raw counts'!K17),"",'Raw counts'!$W$66*'Raw counts'!$X17*'Raw counts'!K$67)</f>
        <v>18.802808882140823</v>
      </c>
      <c r="L16" s="20">
        <f>IF(ISBLANK('Raw counts'!L17),"",'Raw counts'!$W$66*'Raw counts'!$X17*'Raw counts'!L$67)</f>
        <v>4.7007022205352058</v>
      </c>
      <c r="M16" s="20" t="str">
        <f>IF(ISBLANK('Raw counts'!M17),"",'Raw counts'!$W$66*'Raw counts'!$X17*'Raw counts'!M$67)</f>
        <v/>
      </c>
      <c r="N16" s="20" t="str">
        <f>IF(ISBLANK('Raw counts'!N17),"",'Raw counts'!$W$66*'Raw counts'!$X17*'Raw counts'!N$67)</f>
        <v/>
      </c>
      <c r="O16" s="20" t="str">
        <f>IF(ISBLANK('Raw counts'!O17),"",'Raw counts'!$W$66*'Raw counts'!$X17*'Raw counts'!O$67)</f>
        <v/>
      </c>
      <c r="P16" s="20" t="str">
        <f>IF(ISBLANK('Raw counts'!P17),"",'Raw counts'!$W$66*'Raw counts'!$X17*'Raw counts'!P$67)</f>
        <v/>
      </c>
      <c r="Q16" s="20" t="str">
        <f>IF(ISBLANK('Raw counts'!Q17),"",'Raw counts'!$W$66*'Raw counts'!$X17*'Raw counts'!Q$67)</f>
        <v/>
      </c>
      <c r="R16" s="20" t="str">
        <f>IF(ISBLANK('Raw counts'!R17),"",'Raw counts'!$W$66*'Raw counts'!$X17*'Raw counts'!R$67)</f>
        <v/>
      </c>
      <c r="S16" s="20" t="str">
        <f>IF(ISBLANK('Raw counts'!S17),"",'Raw counts'!$W$66*'Raw counts'!$X17*'Raw counts'!S$67)</f>
        <v/>
      </c>
      <c r="T16" s="20" t="str">
        <f>IF(ISBLANK('Raw counts'!T17),"",'Raw counts'!$W$66*'Raw counts'!$X17*'Raw counts'!T$67)</f>
        <v/>
      </c>
      <c r="U16" s="20" t="str">
        <f>IF(ISBLANK('Raw counts'!U17),"",'Raw counts'!$W$66*'Raw counts'!$X17*'Raw counts'!U$67)</f>
        <v/>
      </c>
      <c r="V16" s="6"/>
      <c r="W16" s="6">
        <f t="shared" si="2"/>
        <v>288.00000000000006</v>
      </c>
      <c r="X16" s="7">
        <f t="shared" si="1"/>
        <v>5.4659328145758183E-2</v>
      </c>
    </row>
    <row r="17" spans="1:24" x14ac:dyDescent="0.15">
      <c r="A17" s="18" t="str">
        <f>IF(ISBLANK('Raw counts'!A18),"",'Raw counts'!A18)</f>
        <v xml:space="preserve">Recommended another brand by others(i.e. family members/peers or iWOM)      </v>
      </c>
      <c r="B17" s="20">
        <f>IF(ISBLANK('Raw counts'!B18),"",'Raw counts'!$W$66*'Raw counts'!$X18*'Raw counts'!B$67)</f>
        <v>44.973239703928634</v>
      </c>
      <c r="C17" s="20">
        <f>IF(ISBLANK('Raw counts'!C18),"",'Raw counts'!$W$66*'Raw counts'!$X18*'Raw counts'!C$67)</f>
        <v>39.951413930537107</v>
      </c>
      <c r="D17" s="20">
        <f>IF(ISBLANK('Raw counts'!D18),"",'Raw counts'!$W$66*'Raw counts'!$X18*'Raw counts'!D$67)</f>
        <v>5.1892199658379203</v>
      </c>
      <c r="E17" s="20">
        <f>IF(ISBLANK('Raw counts'!E18),"",'Raw counts'!$W$66*'Raw counts'!$X18*'Raw counts'!E$67)</f>
        <v>7.7001328525336872</v>
      </c>
      <c r="F17" s="20">
        <f>IF(ISBLANK('Raw counts'!F18),"",'Raw counts'!$W$66*'Raw counts'!$X18*'Raw counts'!F$67)</f>
        <v>41.402163598405771</v>
      </c>
      <c r="G17" s="20">
        <f>IF(ISBLANK('Raw counts'!G18),"",'Raw counts'!$W$66*'Raw counts'!$X18*'Raw counts'!G$67)</f>
        <v>48.488517745302708</v>
      </c>
      <c r="H17" s="20">
        <f>IF(ISBLANK('Raw counts'!H18),"",'Raw counts'!$W$66*'Raw counts'!$X18*'Raw counts'!H$67)</f>
        <v>68.743215031315231</v>
      </c>
      <c r="I17" s="20">
        <f>IF(ISBLANK('Raw counts'!I18),"",'Raw counts'!$W$66*'Raw counts'!$X18*'Raw counts'!I$67)</f>
        <v>7.2537483393433293</v>
      </c>
      <c r="J17" s="20">
        <f>IF(ISBLANK('Raw counts'!J18),"",'Raw counts'!$W$66*'Raw counts'!$X18*'Raw counts'!J$67)</f>
        <v>6.3051812488138159</v>
      </c>
      <c r="K17" s="20">
        <f>IF(ISBLANK('Raw counts'!K18),"",'Raw counts'!$W$66*'Raw counts'!$X18*'Raw counts'!K$67)</f>
        <v>19.194534067185423</v>
      </c>
      <c r="L17" s="20">
        <f>IF(ISBLANK('Raw counts'!L18),"",'Raw counts'!$W$66*'Raw counts'!$X18*'Raw counts'!L$67)</f>
        <v>4.7986335167963556</v>
      </c>
      <c r="M17" s="20" t="str">
        <f>IF(ISBLANK('Raw counts'!M18),"",'Raw counts'!$W$66*'Raw counts'!$X18*'Raw counts'!M$67)</f>
        <v/>
      </c>
      <c r="N17" s="20" t="str">
        <f>IF(ISBLANK('Raw counts'!N18),"",'Raw counts'!$W$66*'Raw counts'!$X18*'Raw counts'!N$67)</f>
        <v/>
      </c>
      <c r="O17" s="20" t="str">
        <f>IF(ISBLANK('Raw counts'!O18),"",'Raw counts'!$W$66*'Raw counts'!$X18*'Raw counts'!O$67)</f>
        <v/>
      </c>
      <c r="P17" s="20" t="str">
        <f>IF(ISBLANK('Raw counts'!P18),"",'Raw counts'!$W$66*'Raw counts'!$X18*'Raw counts'!P$67)</f>
        <v/>
      </c>
      <c r="Q17" s="20" t="str">
        <f>IF(ISBLANK('Raw counts'!Q18),"",'Raw counts'!$W$66*'Raw counts'!$X18*'Raw counts'!Q$67)</f>
        <v/>
      </c>
      <c r="R17" s="20" t="str">
        <f>IF(ISBLANK('Raw counts'!R18),"",'Raw counts'!$W$66*'Raw counts'!$X18*'Raw counts'!R$67)</f>
        <v/>
      </c>
      <c r="S17" s="20" t="str">
        <f>IF(ISBLANK('Raw counts'!S18),"",'Raw counts'!$W$66*'Raw counts'!$X18*'Raw counts'!S$67)</f>
        <v/>
      </c>
      <c r="T17" s="20" t="str">
        <f>IF(ISBLANK('Raw counts'!T18),"",'Raw counts'!$W$66*'Raw counts'!$X18*'Raw counts'!T$67)</f>
        <v/>
      </c>
      <c r="U17" s="20" t="str">
        <f>IF(ISBLANK('Raw counts'!U18),"",'Raw counts'!$W$66*'Raw counts'!$X18*'Raw counts'!U$67)</f>
        <v/>
      </c>
      <c r="V17" s="6"/>
      <c r="W17" s="6">
        <f t="shared" si="2"/>
        <v>294</v>
      </c>
      <c r="X17" s="7">
        <f t="shared" si="1"/>
        <v>5.5798064148794797E-2</v>
      </c>
    </row>
    <row r="18" spans="1:24" x14ac:dyDescent="0.15">
      <c r="A18" s="18" t="str">
        <f>IF(ISBLANK('Raw counts'!A19),"",'Raw counts'!A19)</f>
        <v xml:space="preserve">In-store salesperson or advisor recommended another brand                   </v>
      </c>
      <c r="B18" s="20">
        <f>IF(ISBLANK('Raw counts'!B19),"",'Raw counts'!$W$66*'Raw counts'!$X19*'Raw counts'!B$67)</f>
        <v>44.208388688555701</v>
      </c>
      <c r="C18" s="20">
        <f>IF(ISBLANK('Raw counts'!C19),"",'Raw counts'!$W$66*'Raw counts'!$X19*'Raw counts'!C$67)</f>
        <v>39.271968115391921</v>
      </c>
      <c r="D18" s="20">
        <f>IF(ISBLANK('Raw counts'!D19),"",'Raw counts'!$W$66*'Raw counts'!$X19*'Raw counts'!D$67)</f>
        <v>5.1009679256025811</v>
      </c>
      <c r="E18" s="20">
        <f>IF(ISBLANK('Raw counts'!E19),"",'Raw counts'!$W$66*'Raw counts'!$X19*'Raw counts'!E$67)</f>
        <v>7.5691782121844753</v>
      </c>
      <c r="F18" s="20">
        <f>IF(ISBLANK('Raw counts'!F19),"",'Raw counts'!$W$66*'Raw counts'!$X19*'Raw counts'!F$67)</f>
        <v>40.698045169861459</v>
      </c>
      <c r="G18" s="20">
        <f>IF(ISBLANK('Raw counts'!G19),"",'Raw counts'!$W$66*'Raw counts'!$X19*'Raw counts'!G$67)</f>
        <v>47.663883089770351</v>
      </c>
      <c r="H18" s="20">
        <f>IF(ISBLANK('Raw counts'!H19),"",'Raw counts'!$W$66*'Raw counts'!$X19*'Raw counts'!H$67)</f>
        <v>67.5741127348643</v>
      </c>
      <c r="I18" s="20">
        <f>IF(ISBLANK('Raw counts'!I19),"",'Raw counts'!$W$66*'Raw counts'!$X19*'Raw counts'!I$67)</f>
        <v>7.1303852723476941</v>
      </c>
      <c r="J18" s="20">
        <f>IF(ISBLANK('Raw counts'!J19),"",'Raw counts'!$W$66*'Raw counts'!$X19*'Raw counts'!J$67)</f>
        <v>6.1979502751945335</v>
      </c>
      <c r="K18" s="20">
        <f>IF(ISBLANK('Raw counts'!K19),"",'Raw counts'!$W$66*'Raw counts'!$X19*'Raw counts'!K$67)</f>
        <v>18.86809641298159</v>
      </c>
      <c r="L18" s="20">
        <f>IF(ISBLANK('Raw counts'!L19),"",'Raw counts'!$W$66*'Raw counts'!$X19*'Raw counts'!L$67)</f>
        <v>4.7170241032453974</v>
      </c>
      <c r="M18" s="20" t="str">
        <f>IF(ISBLANK('Raw counts'!M19),"",'Raw counts'!$W$66*'Raw counts'!$X19*'Raw counts'!M$67)</f>
        <v/>
      </c>
      <c r="N18" s="20" t="str">
        <f>IF(ISBLANK('Raw counts'!N19),"",'Raw counts'!$W$66*'Raw counts'!$X19*'Raw counts'!N$67)</f>
        <v/>
      </c>
      <c r="O18" s="20" t="str">
        <f>IF(ISBLANK('Raw counts'!O19),"",'Raw counts'!$W$66*'Raw counts'!$X19*'Raw counts'!O$67)</f>
        <v/>
      </c>
      <c r="P18" s="20" t="str">
        <f>IF(ISBLANK('Raw counts'!P19),"",'Raw counts'!$W$66*'Raw counts'!$X19*'Raw counts'!P$67)</f>
        <v/>
      </c>
      <c r="Q18" s="20" t="str">
        <f>IF(ISBLANK('Raw counts'!Q19),"",'Raw counts'!$W$66*'Raw counts'!$X19*'Raw counts'!Q$67)</f>
        <v/>
      </c>
      <c r="R18" s="20" t="str">
        <f>IF(ISBLANK('Raw counts'!R19),"",'Raw counts'!$W$66*'Raw counts'!$X19*'Raw counts'!R$67)</f>
        <v/>
      </c>
      <c r="S18" s="20" t="str">
        <f>IF(ISBLANK('Raw counts'!S19),"",'Raw counts'!$W$66*'Raw counts'!$X19*'Raw counts'!S$67)</f>
        <v/>
      </c>
      <c r="T18" s="20" t="str">
        <f>IF(ISBLANK('Raw counts'!T19),"",'Raw counts'!$W$66*'Raw counts'!$X19*'Raw counts'!T$67)</f>
        <v/>
      </c>
      <c r="U18" s="20" t="str">
        <f>IF(ISBLANK('Raw counts'!U19),"",'Raw counts'!$W$66*'Raw counts'!$X19*'Raw counts'!U$67)</f>
        <v/>
      </c>
      <c r="V18" s="6"/>
      <c r="W18" s="6">
        <f t="shared" si="2"/>
        <v>289</v>
      </c>
      <c r="X18" s="7">
        <f t="shared" si="1"/>
        <v>5.4849117479597607E-2</v>
      </c>
    </row>
    <row r="19" spans="1:24" ht="25.5" x14ac:dyDescent="0.15">
      <c r="A19" s="18" t="str">
        <f>IF(ISBLANK('Raw counts'!A20),"",'Raw counts'!A20)</f>
        <v xml:space="preserve">Researched online while shopping and found negative reviews of the product  </v>
      </c>
      <c r="B19" s="20">
        <f>IF(ISBLANK('Raw counts'!B20),"",'Raw counts'!$W$66*'Raw counts'!$X20*'Raw counts'!B$67)</f>
        <v>40.690074017840196</v>
      </c>
      <c r="C19" s="20">
        <f>IF(ISBLANK('Raw counts'!C20),"",'Raw counts'!$W$66*'Raw counts'!$X20*'Raw counts'!C$67)</f>
        <v>36.146517365724051</v>
      </c>
      <c r="D19" s="20">
        <f>IF(ISBLANK('Raw counts'!D20),"",'Raw counts'!$W$66*'Raw counts'!$X20*'Raw counts'!D$67)</f>
        <v>4.695008540520023</v>
      </c>
      <c r="E19" s="20">
        <f>IF(ISBLANK('Raw counts'!E20),"",'Raw counts'!$W$66*'Raw counts'!$X20*'Raw counts'!E$67)</f>
        <v>6.9667868665780981</v>
      </c>
      <c r="F19" s="20">
        <f>IF(ISBLANK('Raw counts'!F20),"",'Raw counts'!$W$66*'Raw counts'!$X20*'Raw counts'!F$67)</f>
        <v>37.459100398557602</v>
      </c>
      <c r="G19" s="20">
        <f>IF(ISBLANK('Raw counts'!G20),"",'Raw counts'!$W$66*'Raw counts'!$X20*'Raw counts'!G$67)</f>
        <v>43.870563674321502</v>
      </c>
      <c r="H19" s="20">
        <f>IF(ISBLANK('Raw counts'!H20),"",'Raw counts'!$W$66*'Raw counts'!$X20*'Raw counts'!H$67)</f>
        <v>62.196242171189979</v>
      </c>
      <c r="I19" s="20">
        <f>IF(ISBLANK('Raw counts'!I20),"",'Raw counts'!$W$66*'Raw counts'!$X20*'Raw counts'!I$67)</f>
        <v>6.5629151641677739</v>
      </c>
      <c r="J19" s="20">
        <f>IF(ISBLANK('Raw counts'!J20),"",'Raw counts'!$W$66*'Raw counts'!$X20*'Raw counts'!J$67)</f>
        <v>5.7046877965458336</v>
      </c>
      <c r="K19" s="20">
        <f>IF(ISBLANK('Raw counts'!K20),"",'Raw counts'!$W$66*'Raw counts'!$X20*'Raw counts'!K$67)</f>
        <v>17.366483203643956</v>
      </c>
      <c r="L19" s="20">
        <f>IF(ISBLANK('Raw counts'!L20),"",'Raw counts'!$W$66*'Raw counts'!$X20*'Raw counts'!L$67)</f>
        <v>4.3416208009109889</v>
      </c>
      <c r="M19" s="20" t="str">
        <f>IF(ISBLANK('Raw counts'!M20),"",'Raw counts'!$W$66*'Raw counts'!$X20*'Raw counts'!M$67)</f>
        <v/>
      </c>
      <c r="N19" s="20" t="str">
        <f>IF(ISBLANK('Raw counts'!N20),"",'Raw counts'!$W$66*'Raw counts'!$X20*'Raw counts'!N$67)</f>
        <v/>
      </c>
      <c r="O19" s="20" t="str">
        <f>IF(ISBLANK('Raw counts'!O20),"",'Raw counts'!$W$66*'Raw counts'!$X20*'Raw counts'!O$67)</f>
        <v/>
      </c>
      <c r="P19" s="20" t="str">
        <f>IF(ISBLANK('Raw counts'!P20),"",'Raw counts'!$W$66*'Raw counts'!$X20*'Raw counts'!P$67)</f>
        <v/>
      </c>
      <c r="Q19" s="20" t="str">
        <f>IF(ISBLANK('Raw counts'!Q20),"",'Raw counts'!$W$66*'Raw counts'!$X20*'Raw counts'!Q$67)</f>
        <v/>
      </c>
      <c r="R19" s="20" t="str">
        <f>IF(ISBLANK('Raw counts'!R20),"",'Raw counts'!$W$66*'Raw counts'!$X20*'Raw counts'!R$67)</f>
        <v/>
      </c>
      <c r="S19" s="20" t="str">
        <f>IF(ISBLANK('Raw counts'!S20),"",'Raw counts'!$W$66*'Raw counts'!$X20*'Raw counts'!S$67)</f>
        <v/>
      </c>
      <c r="T19" s="20" t="str">
        <f>IF(ISBLANK('Raw counts'!T20),"",'Raw counts'!$W$66*'Raw counts'!$X20*'Raw counts'!T$67)</f>
        <v/>
      </c>
      <c r="U19" s="20" t="str">
        <f>IF(ISBLANK('Raw counts'!U20),"",'Raw counts'!$W$66*'Raw counts'!$X20*'Raw counts'!U$67)</f>
        <v/>
      </c>
      <c r="V19" s="6"/>
      <c r="W19" s="6">
        <f t="shared" si="2"/>
        <v>266.00000000000006</v>
      </c>
      <c r="X19" s="7">
        <f t="shared" si="1"/>
        <v>5.0483962801290541E-2</v>
      </c>
    </row>
    <row r="20" spans="1:24" ht="25.5" x14ac:dyDescent="0.15">
      <c r="A20" s="18" t="str">
        <f>IF(ISBLANK('Raw counts'!A21),"",'Raw counts'!A21)</f>
        <v xml:space="preserve">Dentist recommended another brand                                           </v>
      </c>
      <c r="B20" s="20">
        <f>IF(ISBLANK('Raw counts'!B21),"",'Raw counts'!$W$66*'Raw counts'!$X21*'Raw counts'!B$67)</f>
        <v>40.537103814765608</v>
      </c>
      <c r="C20" s="20">
        <f>IF(ISBLANK('Raw counts'!C21),"",'Raw counts'!$W$66*'Raw counts'!$X21*'Raw counts'!C$67)</f>
        <v>36.01062820269501</v>
      </c>
      <c r="D20" s="20">
        <f>IF(ISBLANK('Raw counts'!D21),"",'Raw counts'!$W$66*'Raw counts'!$X21*'Raw counts'!D$67)</f>
        <v>4.6773581324729552</v>
      </c>
      <c r="E20" s="20">
        <f>IF(ISBLANK('Raw counts'!E21),"",'Raw counts'!$W$66*'Raw counts'!$X21*'Raw counts'!E$67)</f>
        <v>6.9405959385082561</v>
      </c>
      <c r="F20" s="20">
        <f>IF(ISBLANK('Raw counts'!F21),"",'Raw counts'!$W$66*'Raw counts'!$X21*'Raw counts'!F$67)</f>
        <v>37.318276712848743</v>
      </c>
      <c r="G20" s="20">
        <f>IF(ISBLANK('Raw counts'!G21),"",'Raw counts'!$W$66*'Raw counts'!$X21*'Raw counts'!G$67)</f>
        <v>43.705636743215031</v>
      </c>
      <c r="H20" s="20">
        <f>IF(ISBLANK('Raw counts'!H21),"",'Raw counts'!$W$66*'Raw counts'!$X21*'Raw counts'!H$67)</f>
        <v>61.962421711899786</v>
      </c>
      <c r="I20" s="20">
        <f>IF(ISBLANK('Raw counts'!I21),"",'Raw counts'!$W$66*'Raw counts'!$X21*'Raw counts'!I$67)</f>
        <v>6.538242550768647</v>
      </c>
      <c r="J20" s="20">
        <f>IF(ISBLANK('Raw counts'!J21),"",'Raw counts'!$W$66*'Raw counts'!$X21*'Raw counts'!J$67)</f>
        <v>5.6832416018219769</v>
      </c>
      <c r="K20" s="20">
        <f>IF(ISBLANK('Raw counts'!K21),"",'Raw counts'!$W$66*'Raw counts'!$X21*'Raw counts'!K$67)</f>
        <v>17.301195672803185</v>
      </c>
      <c r="L20" s="20">
        <f>IF(ISBLANK('Raw counts'!L21),"",'Raw counts'!$W$66*'Raw counts'!$X21*'Raw counts'!L$67)</f>
        <v>4.3252989182007964</v>
      </c>
      <c r="M20" s="20" t="str">
        <f>IF(ISBLANK('Raw counts'!M21),"",'Raw counts'!$W$66*'Raw counts'!$X21*'Raw counts'!M$67)</f>
        <v/>
      </c>
      <c r="N20" s="20" t="str">
        <f>IF(ISBLANK('Raw counts'!N21),"",'Raw counts'!$W$66*'Raw counts'!$X21*'Raw counts'!N$67)</f>
        <v/>
      </c>
      <c r="O20" s="20" t="str">
        <f>IF(ISBLANK('Raw counts'!O21),"",'Raw counts'!$W$66*'Raw counts'!$X21*'Raw counts'!O$67)</f>
        <v/>
      </c>
      <c r="P20" s="20" t="str">
        <f>IF(ISBLANK('Raw counts'!P21),"",'Raw counts'!$W$66*'Raw counts'!$X21*'Raw counts'!P$67)</f>
        <v/>
      </c>
      <c r="Q20" s="20" t="str">
        <f>IF(ISBLANK('Raw counts'!Q21),"",'Raw counts'!$W$66*'Raw counts'!$X21*'Raw counts'!Q$67)</f>
        <v/>
      </c>
      <c r="R20" s="20" t="str">
        <f>IF(ISBLANK('Raw counts'!R21),"",'Raw counts'!$W$66*'Raw counts'!$X21*'Raw counts'!R$67)</f>
        <v/>
      </c>
      <c r="S20" s="20" t="str">
        <f>IF(ISBLANK('Raw counts'!S21),"",'Raw counts'!$W$66*'Raw counts'!$X21*'Raw counts'!S$67)</f>
        <v/>
      </c>
      <c r="T20" s="20" t="str">
        <f>IF(ISBLANK('Raw counts'!T21),"",'Raw counts'!$W$66*'Raw counts'!$X21*'Raw counts'!T$67)</f>
        <v/>
      </c>
      <c r="U20" s="20" t="str">
        <f>IF(ISBLANK('Raw counts'!U21),"",'Raw counts'!$W$66*'Raw counts'!$X21*'Raw counts'!U$67)</f>
        <v/>
      </c>
      <c r="V20" s="6"/>
      <c r="W20" s="6">
        <f t="shared" si="2"/>
        <v>265</v>
      </c>
      <c r="X20" s="7">
        <f t="shared" si="1"/>
        <v>5.0294173467451096E-2</v>
      </c>
    </row>
    <row r="21" spans="1:24" ht="25.5" x14ac:dyDescent="0.15">
      <c r="A21" s="18" t="str">
        <f>IF(ISBLANK('Raw counts'!A22),"",'Raw counts'!A22)</f>
        <v xml:space="preserve">Some other reason                                                           </v>
      </c>
      <c r="B21" s="20">
        <f>IF(ISBLANK('Raw counts'!B22),"",'Raw counts'!$W$66*'Raw counts'!$X22*'Raw counts'!B$67)</f>
        <v>4.2831656860884415</v>
      </c>
      <c r="C21" s="20">
        <f>IF(ISBLANK('Raw counts'!C22),"",'Raw counts'!$W$66*'Raw counts'!$X22*'Raw counts'!C$67)</f>
        <v>3.8048965648130579</v>
      </c>
      <c r="D21" s="20">
        <f>IF(ISBLANK('Raw counts'!D22),"",'Raw counts'!$W$66*'Raw counts'!$X22*'Raw counts'!D$67)</f>
        <v>0.49421142531789714</v>
      </c>
      <c r="E21" s="20">
        <f>IF(ISBLANK('Raw counts'!E22),"",'Raw counts'!$W$66*'Raw counts'!$X22*'Raw counts'!E$67)</f>
        <v>0.73334598595558931</v>
      </c>
      <c r="F21" s="20">
        <f>IF(ISBLANK('Raw counts'!F22),"",'Raw counts'!$W$66*'Raw counts'!$X22*'Raw counts'!F$67)</f>
        <v>3.9430631998481687</v>
      </c>
      <c r="G21" s="20">
        <f>IF(ISBLANK('Raw counts'!G22),"",'Raw counts'!$W$66*'Raw counts'!$X22*'Raw counts'!G$67)</f>
        <v>4.6179540709812104</v>
      </c>
      <c r="H21" s="20">
        <f>IF(ISBLANK('Raw counts'!H22),"",'Raw counts'!$W$66*'Raw counts'!$X22*'Raw counts'!H$67)</f>
        <v>6.546972860125261</v>
      </c>
      <c r="I21" s="20">
        <f>IF(ISBLANK('Raw counts'!I22),"",'Raw counts'!$W$66*'Raw counts'!$X22*'Raw counts'!I$67)</f>
        <v>0.6908331751755552</v>
      </c>
      <c r="J21" s="20">
        <f>IF(ISBLANK('Raw counts'!J22),"",'Raw counts'!$W$66*'Raw counts'!$X22*'Raw counts'!J$67)</f>
        <v>0.60049345226798256</v>
      </c>
      <c r="K21" s="20">
        <f>IF(ISBLANK('Raw counts'!K22),"",'Raw counts'!$W$66*'Raw counts'!$X22*'Raw counts'!K$67)</f>
        <v>1.8280508635414687</v>
      </c>
      <c r="L21" s="20">
        <f>IF(ISBLANK('Raw counts'!L22),"",'Raw counts'!$W$66*'Raw counts'!$X22*'Raw counts'!L$67)</f>
        <v>0.45701271588536718</v>
      </c>
      <c r="M21" s="20" t="str">
        <f>IF(ISBLANK('Raw counts'!M22),"",'Raw counts'!$W$66*'Raw counts'!$X22*'Raw counts'!M$67)</f>
        <v/>
      </c>
      <c r="N21" s="20" t="str">
        <f>IF(ISBLANK('Raw counts'!N22),"",'Raw counts'!$W$66*'Raw counts'!$X22*'Raw counts'!N$67)</f>
        <v/>
      </c>
      <c r="O21" s="20" t="str">
        <f>IF(ISBLANK('Raw counts'!O22),"",'Raw counts'!$W$66*'Raw counts'!$X22*'Raw counts'!O$67)</f>
        <v/>
      </c>
      <c r="P21" s="20" t="str">
        <f>IF(ISBLANK('Raw counts'!P22),"",'Raw counts'!$W$66*'Raw counts'!$X22*'Raw counts'!P$67)</f>
        <v/>
      </c>
      <c r="Q21" s="20" t="str">
        <f>IF(ISBLANK('Raw counts'!Q22),"",'Raw counts'!$W$66*'Raw counts'!$X22*'Raw counts'!Q$67)</f>
        <v/>
      </c>
      <c r="R21" s="20" t="str">
        <f>IF(ISBLANK('Raw counts'!R22),"",'Raw counts'!$W$66*'Raw counts'!$X22*'Raw counts'!R$67)</f>
        <v/>
      </c>
      <c r="S21" s="20" t="str">
        <f>IF(ISBLANK('Raw counts'!S22),"",'Raw counts'!$W$66*'Raw counts'!$X22*'Raw counts'!S$67)</f>
        <v/>
      </c>
      <c r="T21" s="20" t="str">
        <f>IF(ISBLANK('Raw counts'!T22),"",'Raw counts'!$W$66*'Raw counts'!$X22*'Raw counts'!T$67)</f>
        <v/>
      </c>
      <c r="U21" s="20" t="str">
        <f>IF(ISBLANK('Raw counts'!U22),"",'Raw counts'!$W$66*'Raw counts'!$X22*'Raw counts'!U$67)</f>
        <v/>
      </c>
      <c r="V21" s="6"/>
      <c r="W21" s="6">
        <f t="shared" si="2"/>
        <v>27.999999999999996</v>
      </c>
      <c r="X21" s="7">
        <f t="shared" si="1"/>
        <v>5.3141013475042657E-3</v>
      </c>
    </row>
    <row r="22" spans="1:24" ht="25.5" x14ac:dyDescent="0.15">
      <c r="A22" s="18" t="str">
        <f>IF(ISBLANK('Raw counts'!A23),"",'Raw counts'!A23)</f>
        <v/>
      </c>
      <c r="B22" s="20" t="str">
        <f>IF(ISBLANK('Raw counts'!B23),"",'Raw counts'!$W$66*'Raw counts'!$X23*'Raw counts'!B$67)</f>
        <v/>
      </c>
      <c r="C22" s="20" t="str">
        <f>IF(ISBLANK('Raw counts'!C23),"",'Raw counts'!$W$66*'Raw counts'!$X23*'Raw counts'!C$67)</f>
        <v/>
      </c>
      <c r="D22" s="20" t="str">
        <f>IF(ISBLANK('Raw counts'!D23),"",'Raw counts'!$W$66*'Raw counts'!$X23*'Raw counts'!D$67)</f>
        <v/>
      </c>
      <c r="E22" s="20" t="str">
        <f>IF(ISBLANK('Raw counts'!E23),"",'Raw counts'!$W$66*'Raw counts'!$X23*'Raw counts'!E$67)</f>
        <v/>
      </c>
      <c r="F22" s="20" t="str">
        <f>IF(ISBLANK('Raw counts'!F23),"",'Raw counts'!$W$66*'Raw counts'!$X23*'Raw counts'!F$67)</f>
        <v/>
      </c>
      <c r="G22" s="20" t="str">
        <f>IF(ISBLANK('Raw counts'!G23),"",'Raw counts'!$W$66*'Raw counts'!$X23*'Raw counts'!G$67)</f>
        <v/>
      </c>
      <c r="H22" s="20" t="str">
        <f>IF(ISBLANK('Raw counts'!H23),"",'Raw counts'!$W$66*'Raw counts'!$X23*'Raw counts'!H$67)</f>
        <v/>
      </c>
      <c r="I22" s="20" t="str">
        <f>IF(ISBLANK('Raw counts'!I23),"",'Raw counts'!$W$66*'Raw counts'!$X23*'Raw counts'!I$67)</f>
        <v/>
      </c>
      <c r="J22" s="20" t="str">
        <f>IF(ISBLANK('Raw counts'!J23),"",'Raw counts'!$W$66*'Raw counts'!$X23*'Raw counts'!J$67)</f>
        <v/>
      </c>
      <c r="K22" s="20" t="str">
        <f>IF(ISBLANK('Raw counts'!K23),"",'Raw counts'!$W$66*'Raw counts'!$X23*'Raw counts'!K$67)</f>
        <v/>
      </c>
      <c r="L22" s="20" t="str">
        <f>IF(ISBLANK('Raw counts'!L23),"",'Raw counts'!$W$66*'Raw counts'!$X23*'Raw counts'!L$67)</f>
        <v/>
      </c>
      <c r="M22" s="20" t="str">
        <f>IF(ISBLANK('Raw counts'!M23),"",'Raw counts'!$W$66*'Raw counts'!$X23*'Raw counts'!M$67)</f>
        <v/>
      </c>
      <c r="N22" s="20" t="str">
        <f>IF(ISBLANK('Raw counts'!N23),"",'Raw counts'!$W$66*'Raw counts'!$X23*'Raw counts'!N$67)</f>
        <v/>
      </c>
      <c r="O22" s="20" t="str">
        <f>IF(ISBLANK('Raw counts'!O23),"",'Raw counts'!$W$66*'Raw counts'!$X23*'Raw counts'!O$67)</f>
        <v/>
      </c>
      <c r="P22" s="20" t="str">
        <f>IF(ISBLANK('Raw counts'!P23),"",'Raw counts'!$W$66*'Raw counts'!$X23*'Raw counts'!P$67)</f>
        <v/>
      </c>
      <c r="Q22" s="20" t="str">
        <f>IF(ISBLANK('Raw counts'!Q23),"",'Raw counts'!$W$66*'Raw counts'!$X23*'Raw counts'!Q$67)</f>
        <v/>
      </c>
      <c r="R22" s="20" t="str">
        <f>IF(ISBLANK('Raw counts'!R23),"",'Raw counts'!$W$66*'Raw counts'!$X23*'Raw counts'!R$67)</f>
        <v/>
      </c>
      <c r="S22" s="20" t="str">
        <f>IF(ISBLANK('Raw counts'!S23),"",'Raw counts'!$W$66*'Raw counts'!$X23*'Raw counts'!S$67)</f>
        <v/>
      </c>
      <c r="T22" s="20" t="str">
        <f>IF(ISBLANK('Raw counts'!T23),"",'Raw counts'!$W$66*'Raw counts'!$X23*'Raw counts'!T$67)</f>
        <v/>
      </c>
      <c r="U22" s="20" t="str">
        <f>IF(ISBLANK('Raw counts'!U23),"",'Raw counts'!$W$66*'Raw counts'!$X23*'Raw counts'!U$67)</f>
        <v/>
      </c>
      <c r="V22" s="6"/>
      <c r="W22" s="6">
        <f t="shared" si="2"/>
        <v>0</v>
      </c>
      <c r="X22" s="7">
        <f t="shared" si="1"/>
        <v>0</v>
      </c>
    </row>
    <row r="23" spans="1:24" x14ac:dyDescent="0.15">
      <c r="A23" s="18" t="str">
        <f>IF(ISBLANK('Raw counts'!A24),"",'Raw counts'!A24)</f>
        <v/>
      </c>
      <c r="B23" s="20" t="str">
        <f>IF(ISBLANK('Raw counts'!B24),"",'Raw counts'!$W$66*'Raw counts'!$X24*'Raw counts'!B$67)</f>
        <v/>
      </c>
      <c r="C23" s="20" t="str">
        <f>IF(ISBLANK('Raw counts'!C24),"",'Raw counts'!$W$66*'Raw counts'!$X24*'Raw counts'!C$67)</f>
        <v/>
      </c>
      <c r="D23" s="20" t="str">
        <f>IF(ISBLANK('Raw counts'!D24),"",'Raw counts'!$W$66*'Raw counts'!$X24*'Raw counts'!D$67)</f>
        <v/>
      </c>
      <c r="E23" s="20" t="str">
        <f>IF(ISBLANK('Raw counts'!E24),"",'Raw counts'!$W$66*'Raw counts'!$X24*'Raw counts'!E$67)</f>
        <v/>
      </c>
      <c r="F23" s="20" t="str">
        <f>IF(ISBLANK('Raw counts'!F24),"",'Raw counts'!$W$66*'Raw counts'!$X24*'Raw counts'!F$67)</f>
        <v/>
      </c>
      <c r="G23" s="20" t="str">
        <f>IF(ISBLANK('Raw counts'!G24),"",'Raw counts'!$W$66*'Raw counts'!$X24*'Raw counts'!G$67)</f>
        <v/>
      </c>
      <c r="H23" s="20" t="str">
        <f>IF(ISBLANK('Raw counts'!H24),"",'Raw counts'!$W$66*'Raw counts'!$X24*'Raw counts'!H$67)</f>
        <v/>
      </c>
      <c r="I23" s="20" t="str">
        <f>IF(ISBLANK('Raw counts'!I24),"",'Raw counts'!$W$66*'Raw counts'!$X24*'Raw counts'!I$67)</f>
        <v/>
      </c>
      <c r="J23" s="20" t="str">
        <f>IF(ISBLANK('Raw counts'!J24),"",'Raw counts'!$W$66*'Raw counts'!$X24*'Raw counts'!J$67)</f>
        <v/>
      </c>
      <c r="K23" s="20" t="str">
        <f>IF(ISBLANK('Raw counts'!K24),"",'Raw counts'!$W$66*'Raw counts'!$X24*'Raw counts'!K$67)</f>
        <v/>
      </c>
      <c r="L23" s="20" t="str">
        <f>IF(ISBLANK('Raw counts'!L24),"",'Raw counts'!$W$66*'Raw counts'!$X24*'Raw counts'!L$67)</f>
        <v/>
      </c>
      <c r="M23" s="20" t="str">
        <f>IF(ISBLANK('Raw counts'!M24),"",'Raw counts'!$W$66*'Raw counts'!$X24*'Raw counts'!M$67)</f>
        <v/>
      </c>
      <c r="N23" s="20" t="str">
        <f>IF(ISBLANK('Raw counts'!N24),"",'Raw counts'!$W$66*'Raw counts'!$X24*'Raw counts'!N$67)</f>
        <v/>
      </c>
      <c r="O23" s="20" t="str">
        <f>IF(ISBLANK('Raw counts'!O24),"",'Raw counts'!$W$66*'Raw counts'!$X24*'Raw counts'!O$67)</f>
        <v/>
      </c>
      <c r="P23" s="20" t="str">
        <f>IF(ISBLANK('Raw counts'!P24),"",'Raw counts'!$W$66*'Raw counts'!$X24*'Raw counts'!P$67)</f>
        <v/>
      </c>
      <c r="Q23" s="20" t="str">
        <f>IF(ISBLANK('Raw counts'!Q24),"",'Raw counts'!$W$66*'Raw counts'!$X24*'Raw counts'!Q$67)</f>
        <v/>
      </c>
      <c r="R23" s="20" t="str">
        <f>IF(ISBLANK('Raw counts'!R24),"",'Raw counts'!$W$66*'Raw counts'!$X24*'Raw counts'!R$67)</f>
        <v/>
      </c>
      <c r="S23" s="20" t="str">
        <f>IF(ISBLANK('Raw counts'!S24),"",'Raw counts'!$W$66*'Raw counts'!$X24*'Raw counts'!S$67)</f>
        <v/>
      </c>
      <c r="T23" s="20" t="str">
        <f>IF(ISBLANK('Raw counts'!T24),"",'Raw counts'!$W$66*'Raw counts'!$X24*'Raw counts'!T$67)</f>
        <v/>
      </c>
      <c r="U23" s="20" t="str">
        <f>IF(ISBLANK('Raw counts'!U24),"",'Raw counts'!$W$66*'Raw counts'!$X24*'Raw counts'!U$67)</f>
        <v/>
      </c>
      <c r="V23" s="6"/>
      <c r="W23" s="6">
        <f t="shared" si="2"/>
        <v>0</v>
      </c>
      <c r="X23" s="7">
        <f t="shared" si="1"/>
        <v>0</v>
      </c>
    </row>
    <row r="24" spans="1:24" x14ac:dyDescent="0.15">
      <c r="A24" s="18" t="str">
        <f>IF(ISBLANK('Raw counts'!A25),"",'Raw counts'!A25)</f>
        <v/>
      </c>
      <c r="B24" s="20" t="str">
        <f>IF(ISBLANK('Raw counts'!B25),"",'Raw counts'!$W$66*'Raw counts'!$X25*'Raw counts'!B$67)</f>
        <v/>
      </c>
      <c r="C24" s="20" t="str">
        <f>IF(ISBLANK('Raw counts'!C25),"",'Raw counts'!$W$66*'Raw counts'!$X25*'Raw counts'!C$67)</f>
        <v/>
      </c>
      <c r="D24" s="20" t="str">
        <f>IF(ISBLANK('Raw counts'!D25),"",'Raw counts'!$W$66*'Raw counts'!$X25*'Raw counts'!D$67)</f>
        <v/>
      </c>
      <c r="E24" s="20" t="str">
        <f>IF(ISBLANK('Raw counts'!E25),"",'Raw counts'!$W$66*'Raw counts'!$X25*'Raw counts'!E$67)</f>
        <v/>
      </c>
      <c r="F24" s="20" t="str">
        <f>IF(ISBLANK('Raw counts'!F25),"",'Raw counts'!$W$66*'Raw counts'!$X25*'Raw counts'!F$67)</f>
        <v/>
      </c>
      <c r="G24" s="20" t="str">
        <f>IF(ISBLANK('Raw counts'!G25),"",'Raw counts'!$W$66*'Raw counts'!$X25*'Raw counts'!G$67)</f>
        <v/>
      </c>
      <c r="H24" s="20" t="str">
        <f>IF(ISBLANK('Raw counts'!H25),"",'Raw counts'!$W$66*'Raw counts'!$X25*'Raw counts'!H$67)</f>
        <v/>
      </c>
      <c r="I24" s="20" t="str">
        <f>IF(ISBLANK('Raw counts'!I25),"",'Raw counts'!$W$66*'Raw counts'!$X25*'Raw counts'!I$67)</f>
        <v/>
      </c>
      <c r="J24" s="20" t="str">
        <f>IF(ISBLANK('Raw counts'!J25),"",'Raw counts'!$W$66*'Raw counts'!$X25*'Raw counts'!J$67)</f>
        <v/>
      </c>
      <c r="K24" s="20" t="str">
        <f>IF(ISBLANK('Raw counts'!K25),"",'Raw counts'!$W$66*'Raw counts'!$X25*'Raw counts'!K$67)</f>
        <v/>
      </c>
      <c r="L24" s="20" t="str">
        <f>IF(ISBLANK('Raw counts'!L25),"",'Raw counts'!$W$66*'Raw counts'!$X25*'Raw counts'!L$67)</f>
        <v/>
      </c>
      <c r="M24" s="20" t="str">
        <f>IF(ISBLANK('Raw counts'!M25),"",'Raw counts'!$W$66*'Raw counts'!$X25*'Raw counts'!M$67)</f>
        <v/>
      </c>
      <c r="N24" s="20" t="str">
        <f>IF(ISBLANK('Raw counts'!N25),"",'Raw counts'!$W$66*'Raw counts'!$X25*'Raw counts'!N$67)</f>
        <v/>
      </c>
      <c r="O24" s="20" t="str">
        <f>IF(ISBLANK('Raw counts'!O25),"",'Raw counts'!$W$66*'Raw counts'!$X25*'Raw counts'!O$67)</f>
        <v/>
      </c>
      <c r="P24" s="20" t="str">
        <f>IF(ISBLANK('Raw counts'!P25),"",'Raw counts'!$W$66*'Raw counts'!$X25*'Raw counts'!P$67)</f>
        <v/>
      </c>
      <c r="Q24" s="20" t="str">
        <f>IF(ISBLANK('Raw counts'!Q25),"",'Raw counts'!$W$66*'Raw counts'!$X25*'Raw counts'!Q$67)</f>
        <v/>
      </c>
      <c r="R24" s="20" t="str">
        <f>IF(ISBLANK('Raw counts'!R25),"",'Raw counts'!$W$66*'Raw counts'!$X25*'Raw counts'!R$67)</f>
        <v/>
      </c>
      <c r="S24" s="20" t="str">
        <f>IF(ISBLANK('Raw counts'!S25),"",'Raw counts'!$W$66*'Raw counts'!$X25*'Raw counts'!S$67)</f>
        <v/>
      </c>
      <c r="T24" s="20" t="str">
        <f>IF(ISBLANK('Raw counts'!T25),"",'Raw counts'!$W$66*'Raw counts'!$X25*'Raw counts'!T$67)</f>
        <v/>
      </c>
      <c r="U24" s="20" t="str">
        <f>IF(ISBLANK('Raw counts'!U25),"",'Raw counts'!$W$66*'Raw counts'!$X25*'Raw counts'!U$67)</f>
        <v/>
      </c>
      <c r="V24" s="6"/>
      <c r="W24" s="6">
        <f t="shared" si="2"/>
        <v>0</v>
      </c>
      <c r="X24" s="7">
        <f t="shared" si="1"/>
        <v>0</v>
      </c>
    </row>
    <row r="25" spans="1:24" x14ac:dyDescent="0.15">
      <c r="A25" s="18" t="str">
        <f>IF(ISBLANK('Raw counts'!A26),"",'Raw counts'!A26)</f>
        <v/>
      </c>
      <c r="B25" s="20" t="str">
        <f>IF(ISBLANK('Raw counts'!B26),"",'Raw counts'!$W$66*'Raw counts'!$X26*'Raw counts'!B$67)</f>
        <v/>
      </c>
      <c r="C25" s="20" t="str">
        <f>IF(ISBLANK('Raw counts'!C26),"",'Raw counts'!$W$66*'Raw counts'!$X26*'Raw counts'!C$67)</f>
        <v/>
      </c>
      <c r="D25" s="20" t="str">
        <f>IF(ISBLANK('Raw counts'!D26),"",'Raw counts'!$W$66*'Raw counts'!$X26*'Raw counts'!D$67)</f>
        <v/>
      </c>
      <c r="E25" s="20" t="str">
        <f>IF(ISBLANK('Raw counts'!E26),"",'Raw counts'!$W$66*'Raw counts'!$X26*'Raw counts'!E$67)</f>
        <v/>
      </c>
      <c r="F25" s="20" t="str">
        <f>IF(ISBLANK('Raw counts'!F26),"",'Raw counts'!$W$66*'Raw counts'!$X26*'Raw counts'!F$67)</f>
        <v/>
      </c>
      <c r="G25" s="20" t="str">
        <f>IF(ISBLANK('Raw counts'!G26),"",'Raw counts'!$W$66*'Raw counts'!$X26*'Raw counts'!G$67)</f>
        <v/>
      </c>
      <c r="H25" s="20" t="str">
        <f>IF(ISBLANK('Raw counts'!H26),"",'Raw counts'!$W$66*'Raw counts'!$X26*'Raw counts'!H$67)</f>
        <v/>
      </c>
      <c r="I25" s="20" t="str">
        <f>IF(ISBLANK('Raw counts'!I26),"",'Raw counts'!$W$66*'Raw counts'!$X26*'Raw counts'!I$67)</f>
        <v/>
      </c>
      <c r="J25" s="20" t="str">
        <f>IF(ISBLANK('Raw counts'!J26),"",'Raw counts'!$W$66*'Raw counts'!$X26*'Raw counts'!J$67)</f>
        <v/>
      </c>
      <c r="K25" s="20" t="str">
        <f>IF(ISBLANK('Raw counts'!K26),"",'Raw counts'!$W$66*'Raw counts'!$X26*'Raw counts'!K$67)</f>
        <v/>
      </c>
      <c r="L25" s="20" t="str">
        <f>IF(ISBLANK('Raw counts'!L26),"",'Raw counts'!$W$66*'Raw counts'!$X26*'Raw counts'!L$67)</f>
        <v/>
      </c>
      <c r="M25" s="20" t="str">
        <f>IF(ISBLANK('Raw counts'!M26),"",'Raw counts'!$W$66*'Raw counts'!$X26*'Raw counts'!M$67)</f>
        <v/>
      </c>
      <c r="N25" s="20" t="str">
        <f>IF(ISBLANK('Raw counts'!N26),"",'Raw counts'!$W$66*'Raw counts'!$X26*'Raw counts'!N$67)</f>
        <v/>
      </c>
      <c r="O25" s="20" t="str">
        <f>IF(ISBLANK('Raw counts'!O26),"",'Raw counts'!$W$66*'Raw counts'!$X26*'Raw counts'!O$67)</f>
        <v/>
      </c>
      <c r="P25" s="20" t="str">
        <f>IF(ISBLANK('Raw counts'!P26),"",'Raw counts'!$W$66*'Raw counts'!$X26*'Raw counts'!P$67)</f>
        <v/>
      </c>
      <c r="Q25" s="20" t="str">
        <f>IF(ISBLANK('Raw counts'!Q26),"",'Raw counts'!$W$66*'Raw counts'!$X26*'Raw counts'!Q$67)</f>
        <v/>
      </c>
      <c r="R25" s="20" t="str">
        <f>IF(ISBLANK('Raw counts'!R26),"",'Raw counts'!$W$66*'Raw counts'!$X26*'Raw counts'!R$67)</f>
        <v/>
      </c>
      <c r="S25" s="20" t="str">
        <f>IF(ISBLANK('Raw counts'!S26),"",'Raw counts'!$W$66*'Raw counts'!$X26*'Raw counts'!S$67)</f>
        <v/>
      </c>
      <c r="T25" s="20" t="str">
        <f>IF(ISBLANK('Raw counts'!T26),"",'Raw counts'!$W$66*'Raw counts'!$X26*'Raw counts'!T$67)</f>
        <v/>
      </c>
      <c r="U25" s="20" t="str">
        <f>IF(ISBLANK('Raw counts'!U26),"",'Raw counts'!$W$66*'Raw counts'!$X26*'Raw counts'!U$67)</f>
        <v/>
      </c>
      <c r="V25" s="6"/>
      <c r="W25" s="6">
        <f t="shared" si="2"/>
        <v>0</v>
      </c>
      <c r="X25" s="7">
        <f t="shared" si="1"/>
        <v>0</v>
      </c>
    </row>
    <row r="26" spans="1:24" x14ac:dyDescent="0.15">
      <c r="A26" s="18" t="str">
        <f>IF(ISBLANK('Raw counts'!A27),"",'Raw counts'!A27)</f>
        <v/>
      </c>
      <c r="B26" s="20" t="str">
        <f>IF(ISBLANK('Raw counts'!B27),"",'Raw counts'!$W$66*'Raw counts'!$X27*'Raw counts'!B$67)</f>
        <v/>
      </c>
      <c r="C26" s="20" t="str">
        <f>IF(ISBLANK('Raw counts'!C27),"",'Raw counts'!$W$66*'Raw counts'!$X27*'Raw counts'!C$67)</f>
        <v/>
      </c>
      <c r="D26" s="20" t="str">
        <f>IF(ISBLANK('Raw counts'!D27),"",'Raw counts'!$W$66*'Raw counts'!$X27*'Raw counts'!D$67)</f>
        <v/>
      </c>
      <c r="E26" s="20" t="str">
        <f>IF(ISBLANK('Raw counts'!E27),"",'Raw counts'!$W$66*'Raw counts'!$X27*'Raw counts'!E$67)</f>
        <v/>
      </c>
      <c r="F26" s="20" t="str">
        <f>IF(ISBLANK('Raw counts'!F27),"",'Raw counts'!$W$66*'Raw counts'!$X27*'Raw counts'!F$67)</f>
        <v/>
      </c>
      <c r="G26" s="20" t="str">
        <f>IF(ISBLANK('Raw counts'!G27),"",'Raw counts'!$W$66*'Raw counts'!$X27*'Raw counts'!G$67)</f>
        <v/>
      </c>
      <c r="H26" s="20" t="str">
        <f>IF(ISBLANK('Raw counts'!H27),"",'Raw counts'!$W$66*'Raw counts'!$X27*'Raw counts'!H$67)</f>
        <v/>
      </c>
      <c r="I26" s="20" t="str">
        <f>IF(ISBLANK('Raw counts'!I27),"",'Raw counts'!$W$66*'Raw counts'!$X27*'Raw counts'!I$67)</f>
        <v/>
      </c>
      <c r="J26" s="20" t="str">
        <f>IF(ISBLANK('Raw counts'!J27),"",'Raw counts'!$W$66*'Raw counts'!$X27*'Raw counts'!J$67)</f>
        <v/>
      </c>
      <c r="K26" s="20" t="str">
        <f>IF(ISBLANK('Raw counts'!K27),"",'Raw counts'!$W$66*'Raw counts'!$X27*'Raw counts'!K$67)</f>
        <v/>
      </c>
      <c r="L26" s="20" t="str">
        <f>IF(ISBLANK('Raw counts'!L27),"",'Raw counts'!$W$66*'Raw counts'!$X27*'Raw counts'!L$67)</f>
        <v/>
      </c>
      <c r="M26" s="20" t="str">
        <f>IF(ISBLANK('Raw counts'!M27),"",'Raw counts'!$W$66*'Raw counts'!$X27*'Raw counts'!M$67)</f>
        <v/>
      </c>
      <c r="N26" s="20" t="str">
        <f>IF(ISBLANK('Raw counts'!N27),"",'Raw counts'!$W$66*'Raw counts'!$X27*'Raw counts'!N$67)</f>
        <v/>
      </c>
      <c r="O26" s="20" t="str">
        <f>IF(ISBLANK('Raw counts'!O27),"",'Raw counts'!$W$66*'Raw counts'!$X27*'Raw counts'!O$67)</f>
        <v/>
      </c>
      <c r="P26" s="20" t="str">
        <f>IF(ISBLANK('Raw counts'!P27),"",'Raw counts'!$W$66*'Raw counts'!$X27*'Raw counts'!P$67)</f>
        <v/>
      </c>
      <c r="Q26" s="20" t="str">
        <f>IF(ISBLANK('Raw counts'!Q27),"",'Raw counts'!$W$66*'Raw counts'!$X27*'Raw counts'!Q$67)</f>
        <v/>
      </c>
      <c r="R26" s="20" t="str">
        <f>IF(ISBLANK('Raw counts'!R27),"",'Raw counts'!$W$66*'Raw counts'!$X27*'Raw counts'!R$67)</f>
        <v/>
      </c>
      <c r="S26" s="20" t="str">
        <f>IF(ISBLANK('Raw counts'!S27),"",'Raw counts'!$W$66*'Raw counts'!$X27*'Raw counts'!S$67)</f>
        <v/>
      </c>
      <c r="T26" s="20" t="str">
        <f>IF(ISBLANK('Raw counts'!T27),"",'Raw counts'!$W$66*'Raw counts'!$X27*'Raw counts'!T$67)</f>
        <v/>
      </c>
      <c r="U26" s="20" t="str">
        <f>IF(ISBLANK('Raw counts'!U27),"",'Raw counts'!$W$66*'Raw counts'!$X27*'Raw counts'!U$67)</f>
        <v/>
      </c>
      <c r="V26" s="6"/>
      <c r="W26" s="6">
        <f t="shared" si="2"/>
        <v>0</v>
      </c>
      <c r="X26" s="7">
        <f t="shared" si="1"/>
        <v>0</v>
      </c>
    </row>
    <row r="27" spans="1:24" x14ac:dyDescent="0.15">
      <c r="A27" s="18" t="str">
        <f>IF(ISBLANK('Raw counts'!A28),"",'Raw counts'!A28)</f>
        <v>Attr24</v>
      </c>
      <c r="B27" s="20" t="str">
        <f>IF(ISBLANK('Raw counts'!B28),"",'Raw counts'!$W$66*'Raw counts'!$X28*'Raw counts'!B$67)</f>
        <v/>
      </c>
      <c r="C27" s="20" t="str">
        <f>IF(ISBLANK('Raw counts'!C28),"",'Raw counts'!$W$66*'Raw counts'!$X28*'Raw counts'!C$67)</f>
        <v/>
      </c>
      <c r="D27" s="20" t="str">
        <f>IF(ISBLANK('Raw counts'!D28),"",'Raw counts'!$W$66*'Raw counts'!$X28*'Raw counts'!D$67)</f>
        <v/>
      </c>
      <c r="E27" s="20" t="str">
        <f>IF(ISBLANK('Raw counts'!E28),"",'Raw counts'!$W$66*'Raw counts'!$X28*'Raw counts'!E$67)</f>
        <v/>
      </c>
      <c r="F27" s="20" t="str">
        <f>IF(ISBLANK('Raw counts'!F28),"",'Raw counts'!$W$66*'Raw counts'!$X28*'Raw counts'!F$67)</f>
        <v/>
      </c>
      <c r="G27" s="20" t="str">
        <f>IF(ISBLANK('Raw counts'!G28),"",'Raw counts'!$W$66*'Raw counts'!$X28*'Raw counts'!G$67)</f>
        <v/>
      </c>
      <c r="H27" s="20" t="str">
        <f>IF(ISBLANK('Raw counts'!H28),"",'Raw counts'!$W$66*'Raw counts'!$X28*'Raw counts'!H$67)</f>
        <v/>
      </c>
      <c r="I27" s="20" t="str">
        <f>IF(ISBLANK('Raw counts'!I28),"",'Raw counts'!$W$66*'Raw counts'!$X28*'Raw counts'!I$67)</f>
        <v/>
      </c>
      <c r="J27" s="20" t="str">
        <f>IF(ISBLANK('Raw counts'!J28),"",'Raw counts'!$W$66*'Raw counts'!$X28*'Raw counts'!J$67)</f>
        <v/>
      </c>
      <c r="K27" s="20" t="str">
        <f>IF(ISBLANK('Raw counts'!K28),"",'Raw counts'!$W$66*'Raw counts'!$X28*'Raw counts'!K$67)</f>
        <v/>
      </c>
      <c r="L27" s="20" t="str">
        <f>IF(ISBLANK('Raw counts'!L28),"",'Raw counts'!$W$66*'Raw counts'!$X28*'Raw counts'!L$67)</f>
        <v/>
      </c>
      <c r="M27" s="20" t="str">
        <f>IF(ISBLANK('Raw counts'!M28),"",'Raw counts'!$W$66*'Raw counts'!$X28*'Raw counts'!M$67)</f>
        <v/>
      </c>
      <c r="N27" s="20" t="str">
        <f>IF(ISBLANK('Raw counts'!N28),"",'Raw counts'!$W$66*'Raw counts'!$X28*'Raw counts'!N$67)</f>
        <v/>
      </c>
      <c r="O27" s="20" t="str">
        <f>IF(ISBLANK('Raw counts'!O28),"",'Raw counts'!$W$66*'Raw counts'!$X28*'Raw counts'!O$67)</f>
        <v/>
      </c>
      <c r="P27" s="20" t="str">
        <f>IF(ISBLANK('Raw counts'!P28),"",'Raw counts'!$W$66*'Raw counts'!$X28*'Raw counts'!P$67)</f>
        <v/>
      </c>
      <c r="Q27" s="20" t="str">
        <f>IF(ISBLANK('Raw counts'!Q28),"",'Raw counts'!$W$66*'Raw counts'!$X28*'Raw counts'!Q$67)</f>
        <v/>
      </c>
      <c r="R27" s="20" t="str">
        <f>IF(ISBLANK('Raw counts'!R28),"",'Raw counts'!$W$66*'Raw counts'!$X28*'Raw counts'!R$67)</f>
        <v/>
      </c>
      <c r="S27" s="20" t="str">
        <f>IF(ISBLANK('Raw counts'!S28),"",'Raw counts'!$W$66*'Raw counts'!$X28*'Raw counts'!S$67)</f>
        <v/>
      </c>
      <c r="T27" s="20" t="str">
        <f>IF(ISBLANK('Raw counts'!T28),"",'Raw counts'!$W$66*'Raw counts'!$X28*'Raw counts'!T$67)</f>
        <v/>
      </c>
      <c r="U27" s="20" t="str">
        <f>IF(ISBLANK('Raw counts'!U28),"",'Raw counts'!$W$66*'Raw counts'!$X28*'Raw counts'!U$67)</f>
        <v/>
      </c>
      <c r="V27" s="6"/>
      <c r="W27" s="6">
        <f t="shared" si="2"/>
        <v>0</v>
      </c>
      <c r="X27" s="7">
        <f t="shared" si="1"/>
        <v>0</v>
      </c>
    </row>
    <row r="28" spans="1:24" x14ac:dyDescent="0.15">
      <c r="A28" s="18" t="str">
        <f>IF(ISBLANK('Raw counts'!A29),"",'Raw counts'!A29)</f>
        <v>Attr25</v>
      </c>
      <c r="B28" s="20" t="str">
        <f>IF(ISBLANK('Raw counts'!B29),"",'Raw counts'!$W$66*'Raw counts'!$X29*'Raw counts'!B$67)</f>
        <v/>
      </c>
      <c r="C28" s="20" t="str">
        <f>IF(ISBLANK('Raw counts'!C29),"",'Raw counts'!$W$66*'Raw counts'!$X29*'Raw counts'!C$67)</f>
        <v/>
      </c>
      <c r="D28" s="20" t="str">
        <f>IF(ISBLANK('Raw counts'!D29),"",'Raw counts'!$W$66*'Raw counts'!$X29*'Raw counts'!D$67)</f>
        <v/>
      </c>
      <c r="E28" s="20" t="str">
        <f>IF(ISBLANK('Raw counts'!E29),"",'Raw counts'!$W$66*'Raw counts'!$X29*'Raw counts'!E$67)</f>
        <v/>
      </c>
      <c r="F28" s="20" t="str">
        <f>IF(ISBLANK('Raw counts'!F29),"",'Raw counts'!$W$66*'Raw counts'!$X29*'Raw counts'!F$67)</f>
        <v/>
      </c>
      <c r="G28" s="20" t="str">
        <f>IF(ISBLANK('Raw counts'!G29),"",'Raw counts'!$W$66*'Raw counts'!$X29*'Raw counts'!G$67)</f>
        <v/>
      </c>
      <c r="H28" s="20" t="str">
        <f>IF(ISBLANK('Raw counts'!H29),"",'Raw counts'!$W$66*'Raw counts'!$X29*'Raw counts'!H$67)</f>
        <v/>
      </c>
      <c r="I28" s="20" t="str">
        <f>IF(ISBLANK('Raw counts'!I29),"",'Raw counts'!$W$66*'Raw counts'!$X29*'Raw counts'!I$67)</f>
        <v/>
      </c>
      <c r="J28" s="20" t="str">
        <f>IF(ISBLANK('Raw counts'!J29),"",'Raw counts'!$W$66*'Raw counts'!$X29*'Raw counts'!J$67)</f>
        <v/>
      </c>
      <c r="K28" s="20" t="str">
        <f>IF(ISBLANK('Raw counts'!K29),"",'Raw counts'!$W$66*'Raw counts'!$X29*'Raw counts'!K$67)</f>
        <v/>
      </c>
      <c r="L28" s="20" t="str">
        <f>IF(ISBLANK('Raw counts'!L29),"",'Raw counts'!$W$66*'Raw counts'!$X29*'Raw counts'!L$67)</f>
        <v/>
      </c>
      <c r="M28" s="20" t="str">
        <f>IF(ISBLANK('Raw counts'!M29),"",'Raw counts'!$W$66*'Raw counts'!$X29*'Raw counts'!M$67)</f>
        <v/>
      </c>
      <c r="N28" s="20" t="str">
        <f>IF(ISBLANK('Raw counts'!N29),"",'Raw counts'!$W$66*'Raw counts'!$X29*'Raw counts'!N$67)</f>
        <v/>
      </c>
      <c r="O28" s="20" t="str">
        <f>IF(ISBLANK('Raw counts'!O29),"",'Raw counts'!$W$66*'Raw counts'!$X29*'Raw counts'!O$67)</f>
        <v/>
      </c>
      <c r="P28" s="20" t="str">
        <f>IF(ISBLANK('Raw counts'!P29),"",'Raw counts'!$W$66*'Raw counts'!$X29*'Raw counts'!P$67)</f>
        <v/>
      </c>
      <c r="Q28" s="20" t="str">
        <f>IF(ISBLANK('Raw counts'!Q29),"",'Raw counts'!$W$66*'Raw counts'!$X29*'Raw counts'!Q$67)</f>
        <v/>
      </c>
      <c r="R28" s="20" t="str">
        <f>IF(ISBLANK('Raw counts'!R29),"",'Raw counts'!$W$66*'Raw counts'!$X29*'Raw counts'!R$67)</f>
        <v/>
      </c>
      <c r="S28" s="20" t="str">
        <f>IF(ISBLANK('Raw counts'!S29),"",'Raw counts'!$W$66*'Raw counts'!$X29*'Raw counts'!S$67)</f>
        <v/>
      </c>
      <c r="T28" s="20" t="str">
        <f>IF(ISBLANK('Raw counts'!T29),"",'Raw counts'!$W$66*'Raw counts'!$X29*'Raw counts'!T$67)</f>
        <v/>
      </c>
      <c r="U28" s="20" t="str">
        <f>IF(ISBLANK('Raw counts'!U29),"",'Raw counts'!$W$66*'Raw counts'!$X29*'Raw counts'!U$67)</f>
        <v/>
      </c>
      <c r="V28" s="6"/>
      <c r="W28" s="6">
        <f t="shared" si="2"/>
        <v>0</v>
      </c>
      <c r="X28" s="7">
        <f t="shared" si="1"/>
        <v>0</v>
      </c>
    </row>
    <row r="29" spans="1:24" x14ac:dyDescent="0.15">
      <c r="A29" s="18" t="str">
        <f>IF(ISBLANK('Raw counts'!A30),"",'Raw counts'!A30)</f>
        <v>Attr26</v>
      </c>
      <c r="B29" s="20" t="str">
        <f>IF(ISBLANK('Raw counts'!B30),"",'Raw counts'!$W$66*'Raw counts'!$X30*'Raw counts'!B$67)</f>
        <v/>
      </c>
      <c r="C29" s="20" t="str">
        <f>IF(ISBLANK('Raw counts'!C30),"",'Raw counts'!$W$66*'Raw counts'!$X30*'Raw counts'!C$67)</f>
        <v/>
      </c>
      <c r="D29" s="20" t="str">
        <f>IF(ISBLANK('Raw counts'!D30),"",'Raw counts'!$W$66*'Raw counts'!$X30*'Raw counts'!D$67)</f>
        <v/>
      </c>
      <c r="E29" s="20" t="str">
        <f>IF(ISBLANK('Raw counts'!E30),"",'Raw counts'!$W$66*'Raw counts'!$X30*'Raw counts'!E$67)</f>
        <v/>
      </c>
      <c r="F29" s="20" t="str">
        <f>IF(ISBLANK('Raw counts'!F30),"",'Raw counts'!$W$66*'Raw counts'!$X30*'Raw counts'!F$67)</f>
        <v/>
      </c>
      <c r="G29" s="20" t="str">
        <f>IF(ISBLANK('Raw counts'!G30),"",'Raw counts'!$W$66*'Raw counts'!$X30*'Raw counts'!G$67)</f>
        <v/>
      </c>
      <c r="H29" s="20" t="str">
        <f>IF(ISBLANK('Raw counts'!H30),"",'Raw counts'!$W$66*'Raw counts'!$X30*'Raw counts'!H$67)</f>
        <v/>
      </c>
      <c r="I29" s="20" t="str">
        <f>IF(ISBLANK('Raw counts'!I30),"",'Raw counts'!$W$66*'Raw counts'!$X30*'Raw counts'!I$67)</f>
        <v/>
      </c>
      <c r="J29" s="20" t="str">
        <f>IF(ISBLANK('Raw counts'!J30),"",'Raw counts'!$W$66*'Raw counts'!$X30*'Raw counts'!J$67)</f>
        <v/>
      </c>
      <c r="K29" s="20" t="str">
        <f>IF(ISBLANK('Raw counts'!K30),"",'Raw counts'!$W$66*'Raw counts'!$X30*'Raw counts'!K$67)</f>
        <v/>
      </c>
      <c r="L29" s="20" t="str">
        <f>IF(ISBLANK('Raw counts'!L30),"",'Raw counts'!$W$66*'Raw counts'!$X30*'Raw counts'!L$67)</f>
        <v/>
      </c>
      <c r="M29" s="20" t="str">
        <f>IF(ISBLANK('Raw counts'!M30),"",'Raw counts'!$W$66*'Raw counts'!$X30*'Raw counts'!M$67)</f>
        <v/>
      </c>
      <c r="N29" s="20" t="str">
        <f>IF(ISBLANK('Raw counts'!N30),"",'Raw counts'!$W$66*'Raw counts'!$X30*'Raw counts'!N$67)</f>
        <v/>
      </c>
      <c r="O29" s="20" t="str">
        <f>IF(ISBLANK('Raw counts'!O30),"",'Raw counts'!$W$66*'Raw counts'!$X30*'Raw counts'!O$67)</f>
        <v/>
      </c>
      <c r="P29" s="20" t="str">
        <f>IF(ISBLANK('Raw counts'!P30),"",'Raw counts'!$W$66*'Raw counts'!$X30*'Raw counts'!P$67)</f>
        <v/>
      </c>
      <c r="Q29" s="20" t="str">
        <f>IF(ISBLANK('Raw counts'!Q30),"",'Raw counts'!$W$66*'Raw counts'!$X30*'Raw counts'!Q$67)</f>
        <v/>
      </c>
      <c r="R29" s="20" t="str">
        <f>IF(ISBLANK('Raw counts'!R30),"",'Raw counts'!$W$66*'Raw counts'!$X30*'Raw counts'!R$67)</f>
        <v/>
      </c>
      <c r="S29" s="20" t="str">
        <f>IF(ISBLANK('Raw counts'!S30),"",'Raw counts'!$W$66*'Raw counts'!$X30*'Raw counts'!S$67)</f>
        <v/>
      </c>
      <c r="T29" s="20" t="str">
        <f>IF(ISBLANK('Raw counts'!T30),"",'Raw counts'!$W$66*'Raw counts'!$X30*'Raw counts'!T$67)</f>
        <v/>
      </c>
      <c r="U29" s="20" t="str">
        <f>IF(ISBLANK('Raw counts'!U30),"",'Raw counts'!$W$66*'Raw counts'!$X30*'Raw counts'!U$67)</f>
        <v/>
      </c>
      <c r="V29" s="6"/>
      <c r="W29" s="6">
        <f t="shared" si="2"/>
        <v>0</v>
      </c>
      <c r="X29" s="7">
        <f t="shared" si="1"/>
        <v>0</v>
      </c>
    </row>
    <row r="30" spans="1:24" x14ac:dyDescent="0.15">
      <c r="A30" s="18" t="str">
        <f>IF(ISBLANK('Raw counts'!A31),"",'Raw counts'!A31)</f>
        <v>Attr27</v>
      </c>
      <c r="B30" s="20" t="str">
        <f>IF(ISBLANK('Raw counts'!B31),"",'Raw counts'!$W$66*'Raw counts'!$X31*'Raw counts'!B$67)</f>
        <v/>
      </c>
      <c r="C30" s="20" t="str">
        <f>IF(ISBLANK('Raw counts'!C31),"",'Raw counts'!$W$66*'Raw counts'!$X31*'Raw counts'!C$67)</f>
        <v/>
      </c>
      <c r="D30" s="20" t="str">
        <f>IF(ISBLANK('Raw counts'!D31),"",'Raw counts'!$W$66*'Raw counts'!$X31*'Raw counts'!D$67)</f>
        <v/>
      </c>
      <c r="E30" s="20" t="str">
        <f>IF(ISBLANK('Raw counts'!E31),"",'Raw counts'!$W$66*'Raw counts'!$X31*'Raw counts'!E$67)</f>
        <v/>
      </c>
      <c r="F30" s="20" t="str">
        <f>IF(ISBLANK('Raw counts'!F31),"",'Raw counts'!$W$66*'Raw counts'!$X31*'Raw counts'!F$67)</f>
        <v/>
      </c>
      <c r="G30" s="20" t="str">
        <f>IF(ISBLANK('Raw counts'!G31),"",'Raw counts'!$W$66*'Raw counts'!$X31*'Raw counts'!G$67)</f>
        <v/>
      </c>
      <c r="H30" s="20" t="str">
        <f>IF(ISBLANK('Raw counts'!H31),"",'Raw counts'!$W$66*'Raw counts'!$X31*'Raw counts'!H$67)</f>
        <v/>
      </c>
      <c r="I30" s="20" t="str">
        <f>IF(ISBLANK('Raw counts'!I31),"",'Raw counts'!$W$66*'Raw counts'!$X31*'Raw counts'!I$67)</f>
        <v/>
      </c>
      <c r="J30" s="20" t="str">
        <f>IF(ISBLANK('Raw counts'!J31),"",'Raw counts'!$W$66*'Raw counts'!$X31*'Raw counts'!J$67)</f>
        <v/>
      </c>
      <c r="K30" s="20" t="str">
        <f>IF(ISBLANK('Raw counts'!K31),"",'Raw counts'!$W$66*'Raw counts'!$X31*'Raw counts'!K$67)</f>
        <v/>
      </c>
      <c r="L30" s="20" t="str">
        <f>IF(ISBLANK('Raw counts'!L31),"",'Raw counts'!$W$66*'Raw counts'!$X31*'Raw counts'!L$67)</f>
        <v/>
      </c>
      <c r="M30" s="20" t="str">
        <f>IF(ISBLANK('Raw counts'!M31),"",'Raw counts'!$W$66*'Raw counts'!$X31*'Raw counts'!M$67)</f>
        <v/>
      </c>
      <c r="N30" s="20" t="str">
        <f>IF(ISBLANK('Raw counts'!N31),"",'Raw counts'!$W$66*'Raw counts'!$X31*'Raw counts'!N$67)</f>
        <v/>
      </c>
      <c r="O30" s="20" t="str">
        <f>IF(ISBLANK('Raw counts'!O31),"",'Raw counts'!$W$66*'Raw counts'!$X31*'Raw counts'!O$67)</f>
        <v/>
      </c>
      <c r="P30" s="20" t="str">
        <f>IF(ISBLANK('Raw counts'!P31),"",'Raw counts'!$W$66*'Raw counts'!$X31*'Raw counts'!P$67)</f>
        <v/>
      </c>
      <c r="Q30" s="20" t="str">
        <f>IF(ISBLANK('Raw counts'!Q31),"",'Raw counts'!$W$66*'Raw counts'!$X31*'Raw counts'!Q$67)</f>
        <v/>
      </c>
      <c r="R30" s="20" t="str">
        <f>IF(ISBLANK('Raw counts'!R31),"",'Raw counts'!$W$66*'Raw counts'!$X31*'Raw counts'!R$67)</f>
        <v/>
      </c>
      <c r="S30" s="20" t="str">
        <f>IF(ISBLANK('Raw counts'!S31),"",'Raw counts'!$W$66*'Raw counts'!$X31*'Raw counts'!S$67)</f>
        <v/>
      </c>
      <c r="T30" s="20" t="str">
        <f>IF(ISBLANK('Raw counts'!T31),"",'Raw counts'!$W$66*'Raw counts'!$X31*'Raw counts'!T$67)</f>
        <v/>
      </c>
      <c r="U30" s="20" t="str">
        <f>IF(ISBLANK('Raw counts'!U31),"",'Raw counts'!$W$66*'Raw counts'!$X31*'Raw counts'!U$67)</f>
        <v/>
      </c>
      <c r="V30" s="6"/>
      <c r="W30" s="6">
        <f t="shared" si="2"/>
        <v>0</v>
      </c>
      <c r="X30" s="7">
        <f t="shared" si="1"/>
        <v>0</v>
      </c>
    </row>
    <row r="31" spans="1:24" x14ac:dyDescent="0.15">
      <c r="A31" s="18" t="str">
        <f>IF(ISBLANK('Raw counts'!A32),"",'Raw counts'!A32)</f>
        <v>Attr28</v>
      </c>
      <c r="B31" s="20" t="str">
        <f>IF(ISBLANK('Raw counts'!B32),"",'Raw counts'!$W$66*'Raw counts'!$X32*'Raw counts'!B$67)</f>
        <v/>
      </c>
      <c r="C31" s="20" t="str">
        <f>IF(ISBLANK('Raw counts'!C32),"",'Raw counts'!$W$66*'Raw counts'!$X32*'Raw counts'!C$67)</f>
        <v/>
      </c>
      <c r="D31" s="20" t="str">
        <f>IF(ISBLANK('Raw counts'!D32),"",'Raw counts'!$W$66*'Raw counts'!$X32*'Raw counts'!D$67)</f>
        <v/>
      </c>
      <c r="E31" s="20" t="str">
        <f>IF(ISBLANK('Raw counts'!E32),"",'Raw counts'!$W$66*'Raw counts'!$X32*'Raw counts'!E$67)</f>
        <v/>
      </c>
      <c r="F31" s="20" t="str">
        <f>IF(ISBLANK('Raw counts'!F32),"",'Raw counts'!$W$66*'Raw counts'!$X32*'Raw counts'!F$67)</f>
        <v/>
      </c>
      <c r="G31" s="20" t="str">
        <f>IF(ISBLANK('Raw counts'!G32),"",'Raw counts'!$W$66*'Raw counts'!$X32*'Raw counts'!G$67)</f>
        <v/>
      </c>
      <c r="H31" s="20" t="str">
        <f>IF(ISBLANK('Raw counts'!H32),"",'Raw counts'!$W$66*'Raw counts'!$X32*'Raw counts'!H$67)</f>
        <v/>
      </c>
      <c r="I31" s="20" t="str">
        <f>IF(ISBLANK('Raw counts'!I32),"",'Raw counts'!$W$66*'Raw counts'!$X32*'Raw counts'!I$67)</f>
        <v/>
      </c>
      <c r="J31" s="20" t="str">
        <f>IF(ISBLANK('Raw counts'!J32),"",'Raw counts'!$W$66*'Raw counts'!$X32*'Raw counts'!J$67)</f>
        <v/>
      </c>
      <c r="K31" s="20" t="str">
        <f>IF(ISBLANK('Raw counts'!K32),"",'Raw counts'!$W$66*'Raw counts'!$X32*'Raw counts'!K$67)</f>
        <v/>
      </c>
      <c r="L31" s="20" t="str">
        <f>IF(ISBLANK('Raw counts'!L32),"",'Raw counts'!$W$66*'Raw counts'!$X32*'Raw counts'!L$67)</f>
        <v/>
      </c>
      <c r="M31" s="20" t="str">
        <f>IF(ISBLANK('Raw counts'!M32),"",'Raw counts'!$W$66*'Raw counts'!$X32*'Raw counts'!M$67)</f>
        <v/>
      </c>
      <c r="N31" s="20" t="str">
        <f>IF(ISBLANK('Raw counts'!N32),"",'Raw counts'!$W$66*'Raw counts'!$X32*'Raw counts'!N$67)</f>
        <v/>
      </c>
      <c r="O31" s="20" t="str">
        <f>IF(ISBLANK('Raw counts'!O32),"",'Raw counts'!$W$66*'Raw counts'!$X32*'Raw counts'!O$67)</f>
        <v/>
      </c>
      <c r="P31" s="20" t="str">
        <f>IF(ISBLANK('Raw counts'!P32),"",'Raw counts'!$W$66*'Raw counts'!$X32*'Raw counts'!P$67)</f>
        <v/>
      </c>
      <c r="Q31" s="20" t="str">
        <f>IF(ISBLANK('Raw counts'!Q32),"",'Raw counts'!$W$66*'Raw counts'!$X32*'Raw counts'!Q$67)</f>
        <v/>
      </c>
      <c r="R31" s="20" t="str">
        <f>IF(ISBLANK('Raw counts'!R32),"",'Raw counts'!$W$66*'Raw counts'!$X32*'Raw counts'!R$67)</f>
        <v/>
      </c>
      <c r="S31" s="20" t="str">
        <f>IF(ISBLANK('Raw counts'!S32),"",'Raw counts'!$W$66*'Raw counts'!$X32*'Raw counts'!S$67)</f>
        <v/>
      </c>
      <c r="T31" s="20" t="str">
        <f>IF(ISBLANK('Raw counts'!T32),"",'Raw counts'!$W$66*'Raw counts'!$X32*'Raw counts'!T$67)</f>
        <v/>
      </c>
      <c r="U31" s="20" t="str">
        <f>IF(ISBLANK('Raw counts'!U32),"",'Raw counts'!$W$66*'Raw counts'!$X32*'Raw counts'!U$67)</f>
        <v/>
      </c>
      <c r="V31" s="6"/>
      <c r="W31" s="6">
        <f t="shared" si="2"/>
        <v>0</v>
      </c>
      <c r="X31" s="7">
        <f t="shared" si="1"/>
        <v>0</v>
      </c>
    </row>
    <row r="32" spans="1:24" x14ac:dyDescent="0.15">
      <c r="A32" s="18" t="str">
        <f>IF(ISBLANK('Raw counts'!A33),"",'Raw counts'!A33)</f>
        <v>Attr29</v>
      </c>
      <c r="B32" s="20" t="str">
        <f>IF(ISBLANK('Raw counts'!B33),"",'Raw counts'!$W$66*'Raw counts'!$X33*'Raw counts'!B$67)</f>
        <v/>
      </c>
      <c r="C32" s="20" t="str">
        <f>IF(ISBLANK('Raw counts'!C33),"",'Raw counts'!$W$66*'Raw counts'!$X33*'Raw counts'!C$67)</f>
        <v/>
      </c>
      <c r="D32" s="20" t="str">
        <f>IF(ISBLANK('Raw counts'!D33),"",'Raw counts'!$W$66*'Raw counts'!$X33*'Raw counts'!D$67)</f>
        <v/>
      </c>
      <c r="E32" s="20" t="str">
        <f>IF(ISBLANK('Raw counts'!E33),"",'Raw counts'!$W$66*'Raw counts'!$X33*'Raw counts'!E$67)</f>
        <v/>
      </c>
      <c r="F32" s="20" t="str">
        <f>IF(ISBLANK('Raw counts'!F33),"",'Raw counts'!$W$66*'Raw counts'!$X33*'Raw counts'!F$67)</f>
        <v/>
      </c>
      <c r="G32" s="20" t="str">
        <f>IF(ISBLANK('Raw counts'!G33),"",'Raw counts'!$W$66*'Raw counts'!$X33*'Raw counts'!G$67)</f>
        <v/>
      </c>
      <c r="H32" s="20" t="str">
        <f>IF(ISBLANK('Raw counts'!H33),"",'Raw counts'!$W$66*'Raw counts'!$X33*'Raw counts'!H$67)</f>
        <v/>
      </c>
      <c r="I32" s="20" t="str">
        <f>IF(ISBLANK('Raw counts'!I33),"",'Raw counts'!$W$66*'Raw counts'!$X33*'Raw counts'!I$67)</f>
        <v/>
      </c>
      <c r="J32" s="20" t="str">
        <f>IF(ISBLANK('Raw counts'!J33),"",'Raw counts'!$W$66*'Raw counts'!$X33*'Raw counts'!J$67)</f>
        <v/>
      </c>
      <c r="K32" s="20" t="str">
        <f>IF(ISBLANK('Raw counts'!K33),"",'Raw counts'!$W$66*'Raw counts'!$X33*'Raw counts'!K$67)</f>
        <v/>
      </c>
      <c r="L32" s="20" t="str">
        <f>IF(ISBLANK('Raw counts'!L33),"",'Raw counts'!$W$66*'Raw counts'!$X33*'Raw counts'!L$67)</f>
        <v/>
      </c>
      <c r="M32" s="20" t="str">
        <f>IF(ISBLANK('Raw counts'!M33),"",'Raw counts'!$W$66*'Raw counts'!$X33*'Raw counts'!M$67)</f>
        <v/>
      </c>
      <c r="N32" s="20" t="str">
        <f>IF(ISBLANK('Raw counts'!N33),"",'Raw counts'!$W$66*'Raw counts'!$X33*'Raw counts'!N$67)</f>
        <v/>
      </c>
      <c r="O32" s="20" t="str">
        <f>IF(ISBLANK('Raw counts'!O33),"",'Raw counts'!$W$66*'Raw counts'!$X33*'Raw counts'!O$67)</f>
        <v/>
      </c>
      <c r="P32" s="20" t="str">
        <f>IF(ISBLANK('Raw counts'!P33),"",'Raw counts'!$W$66*'Raw counts'!$X33*'Raw counts'!P$67)</f>
        <v/>
      </c>
      <c r="Q32" s="20" t="str">
        <f>IF(ISBLANK('Raw counts'!Q33),"",'Raw counts'!$W$66*'Raw counts'!$X33*'Raw counts'!Q$67)</f>
        <v/>
      </c>
      <c r="R32" s="20" t="str">
        <f>IF(ISBLANK('Raw counts'!R33),"",'Raw counts'!$W$66*'Raw counts'!$X33*'Raw counts'!R$67)</f>
        <v/>
      </c>
      <c r="S32" s="20" t="str">
        <f>IF(ISBLANK('Raw counts'!S33),"",'Raw counts'!$W$66*'Raw counts'!$X33*'Raw counts'!S$67)</f>
        <v/>
      </c>
      <c r="T32" s="20" t="str">
        <f>IF(ISBLANK('Raw counts'!T33),"",'Raw counts'!$W$66*'Raw counts'!$X33*'Raw counts'!T$67)</f>
        <v/>
      </c>
      <c r="U32" s="20" t="str">
        <f>IF(ISBLANK('Raw counts'!U33),"",'Raw counts'!$W$66*'Raw counts'!$X33*'Raw counts'!U$67)</f>
        <v/>
      </c>
      <c r="V32" s="6"/>
      <c r="W32" s="6">
        <f t="shared" si="2"/>
        <v>0</v>
      </c>
      <c r="X32" s="7">
        <f t="shared" si="1"/>
        <v>0</v>
      </c>
    </row>
    <row r="33" spans="1:24" x14ac:dyDescent="0.15">
      <c r="A33" s="18" t="str">
        <f>IF(ISBLANK('Raw counts'!A34),"",'Raw counts'!A34)</f>
        <v>Attr30</v>
      </c>
      <c r="B33" s="20" t="str">
        <f>IF(ISBLANK('Raw counts'!B34),"",'Raw counts'!$W$66*'Raw counts'!$X34*'Raw counts'!B$67)</f>
        <v/>
      </c>
      <c r="C33" s="20" t="str">
        <f>IF(ISBLANK('Raw counts'!C34),"",'Raw counts'!$W$66*'Raw counts'!$X34*'Raw counts'!C$67)</f>
        <v/>
      </c>
      <c r="D33" s="20" t="str">
        <f>IF(ISBLANK('Raw counts'!D34),"",'Raw counts'!$W$66*'Raw counts'!$X34*'Raw counts'!D$67)</f>
        <v/>
      </c>
      <c r="E33" s="20" t="str">
        <f>IF(ISBLANK('Raw counts'!E34),"",'Raw counts'!$W$66*'Raw counts'!$X34*'Raw counts'!E$67)</f>
        <v/>
      </c>
      <c r="F33" s="20" t="str">
        <f>IF(ISBLANK('Raw counts'!F34),"",'Raw counts'!$W$66*'Raw counts'!$X34*'Raw counts'!F$67)</f>
        <v/>
      </c>
      <c r="G33" s="20" t="str">
        <f>IF(ISBLANK('Raw counts'!G34),"",'Raw counts'!$W$66*'Raw counts'!$X34*'Raw counts'!G$67)</f>
        <v/>
      </c>
      <c r="H33" s="20" t="str">
        <f>IF(ISBLANK('Raw counts'!H34),"",'Raw counts'!$W$66*'Raw counts'!$X34*'Raw counts'!H$67)</f>
        <v/>
      </c>
      <c r="I33" s="20" t="str">
        <f>IF(ISBLANK('Raw counts'!I34),"",'Raw counts'!$W$66*'Raw counts'!$X34*'Raw counts'!I$67)</f>
        <v/>
      </c>
      <c r="J33" s="20" t="str">
        <f>IF(ISBLANK('Raw counts'!J34),"",'Raw counts'!$W$66*'Raw counts'!$X34*'Raw counts'!J$67)</f>
        <v/>
      </c>
      <c r="K33" s="20" t="str">
        <f>IF(ISBLANK('Raw counts'!K34),"",'Raw counts'!$W$66*'Raw counts'!$X34*'Raw counts'!K$67)</f>
        <v/>
      </c>
      <c r="L33" s="20" t="str">
        <f>IF(ISBLANK('Raw counts'!L34),"",'Raw counts'!$W$66*'Raw counts'!$X34*'Raw counts'!L$67)</f>
        <v/>
      </c>
      <c r="M33" s="20" t="str">
        <f>IF(ISBLANK('Raw counts'!M34),"",'Raw counts'!$W$66*'Raw counts'!$X34*'Raw counts'!M$67)</f>
        <v/>
      </c>
      <c r="N33" s="20" t="str">
        <f>IF(ISBLANK('Raw counts'!N34),"",'Raw counts'!$W$66*'Raw counts'!$X34*'Raw counts'!N$67)</f>
        <v/>
      </c>
      <c r="O33" s="20" t="str">
        <f>IF(ISBLANK('Raw counts'!O34),"",'Raw counts'!$W$66*'Raw counts'!$X34*'Raw counts'!O$67)</f>
        <v/>
      </c>
      <c r="P33" s="20" t="str">
        <f>IF(ISBLANK('Raw counts'!P34),"",'Raw counts'!$W$66*'Raw counts'!$X34*'Raw counts'!P$67)</f>
        <v/>
      </c>
      <c r="Q33" s="20" t="str">
        <f>IF(ISBLANK('Raw counts'!Q34),"",'Raw counts'!$W$66*'Raw counts'!$X34*'Raw counts'!Q$67)</f>
        <v/>
      </c>
      <c r="R33" s="20" t="str">
        <f>IF(ISBLANK('Raw counts'!R34),"",'Raw counts'!$W$66*'Raw counts'!$X34*'Raw counts'!R$67)</f>
        <v/>
      </c>
      <c r="S33" s="20" t="str">
        <f>IF(ISBLANK('Raw counts'!S34),"",'Raw counts'!$W$66*'Raw counts'!$X34*'Raw counts'!S$67)</f>
        <v/>
      </c>
      <c r="T33" s="20" t="str">
        <f>IF(ISBLANK('Raw counts'!T34),"",'Raw counts'!$W$66*'Raw counts'!$X34*'Raw counts'!T$67)</f>
        <v/>
      </c>
      <c r="U33" s="20" t="str">
        <f>IF(ISBLANK('Raw counts'!U34),"",'Raw counts'!$W$66*'Raw counts'!$X34*'Raw counts'!U$67)</f>
        <v/>
      </c>
      <c r="V33" s="6"/>
      <c r="W33" s="6">
        <f t="shared" si="2"/>
        <v>0</v>
      </c>
      <c r="X33" s="7">
        <f t="shared" si="1"/>
        <v>0</v>
      </c>
    </row>
    <row r="34" spans="1:24" x14ac:dyDescent="0.15">
      <c r="A34" s="18" t="str">
        <f>IF(ISBLANK('Raw counts'!A35),"",'Raw counts'!A35)</f>
        <v>Attr31</v>
      </c>
      <c r="B34" s="20" t="str">
        <f>IF(ISBLANK('Raw counts'!B35),"",'Raw counts'!$W$66*'Raw counts'!$X35*'Raw counts'!B$67)</f>
        <v/>
      </c>
      <c r="C34" s="20" t="str">
        <f>IF(ISBLANK('Raw counts'!C35),"",'Raw counts'!$W$66*'Raw counts'!$X35*'Raw counts'!C$67)</f>
        <v/>
      </c>
      <c r="D34" s="20" t="str">
        <f>IF(ISBLANK('Raw counts'!D35),"",'Raw counts'!$W$66*'Raw counts'!$X35*'Raw counts'!D$67)</f>
        <v/>
      </c>
      <c r="E34" s="20" t="str">
        <f>IF(ISBLANK('Raw counts'!E35),"",'Raw counts'!$W$66*'Raw counts'!$X35*'Raw counts'!E$67)</f>
        <v/>
      </c>
      <c r="F34" s="20" t="str">
        <f>IF(ISBLANK('Raw counts'!F35),"",'Raw counts'!$W$66*'Raw counts'!$X35*'Raw counts'!F$67)</f>
        <v/>
      </c>
      <c r="G34" s="20" t="str">
        <f>IF(ISBLANK('Raw counts'!G35),"",'Raw counts'!$W$66*'Raw counts'!$X35*'Raw counts'!G$67)</f>
        <v/>
      </c>
      <c r="H34" s="20" t="str">
        <f>IF(ISBLANK('Raw counts'!H35),"",'Raw counts'!$W$66*'Raw counts'!$X35*'Raw counts'!H$67)</f>
        <v/>
      </c>
      <c r="I34" s="20" t="str">
        <f>IF(ISBLANK('Raw counts'!I35),"",'Raw counts'!$W$66*'Raw counts'!$X35*'Raw counts'!I$67)</f>
        <v/>
      </c>
      <c r="J34" s="20" t="str">
        <f>IF(ISBLANK('Raw counts'!J35),"",'Raw counts'!$W$66*'Raw counts'!$X35*'Raw counts'!J$67)</f>
        <v/>
      </c>
      <c r="K34" s="20" t="str">
        <f>IF(ISBLANK('Raw counts'!K35),"",'Raw counts'!$W$66*'Raw counts'!$X35*'Raw counts'!K$67)</f>
        <v/>
      </c>
      <c r="L34" s="20" t="str">
        <f>IF(ISBLANK('Raw counts'!L35),"",'Raw counts'!$W$66*'Raw counts'!$X35*'Raw counts'!L$67)</f>
        <v/>
      </c>
      <c r="M34" s="20" t="str">
        <f>IF(ISBLANK('Raw counts'!M35),"",'Raw counts'!$W$66*'Raw counts'!$X35*'Raw counts'!M$67)</f>
        <v/>
      </c>
      <c r="N34" s="20" t="str">
        <f>IF(ISBLANK('Raw counts'!N35),"",'Raw counts'!$W$66*'Raw counts'!$X35*'Raw counts'!N$67)</f>
        <v/>
      </c>
      <c r="O34" s="20" t="str">
        <f>IF(ISBLANK('Raw counts'!O35),"",'Raw counts'!$W$66*'Raw counts'!$X35*'Raw counts'!O$67)</f>
        <v/>
      </c>
      <c r="P34" s="20" t="str">
        <f>IF(ISBLANK('Raw counts'!P35),"",'Raw counts'!$W$66*'Raw counts'!$X35*'Raw counts'!P$67)</f>
        <v/>
      </c>
      <c r="Q34" s="20" t="str">
        <f>IF(ISBLANK('Raw counts'!Q35),"",'Raw counts'!$W$66*'Raw counts'!$X35*'Raw counts'!Q$67)</f>
        <v/>
      </c>
      <c r="R34" s="20" t="str">
        <f>IF(ISBLANK('Raw counts'!R35),"",'Raw counts'!$W$66*'Raw counts'!$X35*'Raw counts'!R$67)</f>
        <v/>
      </c>
      <c r="S34" s="20" t="str">
        <f>IF(ISBLANK('Raw counts'!S35),"",'Raw counts'!$W$66*'Raw counts'!$X35*'Raw counts'!S$67)</f>
        <v/>
      </c>
      <c r="T34" s="20" t="str">
        <f>IF(ISBLANK('Raw counts'!T35),"",'Raw counts'!$W$66*'Raw counts'!$X35*'Raw counts'!T$67)</f>
        <v/>
      </c>
      <c r="U34" s="20" t="str">
        <f>IF(ISBLANK('Raw counts'!U35),"",'Raw counts'!$W$66*'Raw counts'!$X35*'Raw counts'!U$67)</f>
        <v/>
      </c>
      <c r="V34" s="6"/>
      <c r="W34" s="6">
        <f t="shared" si="2"/>
        <v>0</v>
      </c>
      <c r="X34" s="7">
        <f t="shared" si="1"/>
        <v>0</v>
      </c>
    </row>
    <row r="35" spans="1:24" x14ac:dyDescent="0.15">
      <c r="A35" s="18" t="str">
        <f>IF(ISBLANK('Raw counts'!A36),"",'Raw counts'!A36)</f>
        <v>Attr32</v>
      </c>
      <c r="B35" s="20" t="str">
        <f>IF(ISBLANK('Raw counts'!B36),"",'Raw counts'!$W$66*'Raw counts'!$X36*'Raw counts'!B$67)</f>
        <v/>
      </c>
      <c r="C35" s="20" t="str">
        <f>IF(ISBLANK('Raw counts'!C36),"",'Raw counts'!$W$66*'Raw counts'!$X36*'Raw counts'!C$67)</f>
        <v/>
      </c>
      <c r="D35" s="20" t="str">
        <f>IF(ISBLANK('Raw counts'!D36),"",'Raw counts'!$W$66*'Raw counts'!$X36*'Raw counts'!D$67)</f>
        <v/>
      </c>
      <c r="E35" s="20" t="str">
        <f>IF(ISBLANK('Raw counts'!E36),"",'Raw counts'!$W$66*'Raw counts'!$X36*'Raw counts'!E$67)</f>
        <v/>
      </c>
      <c r="F35" s="20" t="str">
        <f>IF(ISBLANK('Raw counts'!F36),"",'Raw counts'!$W$66*'Raw counts'!$X36*'Raw counts'!F$67)</f>
        <v/>
      </c>
      <c r="G35" s="20" t="str">
        <f>IF(ISBLANK('Raw counts'!G36),"",'Raw counts'!$W$66*'Raw counts'!$X36*'Raw counts'!G$67)</f>
        <v/>
      </c>
      <c r="H35" s="20" t="str">
        <f>IF(ISBLANK('Raw counts'!H36),"",'Raw counts'!$W$66*'Raw counts'!$X36*'Raw counts'!H$67)</f>
        <v/>
      </c>
      <c r="I35" s="20" t="str">
        <f>IF(ISBLANK('Raw counts'!I36),"",'Raw counts'!$W$66*'Raw counts'!$X36*'Raw counts'!I$67)</f>
        <v/>
      </c>
      <c r="J35" s="20" t="str">
        <f>IF(ISBLANK('Raw counts'!J36),"",'Raw counts'!$W$66*'Raw counts'!$X36*'Raw counts'!J$67)</f>
        <v/>
      </c>
      <c r="K35" s="20" t="str">
        <f>IF(ISBLANK('Raw counts'!K36),"",'Raw counts'!$W$66*'Raw counts'!$X36*'Raw counts'!K$67)</f>
        <v/>
      </c>
      <c r="L35" s="20" t="str">
        <f>IF(ISBLANK('Raw counts'!L36),"",'Raw counts'!$W$66*'Raw counts'!$X36*'Raw counts'!L$67)</f>
        <v/>
      </c>
      <c r="M35" s="20" t="str">
        <f>IF(ISBLANK('Raw counts'!M36),"",'Raw counts'!$W$66*'Raw counts'!$X36*'Raw counts'!M$67)</f>
        <v/>
      </c>
      <c r="N35" s="20" t="str">
        <f>IF(ISBLANK('Raw counts'!N36),"",'Raw counts'!$W$66*'Raw counts'!$X36*'Raw counts'!N$67)</f>
        <v/>
      </c>
      <c r="O35" s="20" t="str">
        <f>IF(ISBLANK('Raw counts'!O36),"",'Raw counts'!$W$66*'Raw counts'!$X36*'Raw counts'!O$67)</f>
        <v/>
      </c>
      <c r="P35" s="20" t="str">
        <f>IF(ISBLANK('Raw counts'!P36),"",'Raw counts'!$W$66*'Raw counts'!$X36*'Raw counts'!P$67)</f>
        <v/>
      </c>
      <c r="Q35" s="20" t="str">
        <f>IF(ISBLANK('Raw counts'!Q36),"",'Raw counts'!$W$66*'Raw counts'!$X36*'Raw counts'!Q$67)</f>
        <v/>
      </c>
      <c r="R35" s="20" t="str">
        <f>IF(ISBLANK('Raw counts'!R36),"",'Raw counts'!$W$66*'Raw counts'!$X36*'Raw counts'!R$67)</f>
        <v/>
      </c>
      <c r="S35" s="20" t="str">
        <f>IF(ISBLANK('Raw counts'!S36),"",'Raw counts'!$W$66*'Raw counts'!$X36*'Raw counts'!S$67)</f>
        <v/>
      </c>
      <c r="T35" s="20" t="str">
        <f>IF(ISBLANK('Raw counts'!T36),"",'Raw counts'!$W$66*'Raw counts'!$X36*'Raw counts'!T$67)</f>
        <v/>
      </c>
      <c r="U35" s="20" t="str">
        <f>IF(ISBLANK('Raw counts'!U36),"",'Raw counts'!$W$66*'Raw counts'!$X36*'Raw counts'!U$67)</f>
        <v/>
      </c>
      <c r="V35" s="6"/>
      <c r="W35" s="6">
        <f t="shared" si="2"/>
        <v>0</v>
      </c>
      <c r="X35" s="7">
        <f t="shared" si="1"/>
        <v>0</v>
      </c>
    </row>
    <row r="36" spans="1:24" x14ac:dyDescent="0.15">
      <c r="A36" s="18" t="str">
        <f>IF(ISBLANK('Raw counts'!A37),"",'Raw counts'!A37)</f>
        <v>Attr33</v>
      </c>
      <c r="B36" s="20" t="str">
        <f>IF(ISBLANK('Raw counts'!B37),"",'Raw counts'!$W$66*'Raw counts'!$X37*'Raw counts'!B$67)</f>
        <v/>
      </c>
      <c r="C36" s="20" t="str">
        <f>IF(ISBLANK('Raw counts'!C37),"",'Raw counts'!$W$66*'Raw counts'!$X37*'Raw counts'!C$67)</f>
        <v/>
      </c>
      <c r="D36" s="20" t="str">
        <f>IF(ISBLANK('Raw counts'!D37),"",'Raw counts'!$W$66*'Raw counts'!$X37*'Raw counts'!D$67)</f>
        <v/>
      </c>
      <c r="E36" s="20" t="str">
        <f>IF(ISBLANK('Raw counts'!E37),"",'Raw counts'!$W$66*'Raw counts'!$X37*'Raw counts'!E$67)</f>
        <v/>
      </c>
      <c r="F36" s="20" t="str">
        <f>IF(ISBLANK('Raw counts'!F37),"",'Raw counts'!$W$66*'Raw counts'!$X37*'Raw counts'!F$67)</f>
        <v/>
      </c>
      <c r="G36" s="20" t="str">
        <f>IF(ISBLANK('Raw counts'!G37),"",'Raw counts'!$W$66*'Raw counts'!$X37*'Raw counts'!G$67)</f>
        <v/>
      </c>
      <c r="H36" s="20" t="str">
        <f>IF(ISBLANK('Raw counts'!H37),"",'Raw counts'!$W$66*'Raw counts'!$X37*'Raw counts'!H$67)</f>
        <v/>
      </c>
      <c r="I36" s="20" t="str">
        <f>IF(ISBLANK('Raw counts'!I37),"",'Raw counts'!$W$66*'Raw counts'!$X37*'Raw counts'!I$67)</f>
        <v/>
      </c>
      <c r="J36" s="20" t="str">
        <f>IF(ISBLANK('Raw counts'!J37),"",'Raw counts'!$W$66*'Raw counts'!$X37*'Raw counts'!J$67)</f>
        <v/>
      </c>
      <c r="K36" s="20" t="str">
        <f>IF(ISBLANK('Raw counts'!K37),"",'Raw counts'!$W$66*'Raw counts'!$X37*'Raw counts'!K$67)</f>
        <v/>
      </c>
      <c r="L36" s="20" t="str">
        <f>IF(ISBLANK('Raw counts'!L37),"",'Raw counts'!$W$66*'Raw counts'!$X37*'Raw counts'!L$67)</f>
        <v/>
      </c>
      <c r="M36" s="20" t="str">
        <f>IF(ISBLANK('Raw counts'!M37),"",'Raw counts'!$W$66*'Raw counts'!$X37*'Raw counts'!M$67)</f>
        <v/>
      </c>
      <c r="N36" s="20" t="str">
        <f>IF(ISBLANK('Raw counts'!N37),"",'Raw counts'!$W$66*'Raw counts'!$X37*'Raw counts'!N$67)</f>
        <v/>
      </c>
      <c r="O36" s="20" t="str">
        <f>IF(ISBLANK('Raw counts'!O37),"",'Raw counts'!$W$66*'Raw counts'!$X37*'Raw counts'!O$67)</f>
        <v/>
      </c>
      <c r="P36" s="20" t="str">
        <f>IF(ISBLANK('Raw counts'!P37),"",'Raw counts'!$W$66*'Raw counts'!$X37*'Raw counts'!P$67)</f>
        <v/>
      </c>
      <c r="Q36" s="20" t="str">
        <f>IF(ISBLANK('Raw counts'!Q37),"",'Raw counts'!$W$66*'Raw counts'!$X37*'Raw counts'!Q$67)</f>
        <v/>
      </c>
      <c r="R36" s="20" t="str">
        <f>IF(ISBLANK('Raw counts'!R37),"",'Raw counts'!$W$66*'Raw counts'!$X37*'Raw counts'!R$67)</f>
        <v/>
      </c>
      <c r="S36" s="20" t="str">
        <f>IF(ISBLANK('Raw counts'!S37),"",'Raw counts'!$W$66*'Raw counts'!$X37*'Raw counts'!S$67)</f>
        <v/>
      </c>
      <c r="T36" s="20" t="str">
        <f>IF(ISBLANK('Raw counts'!T37),"",'Raw counts'!$W$66*'Raw counts'!$X37*'Raw counts'!T$67)</f>
        <v/>
      </c>
      <c r="U36" s="20" t="str">
        <f>IF(ISBLANK('Raw counts'!U37),"",'Raw counts'!$W$66*'Raw counts'!$X37*'Raw counts'!U$67)</f>
        <v/>
      </c>
      <c r="V36" s="6"/>
      <c r="W36" s="6">
        <f t="shared" si="2"/>
        <v>0</v>
      </c>
      <c r="X36" s="7">
        <f t="shared" si="1"/>
        <v>0</v>
      </c>
    </row>
    <row r="37" spans="1:24" x14ac:dyDescent="0.15">
      <c r="A37" s="18" t="str">
        <f>IF(ISBLANK('Raw counts'!A38),"",'Raw counts'!A38)</f>
        <v>Attr34</v>
      </c>
      <c r="B37" s="20" t="str">
        <f>IF(ISBLANK('Raw counts'!B38),"",'Raw counts'!$W$66*'Raw counts'!$X38*'Raw counts'!B$67)</f>
        <v/>
      </c>
      <c r="C37" s="20" t="str">
        <f>IF(ISBLANK('Raw counts'!C38),"",'Raw counts'!$W$66*'Raw counts'!$X38*'Raw counts'!C$67)</f>
        <v/>
      </c>
      <c r="D37" s="20" t="str">
        <f>IF(ISBLANK('Raw counts'!D38),"",'Raw counts'!$W$66*'Raw counts'!$X38*'Raw counts'!D$67)</f>
        <v/>
      </c>
      <c r="E37" s="20" t="str">
        <f>IF(ISBLANK('Raw counts'!E38),"",'Raw counts'!$W$66*'Raw counts'!$X38*'Raw counts'!E$67)</f>
        <v/>
      </c>
      <c r="F37" s="20" t="str">
        <f>IF(ISBLANK('Raw counts'!F38),"",'Raw counts'!$W$66*'Raw counts'!$X38*'Raw counts'!F$67)</f>
        <v/>
      </c>
      <c r="G37" s="20" t="str">
        <f>IF(ISBLANK('Raw counts'!G38),"",'Raw counts'!$W$66*'Raw counts'!$X38*'Raw counts'!G$67)</f>
        <v/>
      </c>
      <c r="H37" s="20" t="str">
        <f>IF(ISBLANK('Raw counts'!H38),"",'Raw counts'!$W$66*'Raw counts'!$X38*'Raw counts'!H$67)</f>
        <v/>
      </c>
      <c r="I37" s="20" t="str">
        <f>IF(ISBLANK('Raw counts'!I38),"",'Raw counts'!$W$66*'Raw counts'!$X38*'Raw counts'!I$67)</f>
        <v/>
      </c>
      <c r="J37" s="20" t="str">
        <f>IF(ISBLANK('Raw counts'!J38),"",'Raw counts'!$W$66*'Raw counts'!$X38*'Raw counts'!J$67)</f>
        <v/>
      </c>
      <c r="K37" s="20" t="str">
        <f>IF(ISBLANK('Raw counts'!K38),"",'Raw counts'!$W$66*'Raw counts'!$X38*'Raw counts'!K$67)</f>
        <v/>
      </c>
      <c r="L37" s="20" t="str">
        <f>IF(ISBLANK('Raw counts'!L38),"",'Raw counts'!$W$66*'Raw counts'!$X38*'Raw counts'!L$67)</f>
        <v/>
      </c>
      <c r="M37" s="20" t="str">
        <f>IF(ISBLANK('Raw counts'!M38),"",'Raw counts'!$W$66*'Raw counts'!$X38*'Raw counts'!M$67)</f>
        <v/>
      </c>
      <c r="N37" s="20" t="str">
        <f>IF(ISBLANK('Raw counts'!N38),"",'Raw counts'!$W$66*'Raw counts'!$X38*'Raw counts'!N$67)</f>
        <v/>
      </c>
      <c r="O37" s="20" t="str">
        <f>IF(ISBLANK('Raw counts'!O38),"",'Raw counts'!$W$66*'Raw counts'!$X38*'Raw counts'!O$67)</f>
        <v/>
      </c>
      <c r="P37" s="20" t="str">
        <f>IF(ISBLANK('Raw counts'!P38),"",'Raw counts'!$W$66*'Raw counts'!$X38*'Raw counts'!P$67)</f>
        <v/>
      </c>
      <c r="Q37" s="20" t="str">
        <f>IF(ISBLANK('Raw counts'!Q38),"",'Raw counts'!$W$66*'Raw counts'!$X38*'Raw counts'!Q$67)</f>
        <v/>
      </c>
      <c r="R37" s="20" t="str">
        <f>IF(ISBLANK('Raw counts'!R38),"",'Raw counts'!$W$66*'Raw counts'!$X38*'Raw counts'!R$67)</f>
        <v/>
      </c>
      <c r="S37" s="20" t="str">
        <f>IF(ISBLANK('Raw counts'!S38),"",'Raw counts'!$W$66*'Raw counts'!$X38*'Raw counts'!S$67)</f>
        <v/>
      </c>
      <c r="T37" s="20" t="str">
        <f>IF(ISBLANK('Raw counts'!T38),"",'Raw counts'!$W$66*'Raw counts'!$X38*'Raw counts'!T$67)</f>
        <v/>
      </c>
      <c r="U37" s="20" t="str">
        <f>IF(ISBLANK('Raw counts'!U38),"",'Raw counts'!$W$66*'Raw counts'!$X38*'Raw counts'!U$67)</f>
        <v/>
      </c>
      <c r="V37" s="6"/>
      <c r="W37" s="6">
        <f t="shared" si="2"/>
        <v>0</v>
      </c>
      <c r="X37" s="7">
        <f t="shared" si="1"/>
        <v>0</v>
      </c>
    </row>
    <row r="38" spans="1:24" x14ac:dyDescent="0.15">
      <c r="A38" s="18" t="str">
        <f>IF(ISBLANK('Raw counts'!A39),"",'Raw counts'!A39)</f>
        <v>Attr35</v>
      </c>
      <c r="B38" s="20" t="str">
        <f>IF(ISBLANK('Raw counts'!B39),"",'Raw counts'!$W$66*'Raw counts'!$X39*'Raw counts'!B$67)</f>
        <v/>
      </c>
      <c r="C38" s="20" t="str">
        <f>IF(ISBLANK('Raw counts'!C39),"",'Raw counts'!$W$66*'Raw counts'!$X39*'Raw counts'!C$67)</f>
        <v/>
      </c>
      <c r="D38" s="20" t="str">
        <f>IF(ISBLANK('Raw counts'!D39),"",'Raw counts'!$W$66*'Raw counts'!$X39*'Raw counts'!D$67)</f>
        <v/>
      </c>
      <c r="E38" s="20" t="str">
        <f>IF(ISBLANK('Raw counts'!E39),"",'Raw counts'!$W$66*'Raw counts'!$X39*'Raw counts'!E$67)</f>
        <v/>
      </c>
      <c r="F38" s="20" t="str">
        <f>IF(ISBLANK('Raw counts'!F39),"",'Raw counts'!$W$66*'Raw counts'!$X39*'Raw counts'!F$67)</f>
        <v/>
      </c>
      <c r="G38" s="20" t="str">
        <f>IF(ISBLANK('Raw counts'!G39),"",'Raw counts'!$W$66*'Raw counts'!$X39*'Raw counts'!G$67)</f>
        <v/>
      </c>
      <c r="H38" s="20" t="str">
        <f>IF(ISBLANK('Raw counts'!H39),"",'Raw counts'!$W$66*'Raw counts'!$X39*'Raw counts'!H$67)</f>
        <v/>
      </c>
      <c r="I38" s="20" t="str">
        <f>IF(ISBLANK('Raw counts'!I39),"",'Raw counts'!$W$66*'Raw counts'!$X39*'Raw counts'!I$67)</f>
        <v/>
      </c>
      <c r="J38" s="20" t="str">
        <f>IF(ISBLANK('Raw counts'!J39),"",'Raw counts'!$W$66*'Raw counts'!$X39*'Raw counts'!J$67)</f>
        <v/>
      </c>
      <c r="K38" s="20" t="str">
        <f>IF(ISBLANK('Raw counts'!K39),"",'Raw counts'!$W$66*'Raw counts'!$X39*'Raw counts'!K$67)</f>
        <v/>
      </c>
      <c r="L38" s="20" t="str">
        <f>IF(ISBLANK('Raw counts'!L39),"",'Raw counts'!$W$66*'Raw counts'!$X39*'Raw counts'!L$67)</f>
        <v/>
      </c>
      <c r="M38" s="20" t="str">
        <f>IF(ISBLANK('Raw counts'!M39),"",'Raw counts'!$W$66*'Raw counts'!$X39*'Raw counts'!M$67)</f>
        <v/>
      </c>
      <c r="N38" s="20" t="str">
        <f>IF(ISBLANK('Raw counts'!N39),"",'Raw counts'!$W$66*'Raw counts'!$X39*'Raw counts'!N$67)</f>
        <v/>
      </c>
      <c r="O38" s="20" t="str">
        <f>IF(ISBLANK('Raw counts'!O39),"",'Raw counts'!$W$66*'Raw counts'!$X39*'Raw counts'!O$67)</f>
        <v/>
      </c>
      <c r="P38" s="20" t="str">
        <f>IF(ISBLANK('Raw counts'!P39),"",'Raw counts'!$W$66*'Raw counts'!$X39*'Raw counts'!P$67)</f>
        <v/>
      </c>
      <c r="Q38" s="20" t="str">
        <f>IF(ISBLANK('Raw counts'!Q39),"",'Raw counts'!$W$66*'Raw counts'!$X39*'Raw counts'!Q$67)</f>
        <v/>
      </c>
      <c r="R38" s="20" t="str">
        <f>IF(ISBLANK('Raw counts'!R39),"",'Raw counts'!$W$66*'Raw counts'!$X39*'Raw counts'!R$67)</f>
        <v/>
      </c>
      <c r="S38" s="20" t="str">
        <f>IF(ISBLANK('Raw counts'!S39),"",'Raw counts'!$W$66*'Raw counts'!$X39*'Raw counts'!S$67)</f>
        <v/>
      </c>
      <c r="T38" s="20" t="str">
        <f>IF(ISBLANK('Raw counts'!T39),"",'Raw counts'!$W$66*'Raw counts'!$X39*'Raw counts'!T$67)</f>
        <v/>
      </c>
      <c r="U38" s="20" t="str">
        <f>IF(ISBLANK('Raw counts'!U39),"",'Raw counts'!$W$66*'Raw counts'!$X39*'Raw counts'!U$67)</f>
        <v/>
      </c>
      <c r="V38" s="6"/>
      <c r="W38" s="6">
        <f t="shared" si="2"/>
        <v>0</v>
      </c>
      <c r="X38" s="7">
        <f t="shared" si="1"/>
        <v>0</v>
      </c>
    </row>
    <row r="39" spans="1:24" x14ac:dyDescent="0.15">
      <c r="A39" s="18" t="str">
        <f>IF(ISBLANK('Raw counts'!A40),"",'Raw counts'!A40)</f>
        <v>Attr36</v>
      </c>
      <c r="B39" s="20" t="str">
        <f>IF(ISBLANK('Raw counts'!B40),"",'Raw counts'!$W$66*'Raw counts'!$X40*'Raw counts'!B$67)</f>
        <v/>
      </c>
      <c r="C39" s="20" t="str">
        <f>IF(ISBLANK('Raw counts'!C40),"",'Raw counts'!$W$66*'Raw counts'!$X40*'Raw counts'!C$67)</f>
        <v/>
      </c>
      <c r="D39" s="20" t="str">
        <f>IF(ISBLANK('Raw counts'!D40),"",'Raw counts'!$W$66*'Raw counts'!$X40*'Raw counts'!D$67)</f>
        <v/>
      </c>
      <c r="E39" s="20" t="str">
        <f>IF(ISBLANK('Raw counts'!E40),"",'Raw counts'!$W$66*'Raw counts'!$X40*'Raw counts'!E$67)</f>
        <v/>
      </c>
      <c r="F39" s="20" t="str">
        <f>IF(ISBLANK('Raw counts'!F40),"",'Raw counts'!$W$66*'Raw counts'!$X40*'Raw counts'!F$67)</f>
        <v/>
      </c>
      <c r="G39" s="20" t="str">
        <f>IF(ISBLANK('Raw counts'!G40),"",'Raw counts'!$W$66*'Raw counts'!$X40*'Raw counts'!G$67)</f>
        <v/>
      </c>
      <c r="H39" s="20" t="str">
        <f>IF(ISBLANK('Raw counts'!H40),"",'Raw counts'!$W$66*'Raw counts'!$X40*'Raw counts'!H$67)</f>
        <v/>
      </c>
      <c r="I39" s="20" t="str">
        <f>IF(ISBLANK('Raw counts'!I40),"",'Raw counts'!$W$66*'Raw counts'!$X40*'Raw counts'!I$67)</f>
        <v/>
      </c>
      <c r="J39" s="20" t="str">
        <f>IF(ISBLANK('Raw counts'!J40),"",'Raw counts'!$W$66*'Raw counts'!$X40*'Raw counts'!J$67)</f>
        <v/>
      </c>
      <c r="K39" s="20" t="str">
        <f>IF(ISBLANK('Raw counts'!K40),"",'Raw counts'!$W$66*'Raw counts'!$X40*'Raw counts'!K$67)</f>
        <v/>
      </c>
      <c r="L39" s="20" t="str">
        <f>IF(ISBLANK('Raw counts'!L40),"",'Raw counts'!$W$66*'Raw counts'!$X40*'Raw counts'!L$67)</f>
        <v/>
      </c>
      <c r="M39" s="20" t="str">
        <f>IF(ISBLANK('Raw counts'!M40),"",'Raw counts'!$W$66*'Raw counts'!$X40*'Raw counts'!M$67)</f>
        <v/>
      </c>
      <c r="N39" s="20" t="str">
        <f>IF(ISBLANK('Raw counts'!N40),"",'Raw counts'!$W$66*'Raw counts'!$X40*'Raw counts'!N$67)</f>
        <v/>
      </c>
      <c r="O39" s="20" t="str">
        <f>IF(ISBLANK('Raw counts'!O40),"",'Raw counts'!$W$66*'Raw counts'!$X40*'Raw counts'!O$67)</f>
        <v/>
      </c>
      <c r="P39" s="20" t="str">
        <f>IF(ISBLANK('Raw counts'!P40),"",'Raw counts'!$W$66*'Raw counts'!$X40*'Raw counts'!P$67)</f>
        <v/>
      </c>
      <c r="Q39" s="20" t="str">
        <f>IF(ISBLANK('Raw counts'!Q40),"",'Raw counts'!$W$66*'Raw counts'!$X40*'Raw counts'!Q$67)</f>
        <v/>
      </c>
      <c r="R39" s="20" t="str">
        <f>IF(ISBLANK('Raw counts'!R40),"",'Raw counts'!$W$66*'Raw counts'!$X40*'Raw counts'!R$67)</f>
        <v/>
      </c>
      <c r="S39" s="20" t="str">
        <f>IF(ISBLANK('Raw counts'!S40),"",'Raw counts'!$W$66*'Raw counts'!$X40*'Raw counts'!S$67)</f>
        <v/>
      </c>
      <c r="T39" s="20" t="str">
        <f>IF(ISBLANK('Raw counts'!T40),"",'Raw counts'!$W$66*'Raw counts'!$X40*'Raw counts'!T$67)</f>
        <v/>
      </c>
      <c r="U39" s="20" t="str">
        <f>IF(ISBLANK('Raw counts'!U40),"",'Raw counts'!$W$66*'Raw counts'!$X40*'Raw counts'!U$67)</f>
        <v/>
      </c>
      <c r="V39" s="6"/>
      <c r="W39" s="6">
        <f t="shared" si="2"/>
        <v>0</v>
      </c>
      <c r="X39" s="7">
        <f t="shared" si="1"/>
        <v>0</v>
      </c>
    </row>
    <row r="40" spans="1:24" x14ac:dyDescent="0.15">
      <c r="A40" s="18" t="str">
        <f>IF(ISBLANK('Raw counts'!A41),"",'Raw counts'!A41)</f>
        <v>Attr37</v>
      </c>
      <c r="B40" s="20" t="str">
        <f>IF(ISBLANK('Raw counts'!B41),"",'Raw counts'!$W$66*'Raw counts'!$X41*'Raw counts'!B$67)</f>
        <v/>
      </c>
      <c r="C40" s="20" t="str">
        <f>IF(ISBLANK('Raw counts'!C41),"",'Raw counts'!$W$66*'Raw counts'!$X41*'Raw counts'!C$67)</f>
        <v/>
      </c>
      <c r="D40" s="20" t="str">
        <f>IF(ISBLANK('Raw counts'!D41),"",'Raw counts'!$W$66*'Raw counts'!$X41*'Raw counts'!D$67)</f>
        <v/>
      </c>
      <c r="E40" s="20" t="str">
        <f>IF(ISBLANK('Raw counts'!E41),"",'Raw counts'!$W$66*'Raw counts'!$X41*'Raw counts'!E$67)</f>
        <v/>
      </c>
      <c r="F40" s="20" t="str">
        <f>IF(ISBLANK('Raw counts'!F41),"",'Raw counts'!$W$66*'Raw counts'!$X41*'Raw counts'!F$67)</f>
        <v/>
      </c>
      <c r="G40" s="20" t="str">
        <f>IF(ISBLANK('Raw counts'!G41),"",'Raw counts'!$W$66*'Raw counts'!$X41*'Raw counts'!G$67)</f>
        <v/>
      </c>
      <c r="H40" s="20" t="str">
        <f>IF(ISBLANK('Raw counts'!H41),"",'Raw counts'!$W$66*'Raw counts'!$X41*'Raw counts'!H$67)</f>
        <v/>
      </c>
      <c r="I40" s="20" t="str">
        <f>IF(ISBLANK('Raw counts'!I41),"",'Raw counts'!$W$66*'Raw counts'!$X41*'Raw counts'!I$67)</f>
        <v/>
      </c>
      <c r="J40" s="20" t="str">
        <f>IF(ISBLANK('Raw counts'!J41),"",'Raw counts'!$W$66*'Raw counts'!$X41*'Raw counts'!J$67)</f>
        <v/>
      </c>
      <c r="K40" s="20" t="str">
        <f>IF(ISBLANK('Raw counts'!K41),"",'Raw counts'!$W$66*'Raw counts'!$X41*'Raw counts'!K$67)</f>
        <v/>
      </c>
      <c r="L40" s="20" t="str">
        <f>IF(ISBLANK('Raw counts'!L41),"",'Raw counts'!$W$66*'Raw counts'!$X41*'Raw counts'!L$67)</f>
        <v/>
      </c>
      <c r="M40" s="20" t="str">
        <f>IF(ISBLANK('Raw counts'!M41),"",'Raw counts'!$W$66*'Raw counts'!$X41*'Raw counts'!M$67)</f>
        <v/>
      </c>
      <c r="N40" s="20" t="str">
        <f>IF(ISBLANK('Raw counts'!N41),"",'Raw counts'!$W$66*'Raw counts'!$X41*'Raw counts'!N$67)</f>
        <v/>
      </c>
      <c r="O40" s="20" t="str">
        <f>IF(ISBLANK('Raw counts'!O41),"",'Raw counts'!$W$66*'Raw counts'!$X41*'Raw counts'!O$67)</f>
        <v/>
      </c>
      <c r="P40" s="20" t="str">
        <f>IF(ISBLANK('Raw counts'!P41),"",'Raw counts'!$W$66*'Raw counts'!$X41*'Raw counts'!P$67)</f>
        <v/>
      </c>
      <c r="Q40" s="20" t="str">
        <f>IF(ISBLANK('Raw counts'!Q41),"",'Raw counts'!$W$66*'Raw counts'!$X41*'Raw counts'!Q$67)</f>
        <v/>
      </c>
      <c r="R40" s="20" t="str">
        <f>IF(ISBLANK('Raw counts'!R41),"",'Raw counts'!$W$66*'Raw counts'!$X41*'Raw counts'!R$67)</f>
        <v/>
      </c>
      <c r="S40" s="20" t="str">
        <f>IF(ISBLANK('Raw counts'!S41),"",'Raw counts'!$W$66*'Raw counts'!$X41*'Raw counts'!S$67)</f>
        <v/>
      </c>
      <c r="T40" s="20" t="str">
        <f>IF(ISBLANK('Raw counts'!T41),"",'Raw counts'!$W$66*'Raw counts'!$X41*'Raw counts'!T$67)</f>
        <v/>
      </c>
      <c r="U40" s="20" t="str">
        <f>IF(ISBLANK('Raw counts'!U41),"",'Raw counts'!$W$66*'Raw counts'!$X41*'Raw counts'!U$67)</f>
        <v/>
      </c>
      <c r="V40" s="6"/>
      <c r="W40" s="6">
        <f t="shared" si="2"/>
        <v>0</v>
      </c>
      <c r="X40" s="7">
        <f t="shared" si="1"/>
        <v>0</v>
      </c>
    </row>
    <row r="41" spans="1:24" x14ac:dyDescent="0.15">
      <c r="A41" s="18" t="str">
        <f>IF(ISBLANK('Raw counts'!A42),"",'Raw counts'!A42)</f>
        <v>Attr38</v>
      </c>
      <c r="B41" s="20" t="str">
        <f>IF(ISBLANK('Raw counts'!B42),"",'Raw counts'!$W$66*'Raw counts'!$X42*'Raw counts'!B$67)</f>
        <v/>
      </c>
      <c r="C41" s="20" t="str">
        <f>IF(ISBLANK('Raw counts'!C42),"",'Raw counts'!$W$66*'Raw counts'!$X42*'Raw counts'!C$67)</f>
        <v/>
      </c>
      <c r="D41" s="20" t="str">
        <f>IF(ISBLANK('Raw counts'!D42),"",'Raw counts'!$W$66*'Raw counts'!$X42*'Raw counts'!D$67)</f>
        <v/>
      </c>
      <c r="E41" s="20" t="str">
        <f>IF(ISBLANK('Raw counts'!E42),"",'Raw counts'!$W$66*'Raw counts'!$X42*'Raw counts'!E$67)</f>
        <v/>
      </c>
      <c r="F41" s="20" t="str">
        <f>IF(ISBLANK('Raw counts'!F42),"",'Raw counts'!$W$66*'Raw counts'!$X42*'Raw counts'!F$67)</f>
        <v/>
      </c>
      <c r="G41" s="20" t="str">
        <f>IF(ISBLANK('Raw counts'!G42),"",'Raw counts'!$W$66*'Raw counts'!$X42*'Raw counts'!G$67)</f>
        <v/>
      </c>
      <c r="H41" s="20" t="str">
        <f>IF(ISBLANK('Raw counts'!H42),"",'Raw counts'!$W$66*'Raw counts'!$X42*'Raw counts'!H$67)</f>
        <v/>
      </c>
      <c r="I41" s="20" t="str">
        <f>IF(ISBLANK('Raw counts'!I42),"",'Raw counts'!$W$66*'Raw counts'!$X42*'Raw counts'!I$67)</f>
        <v/>
      </c>
      <c r="J41" s="20" t="str">
        <f>IF(ISBLANK('Raw counts'!J42),"",'Raw counts'!$W$66*'Raw counts'!$X42*'Raw counts'!J$67)</f>
        <v/>
      </c>
      <c r="K41" s="20" t="str">
        <f>IF(ISBLANK('Raw counts'!K42),"",'Raw counts'!$W$66*'Raw counts'!$X42*'Raw counts'!K$67)</f>
        <v/>
      </c>
      <c r="L41" s="20" t="str">
        <f>IF(ISBLANK('Raw counts'!L42),"",'Raw counts'!$W$66*'Raw counts'!$X42*'Raw counts'!L$67)</f>
        <v/>
      </c>
      <c r="M41" s="20" t="str">
        <f>IF(ISBLANK('Raw counts'!M42),"",'Raw counts'!$W$66*'Raw counts'!$X42*'Raw counts'!M$67)</f>
        <v/>
      </c>
      <c r="N41" s="20" t="str">
        <f>IF(ISBLANK('Raw counts'!N42),"",'Raw counts'!$W$66*'Raw counts'!$X42*'Raw counts'!N$67)</f>
        <v/>
      </c>
      <c r="O41" s="20" t="str">
        <f>IF(ISBLANK('Raw counts'!O42),"",'Raw counts'!$W$66*'Raw counts'!$X42*'Raw counts'!O$67)</f>
        <v/>
      </c>
      <c r="P41" s="20" t="str">
        <f>IF(ISBLANK('Raw counts'!P42),"",'Raw counts'!$W$66*'Raw counts'!$X42*'Raw counts'!P$67)</f>
        <v/>
      </c>
      <c r="Q41" s="20" t="str">
        <f>IF(ISBLANK('Raw counts'!Q42),"",'Raw counts'!$W$66*'Raw counts'!$X42*'Raw counts'!Q$67)</f>
        <v/>
      </c>
      <c r="R41" s="20" t="str">
        <f>IF(ISBLANK('Raw counts'!R42),"",'Raw counts'!$W$66*'Raw counts'!$X42*'Raw counts'!R$67)</f>
        <v/>
      </c>
      <c r="S41" s="20" t="str">
        <f>IF(ISBLANK('Raw counts'!S42),"",'Raw counts'!$W$66*'Raw counts'!$X42*'Raw counts'!S$67)</f>
        <v/>
      </c>
      <c r="T41" s="20" t="str">
        <f>IF(ISBLANK('Raw counts'!T42),"",'Raw counts'!$W$66*'Raw counts'!$X42*'Raw counts'!T$67)</f>
        <v/>
      </c>
      <c r="U41" s="20" t="str">
        <f>IF(ISBLANK('Raw counts'!U42),"",'Raw counts'!$W$66*'Raw counts'!$X42*'Raw counts'!U$67)</f>
        <v/>
      </c>
      <c r="V41" s="6"/>
      <c r="W41" s="6">
        <f t="shared" si="2"/>
        <v>0</v>
      </c>
      <c r="X41" s="7">
        <f t="shared" si="1"/>
        <v>0</v>
      </c>
    </row>
    <row r="42" spans="1:24" x14ac:dyDescent="0.15">
      <c r="A42" s="18" t="str">
        <f>IF(ISBLANK('Raw counts'!A43),"",'Raw counts'!A43)</f>
        <v>Attr39</v>
      </c>
      <c r="B42" s="20" t="str">
        <f>IF(ISBLANK('Raw counts'!B43),"",'Raw counts'!$W$66*'Raw counts'!$X43*'Raw counts'!B$67)</f>
        <v/>
      </c>
      <c r="C42" s="20" t="str">
        <f>IF(ISBLANK('Raw counts'!C43),"",'Raw counts'!$W$66*'Raw counts'!$X43*'Raw counts'!C$67)</f>
        <v/>
      </c>
      <c r="D42" s="20" t="str">
        <f>IF(ISBLANK('Raw counts'!D43),"",'Raw counts'!$W$66*'Raw counts'!$X43*'Raw counts'!D$67)</f>
        <v/>
      </c>
      <c r="E42" s="20" t="str">
        <f>IF(ISBLANK('Raw counts'!E43),"",'Raw counts'!$W$66*'Raw counts'!$X43*'Raw counts'!E$67)</f>
        <v/>
      </c>
      <c r="F42" s="20" t="str">
        <f>IF(ISBLANK('Raw counts'!F43),"",'Raw counts'!$W$66*'Raw counts'!$X43*'Raw counts'!F$67)</f>
        <v/>
      </c>
      <c r="G42" s="20" t="str">
        <f>IF(ISBLANK('Raw counts'!G43),"",'Raw counts'!$W$66*'Raw counts'!$X43*'Raw counts'!G$67)</f>
        <v/>
      </c>
      <c r="H42" s="20" t="str">
        <f>IF(ISBLANK('Raw counts'!H43),"",'Raw counts'!$W$66*'Raw counts'!$X43*'Raw counts'!H$67)</f>
        <v/>
      </c>
      <c r="I42" s="20" t="str">
        <f>IF(ISBLANK('Raw counts'!I43),"",'Raw counts'!$W$66*'Raw counts'!$X43*'Raw counts'!I$67)</f>
        <v/>
      </c>
      <c r="J42" s="20" t="str">
        <f>IF(ISBLANK('Raw counts'!J43),"",'Raw counts'!$W$66*'Raw counts'!$X43*'Raw counts'!J$67)</f>
        <v/>
      </c>
      <c r="K42" s="20" t="str">
        <f>IF(ISBLANK('Raw counts'!K43),"",'Raw counts'!$W$66*'Raw counts'!$X43*'Raw counts'!K$67)</f>
        <v/>
      </c>
      <c r="L42" s="20" t="str">
        <f>IF(ISBLANK('Raw counts'!L43),"",'Raw counts'!$W$66*'Raw counts'!$X43*'Raw counts'!L$67)</f>
        <v/>
      </c>
      <c r="M42" s="20" t="str">
        <f>IF(ISBLANK('Raw counts'!M43),"",'Raw counts'!$W$66*'Raw counts'!$X43*'Raw counts'!M$67)</f>
        <v/>
      </c>
      <c r="N42" s="20" t="str">
        <f>IF(ISBLANK('Raw counts'!N43),"",'Raw counts'!$W$66*'Raw counts'!$X43*'Raw counts'!N$67)</f>
        <v/>
      </c>
      <c r="O42" s="20" t="str">
        <f>IF(ISBLANK('Raw counts'!O43),"",'Raw counts'!$W$66*'Raw counts'!$X43*'Raw counts'!O$67)</f>
        <v/>
      </c>
      <c r="P42" s="20" t="str">
        <f>IF(ISBLANK('Raw counts'!P43),"",'Raw counts'!$W$66*'Raw counts'!$X43*'Raw counts'!P$67)</f>
        <v/>
      </c>
      <c r="Q42" s="20" t="str">
        <f>IF(ISBLANK('Raw counts'!Q43),"",'Raw counts'!$W$66*'Raw counts'!$X43*'Raw counts'!Q$67)</f>
        <v/>
      </c>
      <c r="R42" s="20" t="str">
        <f>IF(ISBLANK('Raw counts'!R43),"",'Raw counts'!$W$66*'Raw counts'!$X43*'Raw counts'!R$67)</f>
        <v/>
      </c>
      <c r="S42" s="20" t="str">
        <f>IF(ISBLANK('Raw counts'!S43),"",'Raw counts'!$W$66*'Raw counts'!$X43*'Raw counts'!S$67)</f>
        <v/>
      </c>
      <c r="T42" s="20" t="str">
        <f>IF(ISBLANK('Raw counts'!T43),"",'Raw counts'!$W$66*'Raw counts'!$X43*'Raw counts'!T$67)</f>
        <v/>
      </c>
      <c r="U42" s="20" t="str">
        <f>IF(ISBLANK('Raw counts'!U43),"",'Raw counts'!$W$66*'Raw counts'!$X43*'Raw counts'!U$67)</f>
        <v/>
      </c>
      <c r="V42" s="6"/>
      <c r="W42" s="6">
        <f t="shared" si="2"/>
        <v>0</v>
      </c>
      <c r="X42" s="7">
        <f t="shared" si="1"/>
        <v>0</v>
      </c>
    </row>
    <row r="43" spans="1:24" x14ac:dyDescent="0.15">
      <c r="A43" s="18" t="str">
        <f>IF(ISBLANK('Raw counts'!A44),"",'Raw counts'!A44)</f>
        <v>Attr40</v>
      </c>
      <c r="B43" s="20" t="str">
        <f>IF(ISBLANK('Raw counts'!B44),"",'Raw counts'!$W$66*'Raw counts'!$X44*'Raw counts'!B$67)</f>
        <v/>
      </c>
      <c r="C43" s="20" t="str">
        <f>IF(ISBLANK('Raw counts'!C44),"",'Raw counts'!$W$66*'Raw counts'!$X44*'Raw counts'!C$67)</f>
        <v/>
      </c>
      <c r="D43" s="20" t="str">
        <f>IF(ISBLANK('Raw counts'!D44),"",'Raw counts'!$W$66*'Raw counts'!$X44*'Raw counts'!D$67)</f>
        <v/>
      </c>
      <c r="E43" s="20" t="str">
        <f>IF(ISBLANK('Raw counts'!E44),"",'Raw counts'!$W$66*'Raw counts'!$X44*'Raw counts'!E$67)</f>
        <v/>
      </c>
      <c r="F43" s="20" t="str">
        <f>IF(ISBLANK('Raw counts'!F44),"",'Raw counts'!$W$66*'Raw counts'!$X44*'Raw counts'!F$67)</f>
        <v/>
      </c>
      <c r="G43" s="20" t="str">
        <f>IF(ISBLANK('Raw counts'!G44),"",'Raw counts'!$W$66*'Raw counts'!$X44*'Raw counts'!G$67)</f>
        <v/>
      </c>
      <c r="H43" s="20" t="str">
        <f>IF(ISBLANK('Raw counts'!H44),"",'Raw counts'!$W$66*'Raw counts'!$X44*'Raw counts'!H$67)</f>
        <v/>
      </c>
      <c r="I43" s="20" t="str">
        <f>IF(ISBLANK('Raw counts'!I44),"",'Raw counts'!$W$66*'Raw counts'!$X44*'Raw counts'!I$67)</f>
        <v/>
      </c>
      <c r="J43" s="20" t="str">
        <f>IF(ISBLANK('Raw counts'!J44),"",'Raw counts'!$W$66*'Raw counts'!$X44*'Raw counts'!J$67)</f>
        <v/>
      </c>
      <c r="K43" s="20" t="str">
        <f>IF(ISBLANK('Raw counts'!K44),"",'Raw counts'!$W$66*'Raw counts'!$X44*'Raw counts'!K$67)</f>
        <v/>
      </c>
      <c r="L43" s="20" t="str">
        <f>IF(ISBLANK('Raw counts'!L44),"",'Raw counts'!$W$66*'Raw counts'!$X44*'Raw counts'!L$67)</f>
        <v/>
      </c>
      <c r="M43" s="20" t="str">
        <f>IF(ISBLANK('Raw counts'!M44),"",'Raw counts'!$W$66*'Raw counts'!$X44*'Raw counts'!M$67)</f>
        <v/>
      </c>
      <c r="N43" s="20" t="str">
        <f>IF(ISBLANK('Raw counts'!N44),"",'Raw counts'!$W$66*'Raw counts'!$X44*'Raw counts'!N$67)</f>
        <v/>
      </c>
      <c r="O43" s="20" t="str">
        <f>IF(ISBLANK('Raw counts'!O44),"",'Raw counts'!$W$66*'Raw counts'!$X44*'Raw counts'!O$67)</f>
        <v/>
      </c>
      <c r="P43" s="20" t="str">
        <f>IF(ISBLANK('Raw counts'!P44),"",'Raw counts'!$W$66*'Raw counts'!$X44*'Raw counts'!P$67)</f>
        <v/>
      </c>
      <c r="Q43" s="20" t="str">
        <f>IF(ISBLANK('Raw counts'!Q44),"",'Raw counts'!$W$66*'Raw counts'!$X44*'Raw counts'!Q$67)</f>
        <v/>
      </c>
      <c r="R43" s="20" t="str">
        <f>IF(ISBLANK('Raw counts'!R44),"",'Raw counts'!$W$66*'Raw counts'!$X44*'Raw counts'!R$67)</f>
        <v/>
      </c>
      <c r="S43" s="20" t="str">
        <f>IF(ISBLANK('Raw counts'!S44),"",'Raw counts'!$W$66*'Raw counts'!$X44*'Raw counts'!S$67)</f>
        <v/>
      </c>
      <c r="T43" s="20" t="str">
        <f>IF(ISBLANK('Raw counts'!T44),"",'Raw counts'!$W$66*'Raw counts'!$X44*'Raw counts'!T$67)</f>
        <v/>
      </c>
      <c r="U43" s="20" t="str">
        <f>IF(ISBLANK('Raw counts'!U44),"",'Raw counts'!$W$66*'Raw counts'!$X44*'Raw counts'!U$67)</f>
        <v/>
      </c>
      <c r="V43" s="6"/>
      <c r="W43" s="6">
        <f t="shared" si="2"/>
        <v>0</v>
      </c>
      <c r="X43" s="7">
        <f t="shared" si="1"/>
        <v>0</v>
      </c>
    </row>
    <row r="44" spans="1:24" x14ac:dyDescent="0.15">
      <c r="A44" s="18" t="str">
        <f>IF(ISBLANK('Raw counts'!A45),"",'Raw counts'!A45)</f>
        <v>Attr41</v>
      </c>
      <c r="B44" s="20" t="str">
        <f>IF(ISBLANK('Raw counts'!B45),"",'Raw counts'!$W$66*'Raw counts'!$X45*'Raw counts'!B$67)</f>
        <v/>
      </c>
      <c r="C44" s="20" t="str">
        <f>IF(ISBLANK('Raw counts'!C45),"",'Raw counts'!$W$66*'Raw counts'!$X45*'Raw counts'!C$67)</f>
        <v/>
      </c>
      <c r="D44" s="20" t="str">
        <f>IF(ISBLANK('Raw counts'!D45),"",'Raw counts'!$W$66*'Raw counts'!$X45*'Raw counts'!D$67)</f>
        <v/>
      </c>
      <c r="E44" s="20" t="str">
        <f>IF(ISBLANK('Raw counts'!E45),"",'Raw counts'!$W$66*'Raw counts'!$X45*'Raw counts'!E$67)</f>
        <v/>
      </c>
      <c r="F44" s="20" t="str">
        <f>IF(ISBLANK('Raw counts'!F45),"",'Raw counts'!$W$66*'Raw counts'!$X45*'Raw counts'!F$67)</f>
        <v/>
      </c>
      <c r="G44" s="20" t="str">
        <f>IF(ISBLANK('Raw counts'!G45),"",'Raw counts'!$W$66*'Raw counts'!$X45*'Raw counts'!G$67)</f>
        <v/>
      </c>
      <c r="H44" s="20" t="str">
        <f>IF(ISBLANK('Raw counts'!H45),"",'Raw counts'!$W$66*'Raw counts'!$X45*'Raw counts'!H$67)</f>
        <v/>
      </c>
      <c r="I44" s="20" t="str">
        <f>IF(ISBLANK('Raw counts'!I45),"",'Raw counts'!$W$66*'Raw counts'!$X45*'Raw counts'!I$67)</f>
        <v/>
      </c>
      <c r="J44" s="20" t="str">
        <f>IF(ISBLANK('Raw counts'!J45),"",'Raw counts'!$W$66*'Raw counts'!$X45*'Raw counts'!J$67)</f>
        <v/>
      </c>
      <c r="K44" s="20" t="str">
        <f>IF(ISBLANK('Raw counts'!K45),"",'Raw counts'!$W$66*'Raw counts'!$X45*'Raw counts'!K$67)</f>
        <v/>
      </c>
      <c r="L44" s="20" t="str">
        <f>IF(ISBLANK('Raw counts'!L45),"",'Raw counts'!$W$66*'Raw counts'!$X45*'Raw counts'!L$67)</f>
        <v/>
      </c>
      <c r="M44" s="20" t="str">
        <f>IF(ISBLANK('Raw counts'!M45),"",'Raw counts'!$W$66*'Raw counts'!$X45*'Raw counts'!M$67)</f>
        <v/>
      </c>
      <c r="N44" s="20" t="str">
        <f>IF(ISBLANK('Raw counts'!N45),"",'Raw counts'!$W$66*'Raw counts'!$X45*'Raw counts'!N$67)</f>
        <v/>
      </c>
      <c r="O44" s="20" t="str">
        <f>IF(ISBLANK('Raw counts'!O45),"",'Raw counts'!$W$66*'Raw counts'!$X45*'Raw counts'!O$67)</f>
        <v/>
      </c>
      <c r="P44" s="20" t="str">
        <f>IF(ISBLANK('Raw counts'!P45),"",'Raw counts'!$W$66*'Raw counts'!$X45*'Raw counts'!P$67)</f>
        <v/>
      </c>
      <c r="Q44" s="20" t="str">
        <f>IF(ISBLANK('Raw counts'!Q45),"",'Raw counts'!$W$66*'Raw counts'!$X45*'Raw counts'!Q$67)</f>
        <v/>
      </c>
      <c r="R44" s="20" t="str">
        <f>IF(ISBLANK('Raw counts'!R45),"",'Raw counts'!$W$66*'Raw counts'!$X45*'Raw counts'!R$67)</f>
        <v/>
      </c>
      <c r="S44" s="20" t="str">
        <f>IF(ISBLANK('Raw counts'!S45),"",'Raw counts'!$W$66*'Raw counts'!$X45*'Raw counts'!S$67)</f>
        <v/>
      </c>
      <c r="T44" s="20" t="str">
        <f>IF(ISBLANK('Raw counts'!T45),"",'Raw counts'!$W$66*'Raw counts'!$X45*'Raw counts'!T$67)</f>
        <v/>
      </c>
      <c r="U44" s="20" t="str">
        <f>IF(ISBLANK('Raw counts'!U45),"",'Raw counts'!$W$66*'Raw counts'!$X45*'Raw counts'!U$67)</f>
        <v/>
      </c>
      <c r="V44" s="6"/>
      <c r="W44" s="6">
        <f t="shared" si="2"/>
        <v>0</v>
      </c>
      <c r="X44" s="7">
        <f t="shared" si="1"/>
        <v>0</v>
      </c>
    </row>
    <row r="45" spans="1:24" x14ac:dyDescent="0.15">
      <c r="A45" s="18" t="str">
        <f>IF(ISBLANK('Raw counts'!A46),"",'Raw counts'!A46)</f>
        <v>Attr42</v>
      </c>
      <c r="B45" s="20" t="str">
        <f>IF(ISBLANK('Raw counts'!B46),"",'Raw counts'!$W$66*'Raw counts'!$X46*'Raw counts'!B$67)</f>
        <v/>
      </c>
      <c r="C45" s="20" t="str">
        <f>IF(ISBLANK('Raw counts'!C46),"",'Raw counts'!$W$66*'Raw counts'!$X46*'Raw counts'!C$67)</f>
        <v/>
      </c>
      <c r="D45" s="20" t="str">
        <f>IF(ISBLANK('Raw counts'!D46),"",'Raw counts'!$W$66*'Raw counts'!$X46*'Raw counts'!D$67)</f>
        <v/>
      </c>
      <c r="E45" s="20" t="str">
        <f>IF(ISBLANK('Raw counts'!E46),"",'Raw counts'!$W$66*'Raw counts'!$X46*'Raw counts'!E$67)</f>
        <v/>
      </c>
      <c r="F45" s="20" t="str">
        <f>IF(ISBLANK('Raw counts'!F46),"",'Raw counts'!$W$66*'Raw counts'!$X46*'Raw counts'!F$67)</f>
        <v/>
      </c>
      <c r="G45" s="20" t="str">
        <f>IF(ISBLANK('Raw counts'!G46),"",'Raw counts'!$W$66*'Raw counts'!$X46*'Raw counts'!G$67)</f>
        <v/>
      </c>
      <c r="H45" s="20" t="str">
        <f>IF(ISBLANK('Raw counts'!H46),"",'Raw counts'!$W$66*'Raw counts'!$X46*'Raw counts'!H$67)</f>
        <v/>
      </c>
      <c r="I45" s="20" t="str">
        <f>IF(ISBLANK('Raw counts'!I46),"",'Raw counts'!$W$66*'Raw counts'!$X46*'Raw counts'!I$67)</f>
        <v/>
      </c>
      <c r="J45" s="20" t="str">
        <f>IF(ISBLANK('Raw counts'!J46),"",'Raw counts'!$W$66*'Raw counts'!$X46*'Raw counts'!J$67)</f>
        <v/>
      </c>
      <c r="K45" s="20" t="str">
        <f>IF(ISBLANK('Raw counts'!K46),"",'Raw counts'!$W$66*'Raw counts'!$X46*'Raw counts'!K$67)</f>
        <v/>
      </c>
      <c r="L45" s="20" t="str">
        <f>IF(ISBLANK('Raw counts'!L46),"",'Raw counts'!$W$66*'Raw counts'!$X46*'Raw counts'!L$67)</f>
        <v/>
      </c>
      <c r="M45" s="20" t="str">
        <f>IF(ISBLANK('Raw counts'!M46),"",'Raw counts'!$W$66*'Raw counts'!$X46*'Raw counts'!M$67)</f>
        <v/>
      </c>
      <c r="N45" s="20" t="str">
        <f>IF(ISBLANK('Raw counts'!N46),"",'Raw counts'!$W$66*'Raw counts'!$X46*'Raw counts'!N$67)</f>
        <v/>
      </c>
      <c r="O45" s="20" t="str">
        <f>IF(ISBLANK('Raw counts'!O46),"",'Raw counts'!$W$66*'Raw counts'!$X46*'Raw counts'!O$67)</f>
        <v/>
      </c>
      <c r="P45" s="20" t="str">
        <f>IF(ISBLANK('Raw counts'!P46),"",'Raw counts'!$W$66*'Raw counts'!$X46*'Raw counts'!P$67)</f>
        <v/>
      </c>
      <c r="Q45" s="20" t="str">
        <f>IF(ISBLANK('Raw counts'!Q46),"",'Raw counts'!$W$66*'Raw counts'!$X46*'Raw counts'!Q$67)</f>
        <v/>
      </c>
      <c r="R45" s="20" t="str">
        <f>IF(ISBLANK('Raw counts'!R46),"",'Raw counts'!$W$66*'Raw counts'!$X46*'Raw counts'!R$67)</f>
        <v/>
      </c>
      <c r="S45" s="20" t="str">
        <f>IF(ISBLANK('Raw counts'!S46),"",'Raw counts'!$W$66*'Raw counts'!$X46*'Raw counts'!S$67)</f>
        <v/>
      </c>
      <c r="T45" s="20" t="str">
        <f>IF(ISBLANK('Raw counts'!T46),"",'Raw counts'!$W$66*'Raw counts'!$X46*'Raw counts'!T$67)</f>
        <v/>
      </c>
      <c r="U45" s="20" t="str">
        <f>IF(ISBLANK('Raw counts'!U46),"",'Raw counts'!$W$66*'Raw counts'!$X46*'Raw counts'!U$67)</f>
        <v/>
      </c>
      <c r="V45" s="6"/>
      <c r="W45" s="6">
        <f t="shared" si="2"/>
        <v>0</v>
      </c>
      <c r="X45" s="7">
        <f t="shared" si="1"/>
        <v>0</v>
      </c>
    </row>
    <row r="46" spans="1:24" x14ac:dyDescent="0.15">
      <c r="A46" s="18" t="str">
        <f>IF(ISBLANK('Raw counts'!A47),"",'Raw counts'!A47)</f>
        <v>Attr43</v>
      </c>
      <c r="B46" s="20" t="str">
        <f>IF(ISBLANK('Raw counts'!B47),"",'Raw counts'!$W$66*'Raw counts'!$X47*'Raw counts'!B$67)</f>
        <v/>
      </c>
      <c r="C46" s="20" t="str">
        <f>IF(ISBLANK('Raw counts'!C47),"",'Raw counts'!$W$66*'Raw counts'!$X47*'Raw counts'!C$67)</f>
        <v/>
      </c>
      <c r="D46" s="20" t="str">
        <f>IF(ISBLANK('Raw counts'!D47),"",'Raw counts'!$W$66*'Raw counts'!$X47*'Raw counts'!D$67)</f>
        <v/>
      </c>
      <c r="E46" s="20" t="str">
        <f>IF(ISBLANK('Raw counts'!E47),"",'Raw counts'!$W$66*'Raw counts'!$X47*'Raw counts'!E$67)</f>
        <v/>
      </c>
      <c r="F46" s="20" t="str">
        <f>IF(ISBLANK('Raw counts'!F47),"",'Raw counts'!$W$66*'Raw counts'!$X47*'Raw counts'!F$67)</f>
        <v/>
      </c>
      <c r="G46" s="20" t="str">
        <f>IF(ISBLANK('Raw counts'!G47),"",'Raw counts'!$W$66*'Raw counts'!$X47*'Raw counts'!G$67)</f>
        <v/>
      </c>
      <c r="H46" s="20" t="str">
        <f>IF(ISBLANK('Raw counts'!H47),"",'Raw counts'!$W$66*'Raw counts'!$X47*'Raw counts'!H$67)</f>
        <v/>
      </c>
      <c r="I46" s="20" t="str">
        <f>IF(ISBLANK('Raw counts'!I47),"",'Raw counts'!$W$66*'Raw counts'!$X47*'Raw counts'!I$67)</f>
        <v/>
      </c>
      <c r="J46" s="20" t="str">
        <f>IF(ISBLANK('Raw counts'!J47),"",'Raw counts'!$W$66*'Raw counts'!$X47*'Raw counts'!J$67)</f>
        <v/>
      </c>
      <c r="K46" s="20" t="str">
        <f>IF(ISBLANK('Raw counts'!K47),"",'Raw counts'!$W$66*'Raw counts'!$X47*'Raw counts'!K$67)</f>
        <v/>
      </c>
      <c r="L46" s="20" t="str">
        <f>IF(ISBLANK('Raw counts'!L47),"",'Raw counts'!$W$66*'Raw counts'!$X47*'Raw counts'!L$67)</f>
        <v/>
      </c>
      <c r="M46" s="20" t="str">
        <f>IF(ISBLANK('Raw counts'!M47),"",'Raw counts'!$W$66*'Raw counts'!$X47*'Raw counts'!M$67)</f>
        <v/>
      </c>
      <c r="N46" s="20" t="str">
        <f>IF(ISBLANK('Raw counts'!N47),"",'Raw counts'!$W$66*'Raw counts'!$X47*'Raw counts'!N$67)</f>
        <v/>
      </c>
      <c r="O46" s="20" t="str">
        <f>IF(ISBLANK('Raw counts'!O47),"",'Raw counts'!$W$66*'Raw counts'!$X47*'Raw counts'!O$67)</f>
        <v/>
      </c>
      <c r="P46" s="20" t="str">
        <f>IF(ISBLANK('Raw counts'!P47),"",'Raw counts'!$W$66*'Raw counts'!$X47*'Raw counts'!P$67)</f>
        <v/>
      </c>
      <c r="Q46" s="20" t="str">
        <f>IF(ISBLANK('Raw counts'!Q47),"",'Raw counts'!$W$66*'Raw counts'!$X47*'Raw counts'!Q$67)</f>
        <v/>
      </c>
      <c r="R46" s="20" t="str">
        <f>IF(ISBLANK('Raw counts'!R47),"",'Raw counts'!$W$66*'Raw counts'!$X47*'Raw counts'!R$67)</f>
        <v/>
      </c>
      <c r="S46" s="20" t="str">
        <f>IF(ISBLANK('Raw counts'!S47),"",'Raw counts'!$W$66*'Raw counts'!$X47*'Raw counts'!S$67)</f>
        <v/>
      </c>
      <c r="T46" s="20" t="str">
        <f>IF(ISBLANK('Raw counts'!T47),"",'Raw counts'!$W$66*'Raw counts'!$X47*'Raw counts'!T$67)</f>
        <v/>
      </c>
      <c r="U46" s="20" t="str">
        <f>IF(ISBLANK('Raw counts'!U47),"",'Raw counts'!$W$66*'Raw counts'!$X47*'Raw counts'!U$67)</f>
        <v/>
      </c>
      <c r="V46" s="6"/>
      <c r="W46" s="6">
        <f t="shared" si="2"/>
        <v>0</v>
      </c>
      <c r="X46" s="7">
        <f t="shared" si="1"/>
        <v>0</v>
      </c>
    </row>
    <row r="47" spans="1:24" x14ac:dyDescent="0.15">
      <c r="A47" s="18" t="str">
        <f>IF(ISBLANK('Raw counts'!A48),"",'Raw counts'!A48)</f>
        <v>Attr44</v>
      </c>
      <c r="B47" s="20" t="str">
        <f>IF(ISBLANK('Raw counts'!B48),"",'Raw counts'!$W$66*'Raw counts'!$X48*'Raw counts'!B$67)</f>
        <v/>
      </c>
      <c r="C47" s="20" t="str">
        <f>IF(ISBLANK('Raw counts'!C48),"",'Raw counts'!$W$66*'Raw counts'!$X48*'Raw counts'!C$67)</f>
        <v/>
      </c>
      <c r="D47" s="20" t="str">
        <f>IF(ISBLANK('Raw counts'!D48),"",'Raw counts'!$W$66*'Raw counts'!$X48*'Raw counts'!D$67)</f>
        <v/>
      </c>
      <c r="E47" s="20" t="str">
        <f>IF(ISBLANK('Raw counts'!E48),"",'Raw counts'!$W$66*'Raw counts'!$X48*'Raw counts'!E$67)</f>
        <v/>
      </c>
      <c r="F47" s="20" t="str">
        <f>IF(ISBLANK('Raw counts'!F48),"",'Raw counts'!$W$66*'Raw counts'!$X48*'Raw counts'!F$67)</f>
        <v/>
      </c>
      <c r="G47" s="20" t="str">
        <f>IF(ISBLANK('Raw counts'!G48),"",'Raw counts'!$W$66*'Raw counts'!$X48*'Raw counts'!G$67)</f>
        <v/>
      </c>
      <c r="H47" s="20" t="str">
        <f>IF(ISBLANK('Raw counts'!H48),"",'Raw counts'!$W$66*'Raw counts'!$X48*'Raw counts'!H$67)</f>
        <v/>
      </c>
      <c r="I47" s="20" t="str">
        <f>IF(ISBLANK('Raw counts'!I48),"",'Raw counts'!$W$66*'Raw counts'!$X48*'Raw counts'!I$67)</f>
        <v/>
      </c>
      <c r="J47" s="20" t="str">
        <f>IF(ISBLANK('Raw counts'!J48),"",'Raw counts'!$W$66*'Raw counts'!$X48*'Raw counts'!J$67)</f>
        <v/>
      </c>
      <c r="K47" s="20" t="str">
        <f>IF(ISBLANK('Raw counts'!K48),"",'Raw counts'!$W$66*'Raw counts'!$X48*'Raw counts'!K$67)</f>
        <v/>
      </c>
      <c r="L47" s="20" t="str">
        <f>IF(ISBLANK('Raw counts'!L48),"",'Raw counts'!$W$66*'Raw counts'!$X48*'Raw counts'!L$67)</f>
        <v/>
      </c>
      <c r="M47" s="20" t="str">
        <f>IF(ISBLANK('Raw counts'!M48),"",'Raw counts'!$W$66*'Raw counts'!$X48*'Raw counts'!M$67)</f>
        <v/>
      </c>
      <c r="N47" s="20" t="str">
        <f>IF(ISBLANK('Raw counts'!N48),"",'Raw counts'!$W$66*'Raw counts'!$X48*'Raw counts'!N$67)</f>
        <v/>
      </c>
      <c r="O47" s="20" t="str">
        <f>IF(ISBLANK('Raw counts'!O48),"",'Raw counts'!$W$66*'Raw counts'!$X48*'Raw counts'!O$67)</f>
        <v/>
      </c>
      <c r="P47" s="20" t="str">
        <f>IF(ISBLANK('Raw counts'!P48),"",'Raw counts'!$W$66*'Raw counts'!$X48*'Raw counts'!P$67)</f>
        <v/>
      </c>
      <c r="Q47" s="20" t="str">
        <f>IF(ISBLANK('Raw counts'!Q48),"",'Raw counts'!$W$66*'Raw counts'!$X48*'Raw counts'!Q$67)</f>
        <v/>
      </c>
      <c r="R47" s="20" t="str">
        <f>IF(ISBLANK('Raw counts'!R48),"",'Raw counts'!$W$66*'Raw counts'!$X48*'Raw counts'!R$67)</f>
        <v/>
      </c>
      <c r="S47" s="20" t="str">
        <f>IF(ISBLANK('Raw counts'!S48),"",'Raw counts'!$W$66*'Raw counts'!$X48*'Raw counts'!S$67)</f>
        <v/>
      </c>
      <c r="T47" s="20" t="str">
        <f>IF(ISBLANK('Raw counts'!T48),"",'Raw counts'!$W$66*'Raw counts'!$X48*'Raw counts'!T$67)</f>
        <v/>
      </c>
      <c r="U47" s="20" t="str">
        <f>IF(ISBLANK('Raw counts'!U48),"",'Raw counts'!$W$66*'Raw counts'!$X48*'Raw counts'!U$67)</f>
        <v/>
      </c>
      <c r="V47" s="6"/>
      <c r="W47" s="6">
        <f t="shared" si="2"/>
        <v>0</v>
      </c>
      <c r="X47" s="7">
        <f t="shared" si="1"/>
        <v>0</v>
      </c>
    </row>
    <row r="48" spans="1:24" x14ac:dyDescent="0.15">
      <c r="A48" s="18" t="str">
        <f>IF(ISBLANK('Raw counts'!A49),"",'Raw counts'!A49)</f>
        <v>Attr45</v>
      </c>
      <c r="B48" s="20" t="str">
        <f>IF(ISBLANK('Raw counts'!B49),"",'Raw counts'!$W$66*'Raw counts'!$X49*'Raw counts'!B$67)</f>
        <v/>
      </c>
      <c r="C48" s="20" t="str">
        <f>IF(ISBLANK('Raw counts'!C49),"",'Raw counts'!$W$66*'Raw counts'!$X49*'Raw counts'!C$67)</f>
        <v/>
      </c>
      <c r="D48" s="20" t="str">
        <f>IF(ISBLANK('Raw counts'!D49),"",'Raw counts'!$W$66*'Raw counts'!$X49*'Raw counts'!D$67)</f>
        <v/>
      </c>
      <c r="E48" s="20" t="str">
        <f>IF(ISBLANK('Raw counts'!E49),"",'Raw counts'!$W$66*'Raw counts'!$X49*'Raw counts'!E$67)</f>
        <v/>
      </c>
      <c r="F48" s="20" t="str">
        <f>IF(ISBLANK('Raw counts'!F49),"",'Raw counts'!$W$66*'Raw counts'!$X49*'Raw counts'!F$67)</f>
        <v/>
      </c>
      <c r="G48" s="20" t="str">
        <f>IF(ISBLANK('Raw counts'!G49),"",'Raw counts'!$W$66*'Raw counts'!$X49*'Raw counts'!G$67)</f>
        <v/>
      </c>
      <c r="H48" s="20" t="str">
        <f>IF(ISBLANK('Raw counts'!H49),"",'Raw counts'!$W$66*'Raw counts'!$X49*'Raw counts'!H$67)</f>
        <v/>
      </c>
      <c r="I48" s="20" t="str">
        <f>IF(ISBLANK('Raw counts'!I49),"",'Raw counts'!$W$66*'Raw counts'!$X49*'Raw counts'!I$67)</f>
        <v/>
      </c>
      <c r="J48" s="20" t="str">
        <f>IF(ISBLANK('Raw counts'!J49),"",'Raw counts'!$W$66*'Raw counts'!$X49*'Raw counts'!J$67)</f>
        <v/>
      </c>
      <c r="K48" s="20" t="str">
        <f>IF(ISBLANK('Raw counts'!K49),"",'Raw counts'!$W$66*'Raw counts'!$X49*'Raw counts'!K$67)</f>
        <v/>
      </c>
      <c r="L48" s="20" t="str">
        <f>IF(ISBLANK('Raw counts'!L49),"",'Raw counts'!$W$66*'Raw counts'!$X49*'Raw counts'!L$67)</f>
        <v/>
      </c>
      <c r="M48" s="20" t="str">
        <f>IF(ISBLANK('Raw counts'!M49),"",'Raw counts'!$W$66*'Raw counts'!$X49*'Raw counts'!M$67)</f>
        <v/>
      </c>
      <c r="N48" s="20" t="str">
        <f>IF(ISBLANK('Raw counts'!N49),"",'Raw counts'!$W$66*'Raw counts'!$X49*'Raw counts'!N$67)</f>
        <v/>
      </c>
      <c r="O48" s="20" t="str">
        <f>IF(ISBLANK('Raw counts'!O49),"",'Raw counts'!$W$66*'Raw counts'!$X49*'Raw counts'!O$67)</f>
        <v/>
      </c>
      <c r="P48" s="20" t="str">
        <f>IF(ISBLANK('Raw counts'!P49),"",'Raw counts'!$W$66*'Raw counts'!$X49*'Raw counts'!P$67)</f>
        <v/>
      </c>
      <c r="Q48" s="20" t="str">
        <f>IF(ISBLANK('Raw counts'!Q49),"",'Raw counts'!$W$66*'Raw counts'!$X49*'Raw counts'!Q$67)</f>
        <v/>
      </c>
      <c r="R48" s="20" t="str">
        <f>IF(ISBLANK('Raw counts'!R49),"",'Raw counts'!$W$66*'Raw counts'!$X49*'Raw counts'!R$67)</f>
        <v/>
      </c>
      <c r="S48" s="20" t="str">
        <f>IF(ISBLANK('Raw counts'!S49),"",'Raw counts'!$W$66*'Raw counts'!$X49*'Raw counts'!S$67)</f>
        <v/>
      </c>
      <c r="T48" s="20" t="str">
        <f>IF(ISBLANK('Raw counts'!T49),"",'Raw counts'!$W$66*'Raw counts'!$X49*'Raw counts'!T$67)</f>
        <v/>
      </c>
      <c r="U48" s="20" t="str">
        <f>IF(ISBLANK('Raw counts'!U49),"",'Raw counts'!$W$66*'Raw counts'!$X49*'Raw counts'!U$67)</f>
        <v/>
      </c>
      <c r="V48" s="6"/>
      <c r="W48" s="6">
        <f t="shared" si="2"/>
        <v>0</v>
      </c>
      <c r="X48" s="7">
        <f t="shared" si="1"/>
        <v>0</v>
      </c>
    </row>
    <row r="49" spans="1:24" x14ac:dyDescent="0.15">
      <c r="A49" s="18" t="str">
        <f>IF(ISBLANK('Raw counts'!A50),"",'Raw counts'!A50)</f>
        <v>Attr46</v>
      </c>
      <c r="B49" s="20" t="str">
        <f>IF(ISBLANK('Raw counts'!B50),"",'Raw counts'!$W$66*'Raw counts'!$X50*'Raw counts'!B$67)</f>
        <v/>
      </c>
      <c r="C49" s="20" t="str">
        <f>IF(ISBLANK('Raw counts'!C50),"",'Raw counts'!$W$66*'Raw counts'!$X50*'Raw counts'!C$67)</f>
        <v/>
      </c>
      <c r="D49" s="20" t="str">
        <f>IF(ISBLANK('Raw counts'!D50),"",'Raw counts'!$W$66*'Raw counts'!$X50*'Raw counts'!D$67)</f>
        <v/>
      </c>
      <c r="E49" s="20" t="str">
        <f>IF(ISBLANK('Raw counts'!E50),"",'Raw counts'!$W$66*'Raw counts'!$X50*'Raw counts'!E$67)</f>
        <v/>
      </c>
      <c r="F49" s="20" t="str">
        <f>IF(ISBLANK('Raw counts'!F50),"",'Raw counts'!$W$66*'Raw counts'!$X50*'Raw counts'!F$67)</f>
        <v/>
      </c>
      <c r="G49" s="20" t="str">
        <f>IF(ISBLANK('Raw counts'!G50),"",'Raw counts'!$W$66*'Raw counts'!$X50*'Raw counts'!G$67)</f>
        <v/>
      </c>
      <c r="H49" s="20" t="str">
        <f>IF(ISBLANK('Raw counts'!H50),"",'Raw counts'!$W$66*'Raw counts'!$X50*'Raw counts'!H$67)</f>
        <v/>
      </c>
      <c r="I49" s="20" t="str">
        <f>IF(ISBLANK('Raw counts'!I50),"",'Raw counts'!$W$66*'Raw counts'!$X50*'Raw counts'!I$67)</f>
        <v/>
      </c>
      <c r="J49" s="20" t="str">
        <f>IF(ISBLANK('Raw counts'!J50),"",'Raw counts'!$W$66*'Raw counts'!$X50*'Raw counts'!J$67)</f>
        <v/>
      </c>
      <c r="K49" s="20" t="str">
        <f>IF(ISBLANK('Raw counts'!K50),"",'Raw counts'!$W$66*'Raw counts'!$X50*'Raw counts'!K$67)</f>
        <v/>
      </c>
      <c r="L49" s="20" t="str">
        <f>IF(ISBLANK('Raw counts'!L50),"",'Raw counts'!$W$66*'Raw counts'!$X50*'Raw counts'!L$67)</f>
        <v/>
      </c>
      <c r="M49" s="20" t="str">
        <f>IF(ISBLANK('Raw counts'!M50),"",'Raw counts'!$W$66*'Raw counts'!$X50*'Raw counts'!M$67)</f>
        <v/>
      </c>
      <c r="N49" s="20" t="str">
        <f>IF(ISBLANK('Raw counts'!N50),"",'Raw counts'!$W$66*'Raw counts'!$X50*'Raw counts'!N$67)</f>
        <v/>
      </c>
      <c r="O49" s="20" t="str">
        <f>IF(ISBLANK('Raw counts'!O50),"",'Raw counts'!$W$66*'Raw counts'!$X50*'Raw counts'!O$67)</f>
        <v/>
      </c>
      <c r="P49" s="20" t="str">
        <f>IF(ISBLANK('Raw counts'!P50),"",'Raw counts'!$W$66*'Raw counts'!$X50*'Raw counts'!P$67)</f>
        <v/>
      </c>
      <c r="Q49" s="20" t="str">
        <f>IF(ISBLANK('Raw counts'!Q50),"",'Raw counts'!$W$66*'Raw counts'!$X50*'Raw counts'!Q$67)</f>
        <v/>
      </c>
      <c r="R49" s="20" t="str">
        <f>IF(ISBLANK('Raw counts'!R50),"",'Raw counts'!$W$66*'Raw counts'!$X50*'Raw counts'!R$67)</f>
        <v/>
      </c>
      <c r="S49" s="20" t="str">
        <f>IF(ISBLANK('Raw counts'!S50),"",'Raw counts'!$W$66*'Raw counts'!$X50*'Raw counts'!S$67)</f>
        <v/>
      </c>
      <c r="T49" s="20" t="str">
        <f>IF(ISBLANK('Raw counts'!T50),"",'Raw counts'!$W$66*'Raw counts'!$X50*'Raw counts'!T$67)</f>
        <v/>
      </c>
      <c r="U49" s="20" t="str">
        <f>IF(ISBLANK('Raw counts'!U50),"",'Raw counts'!$W$66*'Raw counts'!$X50*'Raw counts'!U$67)</f>
        <v/>
      </c>
      <c r="V49" s="6"/>
      <c r="W49" s="6">
        <f t="shared" si="2"/>
        <v>0</v>
      </c>
      <c r="X49" s="7">
        <f t="shared" si="1"/>
        <v>0</v>
      </c>
    </row>
    <row r="50" spans="1:24" x14ac:dyDescent="0.15">
      <c r="A50" s="18" t="str">
        <f>IF(ISBLANK('Raw counts'!A51),"",'Raw counts'!A51)</f>
        <v>Attr47</v>
      </c>
      <c r="B50" s="20" t="str">
        <f>IF(ISBLANK('Raw counts'!B51),"",'Raw counts'!$W$66*'Raw counts'!$X51*'Raw counts'!B$67)</f>
        <v/>
      </c>
      <c r="C50" s="20" t="str">
        <f>IF(ISBLANK('Raw counts'!C51),"",'Raw counts'!$W$66*'Raw counts'!$X51*'Raw counts'!C$67)</f>
        <v/>
      </c>
      <c r="D50" s="20" t="str">
        <f>IF(ISBLANK('Raw counts'!D51),"",'Raw counts'!$W$66*'Raw counts'!$X51*'Raw counts'!D$67)</f>
        <v/>
      </c>
      <c r="E50" s="20" t="str">
        <f>IF(ISBLANK('Raw counts'!E51),"",'Raw counts'!$W$66*'Raw counts'!$X51*'Raw counts'!E$67)</f>
        <v/>
      </c>
      <c r="F50" s="20" t="str">
        <f>IF(ISBLANK('Raw counts'!F51),"",'Raw counts'!$W$66*'Raw counts'!$X51*'Raw counts'!F$67)</f>
        <v/>
      </c>
      <c r="G50" s="20" t="str">
        <f>IF(ISBLANK('Raw counts'!G51),"",'Raw counts'!$W$66*'Raw counts'!$X51*'Raw counts'!G$67)</f>
        <v/>
      </c>
      <c r="H50" s="20" t="str">
        <f>IF(ISBLANK('Raw counts'!H51),"",'Raw counts'!$W$66*'Raw counts'!$X51*'Raw counts'!H$67)</f>
        <v/>
      </c>
      <c r="I50" s="20" t="str">
        <f>IF(ISBLANK('Raw counts'!I51),"",'Raw counts'!$W$66*'Raw counts'!$X51*'Raw counts'!I$67)</f>
        <v/>
      </c>
      <c r="J50" s="20" t="str">
        <f>IF(ISBLANK('Raw counts'!J51),"",'Raw counts'!$W$66*'Raw counts'!$X51*'Raw counts'!J$67)</f>
        <v/>
      </c>
      <c r="K50" s="20" t="str">
        <f>IF(ISBLANK('Raw counts'!K51),"",'Raw counts'!$W$66*'Raw counts'!$X51*'Raw counts'!K$67)</f>
        <v/>
      </c>
      <c r="L50" s="20" t="str">
        <f>IF(ISBLANK('Raw counts'!L51),"",'Raw counts'!$W$66*'Raw counts'!$X51*'Raw counts'!L$67)</f>
        <v/>
      </c>
      <c r="M50" s="20" t="str">
        <f>IF(ISBLANK('Raw counts'!M51),"",'Raw counts'!$W$66*'Raw counts'!$X51*'Raw counts'!M$67)</f>
        <v/>
      </c>
      <c r="N50" s="20" t="str">
        <f>IF(ISBLANK('Raw counts'!N51),"",'Raw counts'!$W$66*'Raw counts'!$X51*'Raw counts'!N$67)</f>
        <v/>
      </c>
      <c r="O50" s="20" t="str">
        <f>IF(ISBLANK('Raw counts'!O51),"",'Raw counts'!$W$66*'Raw counts'!$X51*'Raw counts'!O$67)</f>
        <v/>
      </c>
      <c r="P50" s="20" t="str">
        <f>IF(ISBLANK('Raw counts'!P51),"",'Raw counts'!$W$66*'Raw counts'!$X51*'Raw counts'!P$67)</f>
        <v/>
      </c>
      <c r="Q50" s="20" t="str">
        <f>IF(ISBLANK('Raw counts'!Q51),"",'Raw counts'!$W$66*'Raw counts'!$X51*'Raw counts'!Q$67)</f>
        <v/>
      </c>
      <c r="R50" s="20" t="str">
        <f>IF(ISBLANK('Raw counts'!R51),"",'Raw counts'!$W$66*'Raw counts'!$X51*'Raw counts'!R$67)</f>
        <v/>
      </c>
      <c r="S50" s="20" t="str">
        <f>IF(ISBLANK('Raw counts'!S51),"",'Raw counts'!$W$66*'Raw counts'!$X51*'Raw counts'!S$67)</f>
        <v/>
      </c>
      <c r="T50" s="20" t="str">
        <f>IF(ISBLANK('Raw counts'!T51),"",'Raw counts'!$W$66*'Raw counts'!$X51*'Raw counts'!T$67)</f>
        <v/>
      </c>
      <c r="U50" s="20" t="str">
        <f>IF(ISBLANK('Raw counts'!U51),"",'Raw counts'!$W$66*'Raw counts'!$X51*'Raw counts'!U$67)</f>
        <v/>
      </c>
      <c r="V50" s="6"/>
      <c r="W50" s="6">
        <f t="shared" si="2"/>
        <v>0</v>
      </c>
      <c r="X50" s="7">
        <f t="shared" si="1"/>
        <v>0</v>
      </c>
    </row>
    <row r="51" spans="1:24" x14ac:dyDescent="0.15">
      <c r="A51" s="18" t="str">
        <f>IF(ISBLANK('Raw counts'!A52),"",'Raw counts'!A52)</f>
        <v>Attr48</v>
      </c>
      <c r="B51" s="20" t="str">
        <f>IF(ISBLANK('Raw counts'!B52),"",'Raw counts'!$W$66*'Raw counts'!$X52*'Raw counts'!B$67)</f>
        <v/>
      </c>
      <c r="C51" s="20" t="str">
        <f>IF(ISBLANK('Raw counts'!C52),"",'Raw counts'!$W$66*'Raw counts'!$X52*'Raw counts'!C$67)</f>
        <v/>
      </c>
      <c r="D51" s="20" t="str">
        <f>IF(ISBLANK('Raw counts'!D52),"",'Raw counts'!$W$66*'Raw counts'!$X52*'Raw counts'!D$67)</f>
        <v/>
      </c>
      <c r="E51" s="20" t="str">
        <f>IF(ISBLANK('Raw counts'!E52),"",'Raw counts'!$W$66*'Raw counts'!$X52*'Raw counts'!E$67)</f>
        <v/>
      </c>
      <c r="F51" s="20" t="str">
        <f>IF(ISBLANK('Raw counts'!F52),"",'Raw counts'!$W$66*'Raw counts'!$X52*'Raw counts'!F$67)</f>
        <v/>
      </c>
      <c r="G51" s="20" t="str">
        <f>IF(ISBLANK('Raw counts'!G52),"",'Raw counts'!$W$66*'Raw counts'!$X52*'Raw counts'!G$67)</f>
        <v/>
      </c>
      <c r="H51" s="20" t="str">
        <f>IF(ISBLANK('Raw counts'!H52),"",'Raw counts'!$W$66*'Raw counts'!$X52*'Raw counts'!H$67)</f>
        <v/>
      </c>
      <c r="I51" s="20" t="str">
        <f>IF(ISBLANK('Raw counts'!I52),"",'Raw counts'!$W$66*'Raw counts'!$X52*'Raw counts'!I$67)</f>
        <v/>
      </c>
      <c r="J51" s="20" t="str">
        <f>IF(ISBLANK('Raw counts'!J52),"",'Raw counts'!$W$66*'Raw counts'!$X52*'Raw counts'!J$67)</f>
        <v/>
      </c>
      <c r="K51" s="20" t="str">
        <f>IF(ISBLANK('Raw counts'!K52),"",'Raw counts'!$W$66*'Raw counts'!$X52*'Raw counts'!K$67)</f>
        <v/>
      </c>
      <c r="L51" s="20" t="str">
        <f>IF(ISBLANK('Raw counts'!L52),"",'Raw counts'!$W$66*'Raw counts'!$X52*'Raw counts'!L$67)</f>
        <v/>
      </c>
      <c r="M51" s="20" t="str">
        <f>IF(ISBLANK('Raw counts'!M52),"",'Raw counts'!$W$66*'Raw counts'!$X52*'Raw counts'!M$67)</f>
        <v/>
      </c>
      <c r="N51" s="20" t="str">
        <f>IF(ISBLANK('Raw counts'!N52),"",'Raw counts'!$W$66*'Raw counts'!$X52*'Raw counts'!N$67)</f>
        <v/>
      </c>
      <c r="O51" s="20" t="str">
        <f>IF(ISBLANK('Raw counts'!O52),"",'Raw counts'!$W$66*'Raw counts'!$X52*'Raw counts'!O$67)</f>
        <v/>
      </c>
      <c r="P51" s="20" t="str">
        <f>IF(ISBLANK('Raw counts'!P52),"",'Raw counts'!$W$66*'Raw counts'!$X52*'Raw counts'!P$67)</f>
        <v/>
      </c>
      <c r="Q51" s="20" t="str">
        <f>IF(ISBLANK('Raw counts'!Q52),"",'Raw counts'!$W$66*'Raw counts'!$X52*'Raw counts'!Q$67)</f>
        <v/>
      </c>
      <c r="R51" s="20" t="str">
        <f>IF(ISBLANK('Raw counts'!R52),"",'Raw counts'!$W$66*'Raw counts'!$X52*'Raw counts'!R$67)</f>
        <v/>
      </c>
      <c r="S51" s="20" t="str">
        <f>IF(ISBLANK('Raw counts'!S52),"",'Raw counts'!$W$66*'Raw counts'!$X52*'Raw counts'!S$67)</f>
        <v/>
      </c>
      <c r="T51" s="20" t="str">
        <f>IF(ISBLANK('Raw counts'!T52),"",'Raw counts'!$W$66*'Raw counts'!$X52*'Raw counts'!T$67)</f>
        <v/>
      </c>
      <c r="U51" s="20" t="str">
        <f>IF(ISBLANK('Raw counts'!U52),"",'Raw counts'!$W$66*'Raw counts'!$X52*'Raw counts'!U$67)</f>
        <v/>
      </c>
      <c r="V51" s="6"/>
      <c r="W51" s="6">
        <f t="shared" si="2"/>
        <v>0</v>
      </c>
      <c r="X51" s="7">
        <f t="shared" si="1"/>
        <v>0</v>
      </c>
    </row>
    <row r="52" spans="1:24" x14ac:dyDescent="0.15">
      <c r="A52" s="18" t="str">
        <f>IF(ISBLANK('Raw counts'!A53),"",'Raw counts'!A53)</f>
        <v>Attr49</v>
      </c>
      <c r="B52" s="20" t="str">
        <f>IF(ISBLANK('Raw counts'!B53),"",'Raw counts'!$W$66*'Raw counts'!$X53*'Raw counts'!B$67)</f>
        <v/>
      </c>
      <c r="C52" s="20" t="str">
        <f>IF(ISBLANK('Raw counts'!C53),"",'Raw counts'!$W$66*'Raw counts'!$X53*'Raw counts'!C$67)</f>
        <v/>
      </c>
      <c r="D52" s="20" t="str">
        <f>IF(ISBLANK('Raw counts'!D53),"",'Raw counts'!$W$66*'Raw counts'!$X53*'Raw counts'!D$67)</f>
        <v/>
      </c>
      <c r="E52" s="20" t="str">
        <f>IF(ISBLANK('Raw counts'!E53),"",'Raw counts'!$W$66*'Raw counts'!$X53*'Raw counts'!E$67)</f>
        <v/>
      </c>
      <c r="F52" s="20" t="str">
        <f>IF(ISBLANK('Raw counts'!F53),"",'Raw counts'!$W$66*'Raw counts'!$X53*'Raw counts'!F$67)</f>
        <v/>
      </c>
      <c r="G52" s="20" t="str">
        <f>IF(ISBLANK('Raw counts'!G53),"",'Raw counts'!$W$66*'Raw counts'!$X53*'Raw counts'!G$67)</f>
        <v/>
      </c>
      <c r="H52" s="20" t="str">
        <f>IF(ISBLANK('Raw counts'!H53),"",'Raw counts'!$W$66*'Raw counts'!$X53*'Raw counts'!H$67)</f>
        <v/>
      </c>
      <c r="I52" s="20" t="str">
        <f>IF(ISBLANK('Raw counts'!I53),"",'Raw counts'!$W$66*'Raw counts'!$X53*'Raw counts'!I$67)</f>
        <v/>
      </c>
      <c r="J52" s="20" t="str">
        <f>IF(ISBLANK('Raw counts'!J53),"",'Raw counts'!$W$66*'Raw counts'!$X53*'Raw counts'!J$67)</f>
        <v/>
      </c>
      <c r="K52" s="20" t="str">
        <f>IF(ISBLANK('Raw counts'!K53),"",'Raw counts'!$W$66*'Raw counts'!$X53*'Raw counts'!K$67)</f>
        <v/>
      </c>
      <c r="L52" s="20" t="str">
        <f>IF(ISBLANK('Raw counts'!L53),"",'Raw counts'!$W$66*'Raw counts'!$X53*'Raw counts'!L$67)</f>
        <v/>
      </c>
      <c r="M52" s="20" t="str">
        <f>IF(ISBLANK('Raw counts'!M53),"",'Raw counts'!$W$66*'Raw counts'!$X53*'Raw counts'!M$67)</f>
        <v/>
      </c>
      <c r="N52" s="20" t="str">
        <f>IF(ISBLANK('Raw counts'!N53),"",'Raw counts'!$W$66*'Raw counts'!$X53*'Raw counts'!N$67)</f>
        <v/>
      </c>
      <c r="O52" s="20" t="str">
        <f>IF(ISBLANK('Raw counts'!O53),"",'Raw counts'!$W$66*'Raw counts'!$X53*'Raw counts'!O$67)</f>
        <v/>
      </c>
      <c r="P52" s="20" t="str">
        <f>IF(ISBLANK('Raw counts'!P53),"",'Raw counts'!$W$66*'Raw counts'!$X53*'Raw counts'!P$67)</f>
        <v/>
      </c>
      <c r="Q52" s="20" t="str">
        <f>IF(ISBLANK('Raw counts'!Q53),"",'Raw counts'!$W$66*'Raw counts'!$X53*'Raw counts'!Q$67)</f>
        <v/>
      </c>
      <c r="R52" s="20" t="str">
        <f>IF(ISBLANK('Raw counts'!R53),"",'Raw counts'!$W$66*'Raw counts'!$X53*'Raw counts'!R$67)</f>
        <v/>
      </c>
      <c r="S52" s="20" t="str">
        <f>IF(ISBLANK('Raw counts'!S53),"",'Raw counts'!$W$66*'Raw counts'!$X53*'Raw counts'!S$67)</f>
        <v/>
      </c>
      <c r="T52" s="20" t="str">
        <f>IF(ISBLANK('Raw counts'!T53),"",'Raw counts'!$W$66*'Raw counts'!$X53*'Raw counts'!T$67)</f>
        <v/>
      </c>
      <c r="U52" s="20" t="str">
        <f>IF(ISBLANK('Raw counts'!U53),"",'Raw counts'!$W$66*'Raw counts'!$X53*'Raw counts'!U$67)</f>
        <v/>
      </c>
      <c r="V52" s="6"/>
      <c r="W52" s="6">
        <f t="shared" si="2"/>
        <v>0</v>
      </c>
      <c r="X52" s="7">
        <f t="shared" si="1"/>
        <v>0</v>
      </c>
    </row>
    <row r="53" spans="1:24" x14ac:dyDescent="0.15">
      <c r="A53" s="18" t="str">
        <f>IF(ISBLANK('Raw counts'!A54),"",'Raw counts'!A54)</f>
        <v>Attr50</v>
      </c>
      <c r="B53" s="20" t="str">
        <f>IF(ISBLANK('Raw counts'!B54),"",'Raw counts'!$W$66*'Raw counts'!$X54*'Raw counts'!B$67)</f>
        <v/>
      </c>
      <c r="C53" s="20" t="str">
        <f>IF(ISBLANK('Raw counts'!C54),"",'Raw counts'!$W$66*'Raw counts'!$X54*'Raw counts'!C$67)</f>
        <v/>
      </c>
      <c r="D53" s="20" t="str">
        <f>IF(ISBLANK('Raw counts'!D54),"",'Raw counts'!$W$66*'Raw counts'!$X54*'Raw counts'!D$67)</f>
        <v/>
      </c>
      <c r="E53" s="20" t="str">
        <f>IF(ISBLANK('Raw counts'!E54),"",'Raw counts'!$W$66*'Raw counts'!$X54*'Raw counts'!E$67)</f>
        <v/>
      </c>
      <c r="F53" s="20" t="str">
        <f>IF(ISBLANK('Raw counts'!F54),"",'Raw counts'!$W$66*'Raw counts'!$X54*'Raw counts'!F$67)</f>
        <v/>
      </c>
      <c r="G53" s="20" t="str">
        <f>IF(ISBLANK('Raw counts'!G54),"",'Raw counts'!$W$66*'Raw counts'!$X54*'Raw counts'!G$67)</f>
        <v/>
      </c>
      <c r="H53" s="20" t="str">
        <f>IF(ISBLANK('Raw counts'!H54),"",'Raw counts'!$W$66*'Raw counts'!$X54*'Raw counts'!H$67)</f>
        <v/>
      </c>
      <c r="I53" s="20" t="str">
        <f>IF(ISBLANK('Raw counts'!I54),"",'Raw counts'!$W$66*'Raw counts'!$X54*'Raw counts'!I$67)</f>
        <v/>
      </c>
      <c r="J53" s="20" t="str">
        <f>IF(ISBLANK('Raw counts'!J54),"",'Raw counts'!$W$66*'Raw counts'!$X54*'Raw counts'!J$67)</f>
        <v/>
      </c>
      <c r="K53" s="20" t="str">
        <f>IF(ISBLANK('Raw counts'!K54),"",'Raw counts'!$W$66*'Raw counts'!$X54*'Raw counts'!K$67)</f>
        <v/>
      </c>
      <c r="L53" s="20" t="str">
        <f>IF(ISBLANK('Raw counts'!L54),"",'Raw counts'!$W$66*'Raw counts'!$X54*'Raw counts'!L$67)</f>
        <v/>
      </c>
      <c r="M53" s="20" t="str">
        <f>IF(ISBLANK('Raw counts'!M54),"",'Raw counts'!$W$66*'Raw counts'!$X54*'Raw counts'!M$67)</f>
        <v/>
      </c>
      <c r="N53" s="20" t="str">
        <f>IF(ISBLANK('Raw counts'!N54),"",'Raw counts'!$W$66*'Raw counts'!$X54*'Raw counts'!N$67)</f>
        <v/>
      </c>
      <c r="O53" s="20" t="str">
        <f>IF(ISBLANK('Raw counts'!O54),"",'Raw counts'!$W$66*'Raw counts'!$X54*'Raw counts'!O$67)</f>
        <v/>
      </c>
      <c r="P53" s="20" t="str">
        <f>IF(ISBLANK('Raw counts'!P54),"",'Raw counts'!$W$66*'Raw counts'!$X54*'Raw counts'!P$67)</f>
        <v/>
      </c>
      <c r="Q53" s="20" t="str">
        <f>IF(ISBLANK('Raw counts'!Q54),"",'Raw counts'!$W$66*'Raw counts'!$X54*'Raw counts'!Q$67)</f>
        <v/>
      </c>
      <c r="R53" s="20" t="str">
        <f>IF(ISBLANK('Raw counts'!R54),"",'Raw counts'!$W$66*'Raw counts'!$X54*'Raw counts'!R$67)</f>
        <v/>
      </c>
      <c r="S53" s="20" t="str">
        <f>IF(ISBLANK('Raw counts'!S54),"",'Raw counts'!$W$66*'Raw counts'!$X54*'Raw counts'!S$67)</f>
        <v/>
      </c>
      <c r="T53" s="20" t="str">
        <f>IF(ISBLANK('Raw counts'!T54),"",'Raw counts'!$W$66*'Raw counts'!$X54*'Raw counts'!T$67)</f>
        <v/>
      </c>
      <c r="U53" s="20" t="str">
        <f>IF(ISBLANK('Raw counts'!U54),"",'Raw counts'!$W$66*'Raw counts'!$X54*'Raw counts'!U$67)</f>
        <v/>
      </c>
      <c r="V53" s="6"/>
      <c r="W53" s="6">
        <f t="shared" si="0"/>
        <v>0</v>
      </c>
      <c r="X53" s="7">
        <f t="shared" si="1"/>
        <v>0</v>
      </c>
    </row>
    <row r="54" spans="1:24" x14ac:dyDescent="0.15">
      <c r="A54" s="18" t="str">
        <f>IF(ISBLANK('Raw counts'!A55),"",'Raw counts'!A55)</f>
        <v>Attr51</v>
      </c>
      <c r="B54" s="20" t="str">
        <f>IF(ISBLANK('Raw counts'!B55),"",'Raw counts'!$W$66*'Raw counts'!$X55*'Raw counts'!B$67)</f>
        <v/>
      </c>
      <c r="C54" s="20" t="str">
        <f>IF(ISBLANK('Raw counts'!C55),"",'Raw counts'!$W$66*'Raw counts'!$X55*'Raw counts'!C$67)</f>
        <v/>
      </c>
      <c r="D54" s="20" t="str">
        <f>IF(ISBLANK('Raw counts'!D55),"",'Raw counts'!$W$66*'Raw counts'!$X55*'Raw counts'!D$67)</f>
        <v/>
      </c>
      <c r="E54" s="20" t="str">
        <f>IF(ISBLANK('Raw counts'!E55),"",'Raw counts'!$W$66*'Raw counts'!$X55*'Raw counts'!E$67)</f>
        <v/>
      </c>
      <c r="F54" s="20" t="str">
        <f>IF(ISBLANK('Raw counts'!F55),"",'Raw counts'!$W$66*'Raw counts'!$X55*'Raw counts'!F$67)</f>
        <v/>
      </c>
      <c r="G54" s="20" t="str">
        <f>IF(ISBLANK('Raw counts'!G55),"",'Raw counts'!$W$66*'Raw counts'!$X55*'Raw counts'!G$67)</f>
        <v/>
      </c>
      <c r="H54" s="20" t="str">
        <f>IF(ISBLANK('Raw counts'!H55),"",'Raw counts'!$W$66*'Raw counts'!$X55*'Raw counts'!H$67)</f>
        <v/>
      </c>
      <c r="I54" s="20" t="str">
        <f>IF(ISBLANK('Raw counts'!I55),"",'Raw counts'!$W$66*'Raw counts'!$X55*'Raw counts'!I$67)</f>
        <v/>
      </c>
      <c r="J54" s="20" t="str">
        <f>IF(ISBLANK('Raw counts'!J55),"",'Raw counts'!$W$66*'Raw counts'!$X55*'Raw counts'!J$67)</f>
        <v/>
      </c>
      <c r="K54" s="20" t="str">
        <f>IF(ISBLANK('Raw counts'!K55),"",'Raw counts'!$W$66*'Raw counts'!$X55*'Raw counts'!K$67)</f>
        <v/>
      </c>
      <c r="L54" s="20" t="str">
        <f>IF(ISBLANK('Raw counts'!L55),"",'Raw counts'!$W$66*'Raw counts'!$X55*'Raw counts'!L$67)</f>
        <v/>
      </c>
      <c r="M54" s="20" t="str">
        <f>IF(ISBLANK('Raw counts'!M55),"",'Raw counts'!$W$66*'Raw counts'!$X55*'Raw counts'!M$67)</f>
        <v/>
      </c>
      <c r="N54" s="20" t="str">
        <f>IF(ISBLANK('Raw counts'!N55),"",'Raw counts'!$W$66*'Raw counts'!$X55*'Raw counts'!N$67)</f>
        <v/>
      </c>
      <c r="O54" s="20" t="str">
        <f>IF(ISBLANK('Raw counts'!O55),"",'Raw counts'!$W$66*'Raw counts'!$X55*'Raw counts'!O$67)</f>
        <v/>
      </c>
      <c r="P54" s="20" t="str">
        <f>IF(ISBLANK('Raw counts'!P55),"",'Raw counts'!$W$66*'Raw counts'!$X55*'Raw counts'!P$67)</f>
        <v/>
      </c>
      <c r="Q54" s="20" t="str">
        <f>IF(ISBLANK('Raw counts'!Q55),"",'Raw counts'!$W$66*'Raw counts'!$X55*'Raw counts'!Q$67)</f>
        <v/>
      </c>
      <c r="R54" s="20" t="str">
        <f>IF(ISBLANK('Raw counts'!R55),"",'Raw counts'!$W$66*'Raw counts'!$X55*'Raw counts'!R$67)</f>
        <v/>
      </c>
      <c r="S54" s="20" t="str">
        <f>IF(ISBLANK('Raw counts'!S55),"",'Raw counts'!$W$66*'Raw counts'!$X55*'Raw counts'!S$67)</f>
        <v/>
      </c>
      <c r="T54" s="20" t="str">
        <f>IF(ISBLANK('Raw counts'!T55),"",'Raw counts'!$W$66*'Raw counts'!$X55*'Raw counts'!T$67)</f>
        <v/>
      </c>
      <c r="U54" s="20" t="str">
        <f>IF(ISBLANK('Raw counts'!U55),"",'Raw counts'!$W$66*'Raw counts'!$X55*'Raw counts'!U$67)</f>
        <v/>
      </c>
      <c r="V54" s="6"/>
      <c r="W54" s="6">
        <f t="shared" si="0"/>
        <v>0</v>
      </c>
      <c r="X54" s="7">
        <f t="shared" si="1"/>
        <v>0</v>
      </c>
    </row>
    <row r="55" spans="1:24" x14ac:dyDescent="0.15">
      <c r="A55" s="18" t="str">
        <f>IF(ISBLANK('Raw counts'!A56),"",'Raw counts'!A56)</f>
        <v>Attr52</v>
      </c>
      <c r="B55" s="20" t="str">
        <f>IF(ISBLANK('Raw counts'!B56),"",'Raw counts'!$W$66*'Raw counts'!$X56*'Raw counts'!B$67)</f>
        <v/>
      </c>
      <c r="C55" s="20" t="str">
        <f>IF(ISBLANK('Raw counts'!C56),"",'Raw counts'!$W$66*'Raw counts'!$X56*'Raw counts'!C$67)</f>
        <v/>
      </c>
      <c r="D55" s="20" t="str">
        <f>IF(ISBLANK('Raw counts'!D56),"",'Raw counts'!$W$66*'Raw counts'!$X56*'Raw counts'!D$67)</f>
        <v/>
      </c>
      <c r="E55" s="20" t="str">
        <f>IF(ISBLANK('Raw counts'!E56),"",'Raw counts'!$W$66*'Raw counts'!$X56*'Raw counts'!E$67)</f>
        <v/>
      </c>
      <c r="F55" s="20" t="str">
        <f>IF(ISBLANK('Raw counts'!F56),"",'Raw counts'!$W$66*'Raw counts'!$X56*'Raw counts'!F$67)</f>
        <v/>
      </c>
      <c r="G55" s="20" t="str">
        <f>IF(ISBLANK('Raw counts'!G56),"",'Raw counts'!$W$66*'Raw counts'!$X56*'Raw counts'!G$67)</f>
        <v/>
      </c>
      <c r="H55" s="20" t="str">
        <f>IF(ISBLANK('Raw counts'!H56),"",'Raw counts'!$W$66*'Raw counts'!$X56*'Raw counts'!H$67)</f>
        <v/>
      </c>
      <c r="I55" s="20" t="str">
        <f>IF(ISBLANK('Raw counts'!I56),"",'Raw counts'!$W$66*'Raw counts'!$X56*'Raw counts'!I$67)</f>
        <v/>
      </c>
      <c r="J55" s="20" t="str">
        <f>IF(ISBLANK('Raw counts'!J56),"",'Raw counts'!$W$66*'Raw counts'!$X56*'Raw counts'!J$67)</f>
        <v/>
      </c>
      <c r="K55" s="20" t="str">
        <f>IF(ISBLANK('Raw counts'!K56),"",'Raw counts'!$W$66*'Raw counts'!$X56*'Raw counts'!K$67)</f>
        <v/>
      </c>
      <c r="L55" s="20" t="str">
        <f>IF(ISBLANK('Raw counts'!L56),"",'Raw counts'!$W$66*'Raw counts'!$X56*'Raw counts'!L$67)</f>
        <v/>
      </c>
      <c r="M55" s="20" t="str">
        <f>IF(ISBLANK('Raw counts'!M56),"",'Raw counts'!$W$66*'Raw counts'!$X56*'Raw counts'!M$67)</f>
        <v/>
      </c>
      <c r="N55" s="20" t="str">
        <f>IF(ISBLANK('Raw counts'!N56),"",'Raw counts'!$W$66*'Raw counts'!$X56*'Raw counts'!N$67)</f>
        <v/>
      </c>
      <c r="O55" s="20" t="str">
        <f>IF(ISBLANK('Raw counts'!O56),"",'Raw counts'!$W$66*'Raw counts'!$X56*'Raw counts'!O$67)</f>
        <v/>
      </c>
      <c r="P55" s="20" t="str">
        <f>IF(ISBLANK('Raw counts'!P56),"",'Raw counts'!$W$66*'Raw counts'!$X56*'Raw counts'!P$67)</f>
        <v/>
      </c>
      <c r="Q55" s="20" t="str">
        <f>IF(ISBLANK('Raw counts'!Q56),"",'Raw counts'!$W$66*'Raw counts'!$X56*'Raw counts'!Q$67)</f>
        <v/>
      </c>
      <c r="R55" s="20" t="str">
        <f>IF(ISBLANK('Raw counts'!R56),"",'Raw counts'!$W$66*'Raw counts'!$X56*'Raw counts'!R$67)</f>
        <v/>
      </c>
      <c r="S55" s="20" t="str">
        <f>IF(ISBLANK('Raw counts'!S56),"",'Raw counts'!$W$66*'Raw counts'!$X56*'Raw counts'!S$67)</f>
        <v/>
      </c>
      <c r="T55" s="20" t="str">
        <f>IF(ISBLANK('Raw counts'!T56),"",'Raw counts'!$W$66*'Raw counts'!$X56*'Raw counts'!T$67)</f>
        <v/>
      </c>
      <c r="U55" s="20" t="str">
        <f>IF(ISBLANK('Raw counts'!U56),"",'Raw counts'!$W$66*'Raw counts'!$X56*'Raw counts'!U$67)</f>
        <v/>
      </c>
      <c r="V55" s="6"/>
      <c r="W55" s="6">
        <f t="shared" si="0"/>
        <v>0</v>
      </c>
      <c r="X55" s="7">
        <f t="shared" si="1"/>
        <v>0</v>
      </c>
    </row>
    <row r="56" spans="1:24" x14ac:dyDescent="0.15">
      <c r="A56" s="18" t="str">
        <f>IF(ISBLANK('Raw counts'!A57),"",'Raw counts'!A57)</f>
        <v>Attr53</v>
      </c>
      <c r="B56" s="20" t="str">
        <f>IF(ISBLANK('Raw counts'!B57),"",'Raw counts'!$W$66*'Raw counts'!$X57*'Raw counts'!B$67)</f>
        <v/>
      </c>
      <c r="C56" s="20" t="str">
        <f>IF(ISBLANK('Raw counts'!C57),"",'Raw counts'!$W$66*'Raw counts'!$X57*'Raw counts'!C$67)</f>
        <v/>
      </c>
      <c r="D56" s="20" t="str">
        <f>IF(ISBLANK('Raw counts'!D57),"",'Raw counts'!$W$66*'Raw counts'!$X57*'Raw counts'!D$67)</f>
        <v/>
      </c>
      <c r="E56" s="20" t="str">
        <f>IF(ISBLANK('Raw counts'!E57),"",'Raw counts'!$W$66*'Raw counts'!$X57*'Raw counts'!E$67)</f>
        <v/>
      </c>
      <c r="F56" s="20" t="str">
        <f>IF(ISBLANK('Raw counts'!F57),"",'Raw counts'!$W$66*'Raw counts'!$X57*'Raw counts'!F$67)</f>
        <v/>
      </c>
      <c r="G56" s="20" t="str">
        <f>IF(ISBLANK('Raw counts'!G57),"",'Raw counts'!$W$66*'Raw counts'!$X57*'Raw counts'!G$67)</f>
        <v/>
      </c>
      <c r="H56" s="20" t="str">
        <f>IF(ISBLANK('Raw counts'!H57),"",'Raw counts'!$W$66*'Raw counts'!$X57*'Raw counts'!H$67)</f>
        <v/>
      </c>
      <c r="I56" s="20" t="str">
        <f>IF(ISBLANK('Raw counts'!I57),"",'Raw counts'!$W$66*'Raw counts'!$X57*'Raw counts'!I$67)</f>
        <v/>
      </c>
      <c r="J56" s="20" t="str">
        <f>IF(ISBLANK('Raw counts'!J57),"",'Raw counts'!$W$66*'Raw counts'!$X57*'Raw counts'!J$67)</f>
        <v/>
      </c>
      <c r="K56" s="20" t="str">
        <f>IF(ISBLANK('Raw counts'!K57),"",'Raw counts'!$W$66*'Raw counts'!$X57*'Raw counts'!K$67)</f>
        <v/>
      </c>
      <c r="L56" s="20" t="str">
        <f>IF(ISBLANK('Raw counts'!L57),"",'Raw counts'!$W$66*'Raw counts'!$X57*'Raw counts'!L$67)</f>
        <v/>
      </c>
      <c r="M56" s="20" t="str">
        <f>IF(ISBLANK('Raw counts'!M57),"",'Raw counts'!$W$66*'Raw counts'!$X57*'Raw counts'!M$67)</f>
        <v/>
      </c>
      <c r="N56" s="20" t="str">
        <f>IF(ISBLANK('Raw counts'!N57),"",'Raw counts'!$W$66*'Raw counts'!$X57*'Raw counts'!N$67)</f>
        <v/>
      </c>
      <c r="O56" s="20" t="str">
        <f>IF(ISBLANK('Raw counts'!O57),"",'Raw counts'!$W$66*'Raw counts'!$X57*'Raw counts'!O$67)</f>
        <v/>
      </c>
      <c r="P56" s="20" t="str">
        <f>IF(ISBLANK('Raw counts'!P57),"",'Raw counts'!$W$66*'Raw counts'!$X57*'Raw counts'!P$67)</f>
        <v/>
      </c>
      <c r="Q56" s="20" t="str">
        <f>IF(ISBLANK('Raw counts'!Q57),"",'Raw counts'!$W$66*'Raw counts'!$X57*'Raw counts'!Q$67)</f>
        <v/>
      </c>
      <c r="R56" s="20" t="str">
        <f>IF(ISBLANK('Raw counts'!R57),"",'Raw counts'!$W$66*'Raw counts'!$X57*'Raw counts'!R$67)</f>
        <v/>
      </c>
      <c r="S56" s="20" t="str">
        <f>IF(ISBLANK('Raw counts'!S57),"",'Raw counts'!$W$66*'Raw counts'!$X57*'Raw counts'!S$67)</f>
        <v/>
      </c>
      <c r="T56" s="20" t="str">
        <f>IF(ISBLANK('Raw counts'!T57),"",'Raw counts'!$W$66*'Raw counts'!$X57*'Raw counts'!T$67)</f>
        <v/>
      </c>
      <c r="U56" s="20" t="str">
        <f>IF(ISBLANK('Raw counts'!U57),"",'Raw counts'!$W$66*'Raw counts'!$X57*'Raw counts'!U$67)</f>
        <v/>
      </c>
      <c r="V56" s="6"/>
      <c r="W56" s="6">
        <f t="shared" si="0"/>
        <v>0</v>
      </c>
      <c r="X56" s="7">
        <f t="shared" si="1"/>
        <v>0</v>
      </c>
    </row>
    <row r="57" spans="1:24" x14ac:dyDescent="0.15">
      <c r="A57" s="18" t="str">
        <f>IF(ISBLANK('Raw counts'!A58),"",'Raw counts'!A58)</f>
        <v>Attr54</v>
      </c>
      <c r="B57" s="20" t="str">
        <f>IF(ISBLANK('Raw counts'!B58),"",'Raw counts'!$W$66*'Raw counts'!$X58*'Raw counts'!B$67)</f>
        <v/>
      </c>
      <c r="C57" s="20" t="str">
        <f>IF(ISBLANK('Raw counts'!C58),"",'Raw counts'!$W$66*'Raw counts'!$X58*'Raw counts'!C$67)</f>
        <v/>
      </c>
      <c r="D57" s="20" t="str">
        <f>IF(ISBLANK('Raw counts'!D58),"",'Raw counts'!$W$66*'Raw counts'!$X58*'Raw counts'!D$67)</f>
        <v/>
      </c>
      <c r="E57" s="20" t="str">
        <f>IF(ISBLANK('Raw counts'!E58),"",'Raw counts'!$W$66*'Raw counts'!$X58*'Raw counts'!E$67)</f>
        <v/>
      </c>
      <c r="F57" s="20" t="str">
        <f>IF(ISBLANK('Raw counts'!F58),"",'Raw counts'!$W$66*'Raw counts'!$X58*'Raw counts'!F$67)</f>
        <v/>
      </c>
      <c r="G57" s="20" t="str">
        <f>IF(ISBLANK('Raw counts'!G58),"",'Raw counts'!$W$66*'Raw counts'!$X58*'Raw counts'!G$67)</f>
        <v/>
      </c>
      <c r="H57" s="20" t="str">
        <f>IF(ISBLANK('Raw counts'!H58),"",'Raw counts'!$W$66*'Raw counts'!$X58*'Raw counts'!H$67)</f>
        <v/>
      </c>
      <c r="I57" s="20" t="str">
        <f>IF(ISBLANK('Raw counts'!I58),"",'Raw counts'!$W$66*'Raw counts'!$X58*'Raw counts'!I$67)</f>
        <v/>
      </c>
      <c r="J57" s="20" t="str">
        <f>IF(ISBLANK('Raw counts'!J58),"",'Raw counts'!$W$66*'Raw counts'!$X58*'Raw counts'!J$67)</f>
        <v/>
      </c>
      <c r="K57" s="20" t="str">
        <f>IF(ISBLANK('Raw counts'!K58),"",'Raw counts'!$W$66*'Raw counts'!$X58*'Raw counts'!K$67)</f>
        <v/>
      </c>
      <c r="L57" s="20" t="str">
        <f>IF(ISBLANK('Raw counts'!L58),"",'Raw counts'!$W$66*'Raw counts'!$X58*'Raw counts'!L$67)</f>
        <v/>
      </c>
      <c r="M57" s="20" t="str">
        <f>IF(ISBLANK('Raw counts'!M58),"",'Raw counts'!$W$66*'Raw counts'!$X58*'Raw counts'!M$67)</f>
        <v/>
      </c>
      <c r="N57" s="20" t="str">
        <f>IF(ISBLANK('Raw counts'!N58),"",'Raw counts'!$W$66*'Raw counts'!$X58*'Raw counts'!N$67)</f>
        <v/>
      </c>
      <c r="O57" s="20" t="str">
        <f>IF(ISBLANK('Raw counts'!O58),"",'Raw counts'!$W$66*'Raw counts'!$X58*'Raw counts'!O$67)</f>
        <v/>
      </c>
      <c r="P57" s="20" t="str">
        <f>IF(ISBLANK('Raw counts'!P58),"",'Raw counts'!$W$66*'Raw counts'!$X58*'Raw counts'!P$67)</f>
        <v/>
      </c>
      <c r="Q57" s="20" t="str">
        <f>IF(ISBLANK('Raw counts'!Q58),"",'Raw counts'!$W$66*'Raw counts'!$X58*'Raw counts'!Q$67)</f>
        <v/>
      </c>
      <c r="R57" s="20" t="str">
        <f>IF(ISBLANK('Raw counts'!R58),"",'Raw counts'!$W$66*'Raw counts'!$X58*'Raw counts'!R$67)</f>
        <v/>
      </c>
      <c r="S57" s="20" t="str">
        <f>IF(ISBLANK('Raw counts'!S58),"",'Raw counts'!$W$66*'Raw counts'!$X58*'Raw counts'!S$67)</f>
        <v/>
      </c>
      <c r="T57" s="20" t="str">
        <f>IF(ISBLANK('Raw counts'!T58),"",'Raw counts'!$W$66*'Raw counts'!$X58*'Raw counts'!T$67)</f>
        <v/>
      </c>
      <c r="U57" s="20" t="str">
        <f>IF(ISBLANK('Raw counts'!U58),"",'Raw counts'!$W$66*'Raw counts'!$X58*'Raw counts'!U$67)</f>
        <v/>
      </c>
      <c r="V57" s="6"/>
      <c r="W57" s="6">
        <f t="shared" si="0"/>
        <v>0</v>
      </c>
      <c r="X57" s="7">
        <f t="shared" si="1"/>
        <v>0</v>
      </c>
    </row>
    <row r="58" spans="1:24" x14ac:dyDescent="0.15">
      <c r="A58" s="18" t="str">
        <f>IF(ISBLANK('Raw counts'!A59),"",'Raw counts'!A59)</f>
        <v>Attr55</v>
      </c>
      <c r="B58" s="20" t="str">
        <f>IF(ISBLANK('Raw counts'!B59),"",'Raw counts'!$W$66*'Raw counts'!$X59*'Raw counts'!B$67)</f>
        <v/>
      </c>
      <c r="C58" s="20" t="str">
        <f>IF(ISBLANK('Raw counts'!C59),"",'Raw counts'!$W$66*'Raw counts'!$X59*'Raw counts'!C$67)</f>
        <v/>
      </c>
      <c r="D58" s="20" t="str">
        <f>IF(ISBLANK('Raw counts'!D59),"",'Raw counts'!$W$66*'Raw counts'!$X59*'Raw counts'!D$67)</f>
        <v/>
      </c>
      <c r="E58" s="20" t="str">
        <f>IF(ISBLANK('Raw counts'!E59),"",'Raw counts'!$W$66*'Raw counts'!$X59*'Raw counts'!E$67)</f>
        <v/>
      </c>
      <c r="F58" s="20" t="str">
        <f>IF(ISBLANK('Raw counts'!F59),"",'Raw counts'!$W$66*'Raw counts'!$X59*'Raw counts'!F$67)</f>
        <v/>
      </c>
      <c r="G58" s="20" t="str">
        <f>IF(ISBLANK('Raw counts'!G59),"",'Raw counts'!$W$66*'Raw counts'!$X59*'Raw counts'!G$67)</f>
        <v/>
      </c>
      <c r="H58" s="20" t="str">
        <f>IF(ISBLANK('Raw counts'!H59),"",'Raw counts'!$W$66*'Raw counts'!$X59*'Raw counts'!H$67)</f>
        <v/>
      </c>
      <c r="I58" s="20" t="str">
        <f>IF(ISBLANK('Raw counts'!I59),"",'Raw counts'!$W$66*'Raw counts'!$X59*'Raw counts'!I$67)</f>
        <v/>
      </c>
      <c r="J58" s="20" t="str">
        <f>IF(ISBLANK('Raw counts'!J59),"",'Raw counts'!$W$66*'Raw counts'!$X59*'Raw counts'!J$67)</f>
        <v/>
      </c>
      <c r="K58" s="20" t="str">
        <f>IF(ISBLANK('Raw counts'!K59),"",'Raw counts'!$W$66*'Raw counts'!$X59*'Raw counts'!K$67)</f>
        <v/>
      </c>
      <c r="L58" s="20" t="str">
        <f>IF(ISBLANK('Raw counts'!L59),"",'Raw counts'!$W$66*'Raw counts'!$X59*'Raw counts'!L$67)</f>
        <v/>
      </c>
      <c r="M58" s="20" t="str">
        <f>IF(ISBLANK('Raw counts'!M59),"",'Raw counts'!$W$66*'Raw counts'!$X59*'Raw counts'!M$67)</f>
        <v/>
      </c>
      <c r="N58" s="20" t="str">
        <f>IF(ISBLANK('Raw counts'!N59),"",'Raw counts'!$W$66*'Raw counts'!$X59*'Raw counts'!N$67)</f>
        <v/>
      </c>
      <c r="O58" s="20" t="str">
        <f>IF(ISBLANK('Raw counts'!O59),"",'Raw counts'!$W$66*'Raw counts'!$X59*'Raw counts'!O$67)</f>
        <v/>
      </c>
      <c r="P58" s="20" t="str">
        <f>IF(ISBLANK('Raw counts'!P59),"",'Raw counts'!$W$66*'Raw counts'!$X59*'Raw counts'!P$67)</f>
        <v/>
      </c>
      <c r="Q58" s="20" t="str">
        <f>IF(ISBLANK('Raw counts'!Q59),"",'Raw counts'!$W$66*'Raw counts'!$X59*'Raw counts'!Q$67)</f>
        <v/>
      </c>
      <c r="R58" s="20" t="str">
        <f>IF(ISBLANK('Raw counts'!R59),"",'Raw counts'!$W$66*'Raw counts'!$X59*'Raw counts'!R$67)</f>
        <v/>
      </c>
      <c r="S58" s="20" t="str">
        <f>IF(ISBLANK('Raw counts'!S59),"",'Raw counts'!$W$66*'Raw counts'!$X59*'Raw counts'!S$67)</f>
        <v/>
      </c>
      <c r="T58" s="20" t="str">
        <f>IF(ISBLANK('Raw counts'!T59),"",'Raw counts'!$W$66*'Raw counts'!$X59*'Raw counts'!T$67)</f>
        <v/>
      </c>
      <c r="U58" s="20" t="str">
        <f>IF(ISBLANK('Raw counts'!U59),"",'Raw counts'!$W$66*'Raw counts'!$X59*'Raw counts'!U$67)</f>
        <v/>
      </c>
      <c r="V58" s="6"/>
      <c r="W58" s="6">
        <f t="shared" si="0"/>
        <v>0</v>
      </c>
      <c r="X58" s="7">
        <f t="shared" si="1"/>
        <v>0</v>
      </c>
    </row>
    <row r="59" spans="1:24" x14ac:dyDescent="0.15">
      <c r="A59" s="18" t="str">
        <f>IF(ISBLANK('Raw counts'!A60),"",'Raw counts'!A60)</f>
        <v>Attr56</v>
      </c>
      <c r="B59" s="20" t="str">
        <f>IF(ISBLANK('Raw counts'!B60),"",'Raw counts'!$W$66*'Raw counts'!$X60*'Raw counts'!B$67)</f>
        <v/>
      </c>
      <c r="C59" s="20" t="str">
        <f>IF(ISBLANK('Raw counts'!C60),"",'Raw counts'!$W$66*'Raw counts'!$X60*'Raw counts'!C$67)</f>
        <v/>
      </c>
      <c r="D59" s="20" t="str">
        <f>IF(ISBLANK('Raw counts'!D60),"",'Raw counts'!$W$66*'Raw counts'!$X60*'Raw counts'!D$67)</f>
        <v/>
      </c>
      <c r="E59" s="20" t="str">
        <f>IF(ISBLANK('Raw counts'!E60),"",'Raw counts'!$W$66*'Raw counts'!$X60*'Raw counts'!E$67)</f>
        <v/>
      </c>
      <c r="F59" s="20" t="str">
        <f>IF(ISBLANK('Raw counts'!F60),"",'Raw counts'!$W$66*'Raw counts'!$X60*'Raw counts'!F$67)</f>
        <v/>
      </c>
      <c r="G59" s="20" t="str">
        <f>IF(ISBLANK('Raw counts'!G60),"",'Raw counts'!$W$66*'Raw counts'!$X60*'Raw counts'!G$67)</f>
        <v/>
      </c>
      <c r="H59" s="20" t="str">
        <f>IF(ISBLANK('Raw counts'!H60),"",'Raw counts'!$W$66*'Raw counts'!$X60*'Raw counts'!H$67)</f>
        <v/>
      </c>
      <c r="I59" s="20" t="str">
        <f>IF(ISBLANK('Raw counts'!I60),"",'Raw counts'!$W$66*'Raw counts'!$X60*'Raw counts'!I$67)</f>
        <v/>
      </c>
      <c r="J59" s="20" t="str">
        <f>IF(ISBLANK('Raw counts'!J60),"",'Raw counts'!$W$66*'Raw counts'!$X60*'Raw counts'!J$67)</f>
        <v/>
      </c>
      <c r="K59" s="20" t="str">
        <f>IF(ISBLANK('Raw counts'!K60),"",'Raw counts'!$W$66*'Raw counts'!$X60*'Raw counts'!K$67)</f>
        <v/>
      </c>
      <c r="L59" s="20" t="str">
        <f>IF(ISBLANK('Raw counts'!L60),"",'Raw counts'!$W$66*'Raw counts'!$X60*'Raw counts'!L$67)</f>
        <v/>
      </c>
      <c r="M59" s="20" t="str">
        <f>IF(ISBLANK('Raw counts'!M60),"",'Raw counts'!$W$66*'Raw counts'!$X60*'Raw counts'!M$67)</f>
        <v/>
      </c>
      <c r="N59" s="20" t="str">
        <f>IF(ISBLANK('Raw counts'!N60),"",'Raw counts'!$W$66*'Raw counts'!$X60*'Raw counts'!N$67)</f>
        <v/>
      </c>
      <c r="O59" s="20" t="str">
        <f>IF(ISBLANK('Raw counts'!O60),"",'Raw counts'!$W$66*'Raw counts'!$X60*'Raw counts'!O$67)</f>
        <v/>
      </c>
      <c r="P59" s="20" t="str">
        <f>IF(ISBLANK('Raw counts'!P60),"",'Raw counts'!$W$66*'Raw counts'!$X60*'Raw counts'!P$67)</f>
        <v/>
      </c>
      <c r="Q59" s="20" t="str">
        <f>IF(ISBLANK('Raw counts'!Q60),"",'Raw counts'!$W$66*'Raw counts'!$X60*'Raw counts'!Q$67)</f>
        <v/>
      </c>
      <c r="R59" s="20" t="str">
        <f>IF(ISBLANK('Raw counts'!R60),"",'Raw counts'!$W$66*'Raw counts'!$X60*'Raw counts'!R$67)</f>
        <v/>
      </c>
      <c r="S59" s="20" t="str">
        <f>IF(ISBLANK('Raw counts'!S60),"",'Raw counts'!$W$66*'Raw counts'!$X60*'Raw counts'!S$67)</f>
        <v/>
      </c>
      <c r="T59" s="20" t="str">
        <f>IF(ISBLANK('Raw counts'!T60),"",'Raw counts'!$W$66*'Raw counts'!$X60*'Raw counts'!T$67)</f>
        <v/>
      </c>
      <c r="U59" s="20" t="str">
        <f>IF(ISBLANK('Raw counts'!U60),"",'Raw counts'!$W$66*'Raw counts'!$X60*'Raw counts'!U$67)</f>
        <v/>
      </c>
      <c r="V59" s="6"/>
      <c r="W59" s="6">
        <f t="shared" si="0"/>
        <v>0</v>
      </c>
      <c r="X59" s="7">
        <f t="shared" si="1"/>
        <v>0</v>
      </c>
    </row>
    <row r="60" spans="1:24" x14ac:dyDescent="0.15">
      <c r="A60" s="18" t="str">
        <f>IF(ISBLANK('Raw counts'!A61),"",'Raw counts'!A61)</f>
        <v>Attr57</v>
      </c>
      <c r="B60" s="20" t="str">
        <f>IF(ISBLANK('Raw counts'!B61),"",'Raw counts'!$W$66*'Raw counts'!$X61*'Raw counts'!B$67)</f>
        <v/>
      </c>
      <c r="C60" s="20" t="str">
        <f>IF(ISBLANK('Raw counts'!C61),"",'Raw counts'!$W$66*'Raw counts'!$X61*'Raw counts'!C$67)</f>
        <v/>
      </c>
      <c r="D60" s="20" t="str">
        <f>IF(ISBLANK('Raw counts'!D61),"",'Raw counts'!$W$66*'Raw counts'!$X61*'Raw counts'!D$67)</f>
        <v/>
      </c>
      <c r="E60" s="20" t="str">
        <f>IF(ISBLANK('Raw counts'!E61),"",'Raw counts'!$W$66*'Raw counts'!$X61*'Raw counts'!E$67)</f>
        <v/>
      </c>
      <c r="F60" s="20" t="str">
        <f>IF(ISBLANK('Raw counts'!F61),"",'Raw counts'!$W$66*'Raw counts'!$X61*'Raw counts'!F$67)</f>
        <v/>
      </c>
      <c r="G60" s="20" t="str">
        <f>IF(ISBLANK('Raw counts'!G61),"",'Raw counts'!$W$66*'Raw counts'!$X61*'Raw counts'!G$67)</f>
        <v/>
      </c>
      <c r="H60" s="20" t="str">
        <f>IF(ISBLANK('Raw counts'!H61),"",'Raw counts'!$W$66*'Raw counts'!$X61*'Raw counts'!H$67)</f>
        <v/>
      </c>
      <c r="I60" s="20" t="str">
        <f>IF(ISBLANK('Raw counts'!I61),"",'Raw counts'!$W$66*'Raw counts'!$X61*'Raw counts'!I$67)</f>
        <v/>
      </c>
      <c r="J60" s="20" t="str">
        <f>IF(ISBLANK('Raw counts'!J61),"",'Raw counts'!$W$66*'Raw counts'!$X61*'Raw counts'!J$67)</f>
        <v/>
      </c>
      <c r="K60" s="20" t="str">
        <f>IF(ISBLANK('Raw counts'!K61),"",'Raw counts'!$W$66*'Raw counts'!$X61*'Raw counts'!K$67)</f>
        <v/>
      </c>
      <c r="L60" s="20" t="str">
        <f>IF(ISBLANK('Raw counts'!L61),"",'Raw counts'!$W$66*'Raw counts'!$X61*'Raw counts'!L$67)</f>
        <v/>
      </c>
      <c r="M60" s="20" t="str">
        <f>IF(ISBLANK('Raw counts'!M61),"",'Raw counts'!$W$66*'Raw counts'!$X61*'Raw counts'!M$67)</f>
        <v/>
      </c>
      <c r="N60" s="20" t="str">
        <f>IF(ISBLANK('Raw counts'!N61),"",'Raw counts'!$W$66*'Raw counts'!$X61*'Raw counts'!N$67)</f>
        <v/>
      </c>
      <c r="O60" s="20" t="str">
        <f>IF(ISBLANK('Raw counts'!O61),"",'Raw counts'!$W$66*'Raw counts'!$X61*'Raw counts'!O$67)</f>
        <v/>
      </c>
      <c r="P60" s="20" t="str">
        <f>IF(ISBLANK('Raw counts'!P61),"",'Raw counts'!$W$66*'Raw counts'!$X61*'Raw counts'!P$67)</f>
        <v/>
      </c>
      <c r="Q60" s="20" t="str">
        <f>IF(ISBLANK('Raw counts'!Q61),"",'Raw counts'!$W$66*'Raw counts'!$X61*'Raw counts'!Q$67)</f>
        <v/>
      </c>
      <c r="R60" s="20" t="str">
        <f>IF(ISBLANK('Raw counts'!R61),"",'Raw counts'!$W$66*'Raw counts'!$X61*'Raw counts'!R$67)</f>
        <v/>
      </c>
      <c r="S60" s="20" t="str">
        <f>IF(ISBLANK('Raw counts'!S61),"",'Raw counts'!$W$66*'Raw counts'!$X61*'Raw counts'!S$67)</f>
        <v/>
      </c>
      <c r="T60" s="20" t="str">
        <f>IF(ISBLANK('Raw counts'!T61),"",'Raw counts'!$W$66*'Raw counts'!$X61*'Raw counts'!T$67)</f>
        <v/>
      </c>
      <c r="U60" s="20" t="str">
        <f>IF(ISBLANK('Raw counts'!U61),"",'Raw counts'!$W$66*'Raw counts'!$X61*'Raw counts'!U$67)</f>
        <v/>
      </c>
      <c r="V60" s="6"/>
      <c r="W60" s="6">
        <f t="shared" si="0"/>
        <v>0</v>
      </c>
      <c r="X60" s="7">
        <f t="shared" si="1"/>
        <v>0</v>
      </c>
    </row>
    <row r="61" spans="1:24" x14ac:dyDescent="0.15">
      <c r="A61" s="18" t="str">
        <f>IF(ISBLANK('Raw counts'!A62),"",'Raw counts'!A62)</f>
        <v>Attr58</v>
      </c>
      <c r="B61" s="20" t="str">
        <f>IF(ISBLANK('Raw counts'!B62),"",'Raw counts'!$W$66*'Raw counts'!$X62*'Raw counts'!B$67)</f>
        <v/>
      </c>
      <c r="C61" s="20" t="str">
        <f>IF(ISBLANK('Raw counts'!C62),"",'Raw counts'!$W$66*'Raw counts'!$X62*'Raw counts'!C$67)</f>
        <v/>
      </c>
      <c r="D61" s="20" t="str">
        <f>IF(ISBLANK('Raw counts'!D62),"",'Raw counts'!$W$66*'Raw counts'!$X62*'Raw counts'!D$67)</f>
        <v/>
      </c>
      <c r="E61" s="20" t="str">
        <f>IF(ISBLANK('Raw counts'!E62),"",'Raw counts'!$W$66*'Raw counts'!$X62*'Raw counts'!E$67)</f>
        <v/>
      </c>
      <c r="F61" s="20" t="str">
        <f>IF(ISBLANK('Raw counts'!F62),"",'Raw counts'!$W$66*'Raw counts'!$X62*'Raw counts'!F$67)</f>
        <v/>
      </c>
      <c r="G61" s="20" t="str">
        <f>IF(ISBLANK('Raw counts'!G62),"",'Raw counts'!$W$66*'Raw counts'!$X62*'Raw counts'!G$67)</f>
        <v/>
      </c>
      <c r="H61" s="20" t="str">
        <f>IF(ISBLANK('Raw counts'!H62),"",'Raw counts'!$W$66*'Raw counts'!$X62*'Raw counts'!H$67)</f>
        <v/>
      </c>
      <c r="I61" s="20" t="str">
        <f>IF(ISBLANK('Raw counts'!I62),"",'Raw counts'!$W$66*'Raw counts'!$X62*'Raw counts'!I$67)</f>
        <v/>
      </c>
      <c r="J61" s="20" t="str">
        <f>IF(ISBLANK('Raw counts'!J62),"",'Raw counts'!$W$66*'Raw counts'!$X62*'Raw counts'!J$67)</f>
        <v/>
      </c>
      <c r="K61" s="20" t="str">
        <f>IF(ISBLANK('Raw counts'!K62),"",'Raw counts'!$W$66*'Raw counts'!$X62*'Raw counts'!K$67)</f>
        <v/>
      </c>
      <c r="L61" s="20" t="str">
        <f>IF(ISBLANK('Raw counts'!L62),"",'Raw counts'!$W$66*'Raw counts'!$X62*'Raw counts'!L$67)</f>
        <v/>
      </c>
      <c r="M61" s="20" t="str">
        <f>IF(ISBLANK('Raw counts'!M62),"",'Raw counts'!$W$66*'Raw counts'!$X62*'Raw counts'!M$67)</f>
        <v/>
      </c>
      <c r="N61" s="20" t="str">
        <f>IF(ISBLANK('Raw counts'!N62),"",'Raw counts'!$W$66*'Raw counts'!$X62*'Raw counts'!N$67)</f>
        <v/>
      </c>
      <c r="O61" s="20" t="str">
        <f>IF(ISBLANK('Raw counts'!O62),"",'Raw counts'!$W$66*'Raw counts'!$X62*'Raw counts'!O$67)</f>
        <v/>
      </c>
      <c r="P61" s="20" t="str">
        <f>IF(ISBLANK('Raw counts'!P62),"",'Raw counts'!$W$66*'Raw counts'!$X62*'Raw counts'!P$67)</f>
        <v/>
      </c>
      <c r="Q61" s="20" t="str">
        <f>IF(ISBLANK('Raw counts'!Q62),"",'Raw counts'!$W$66*'Raw counts'!$X62*'Raw counts'!Q$67)</f>
        <v/>
      </c>
      <c r="R61" s="20" t="str">
        <f>IF(ISBLANK('Raw counts'!R62),"",'Raw counts'!$W$66*'Raw counts'!$X62*'Raw counts'!R$67)</f>
        <v/>
      </c>
      <c r="S61" s="20" t="str">
        <f>IF(ISBLANK('Raw counts'!S62),"",'Raw counts'!$W$66*'Raw counts'!$X62*'Raw counts'!S$67)</f>
        <v/>
      </c>
      <c r="T61" s="20" t="str">
        <f>IF(ISBLANK('Raw counts'!T62),"",'Raw counts'!$W$66*'Raw counts'!$X62*'Raw counts'!T$67)</f>
        <v/>
      </c>
      <c r="U61" s="20" t="str">
        <f>IF(ISBLANK('Raw counts'!U62),"",'Raw counts'!$W$66*'Raw counts'!$X62*'Raw counts'!U$67)</f>
        <v/>
      </c>
      <c r="V61" s="6"/>
      <c r="W61" s="6">
        <f t="shared" si="0"/>
        <v>0</v>
      </c>
      <c r="X61" s="7">
        <f t="shared" si="1"/>
        <v>0</v>
      </c>
    </row>
    <row r="62" spans="1:24" x14ac:dyDescent="0.15">
      <c r="A62" s="18" t="str">
        <f>IF(ISBLANK('Raw counts'!A63),"",'Raw counts'!A63)</f>
        <v>Attr59</v>
      </c>
      <c r="B62" s="20" t="str">
        <f>IF(ISBLANK('Raw counts'!B63),"",'Raw counts'!$W$66*'Raw counts'!$X63*'Raw counts'!B$67)</f>
        <v/>
      </c>
      <c r="C62" s="20" t="str">
        <f>IF(ISBLANK('Raw counts'!C63),"",'Raw counts'!$W$66*'Raw counts'!$X63*'Raw counts'!C$67)</f>
        <v/>
      </c>
      <c r="D62" s="20" t="str">
        <f>IF(ISBLANK('Raw counts'!D63),"",'Raw counts'!$W$66*'Raw counts'!$X63*'Raw counts'!D$67)</f>
        <v/>
      </c>
      <c r="E62" s="20" t="str">
        <f>IF(ISBLANK('Raw counts'!E63),"",'Raw counts'!$W$66*'Raw counts'!$X63*'Raw counts'!E$67)</f>
        <v/>
      </c>
      <c r="F62" s="20" t="str">
        <f>IF(ISBLANK('Raw counts'!F63),"",'Raw counts'!$W$66*'Raw counts'!$X63*'Raw counts'!F$67)</f>
        <v/>
      </c>
      <c r="G62" s="20" t="str">
        <f>IF(ISBLANK('Raw counts'!G63),"",'Raw counts'!$W$66*'Raw counts'!$X63*'Raw counts'!G$67)</f>
        <v/>
      </c>
      <c r="H62" s="20" t="str">
        <f>IF(ISBLANK('Raw counts'!H63),"",'Raw counts'!$W$66*'Raw counts'!$X63*'Raw counts'!H$67)</f>
        <v/>
      </c>
      <c r="I62" s="20" t="str">
        <f>IF(ISBLANK('Raw counts'!I63),"",'Raw counts'!$W$66*'Raw counts'!$X63*'Raw counts'!I$67)</f>
        <v/>
      </c>
      <c r="J62" s="20" t="str">
        <f>IF(ISBLANK('Raw counts'!J63),"",'Raw counts'!$W$66*'Raw counts'!$X63*'Raw counts'!J$67)</f>
        <v/>
      </c>
      <c r="K62" s="20" t="str">
        <f>IF(ISBLANK('Raw counts'!K63),"",'Raw counts'!$W$66*'Raw counts'!$X63*'Raw counts'!K$67)</f>
        <v/>
      </c>
      <c r="L62" s="20" t="str">
        <f>IF(ISBLANK('Raw counts'!L63),"",'Raw counts'!$W$66*'Raw counts'!$X63*'Raw counts'!L$67)</f>
        <v/>
      </c>
      <c r="M62" s="20" t="str">
        <f>IF(ISBLANK('Raw counts'!M63),"",'Raw counts'!$W$66*'Raw counts'!$X63*'Raw counts'!M$67)</f>
        <v/>
      </c>
      <c r="N62" s="20" t="str">
        <f>IF(ISBLANK('Raw counts'!N63),"",'Raw counts'!$W$66*'Raw counts'!$X63*'Raw counts'!N$67)</f>
        <v/>
      </c>
      <c r="O62" s="20" t="str">
        <f>IF(ISBLANK('Raw counts'!O63),"",'Raw counts'!$W$66*'Raw counts'!$X63*'Raw counts'!O$67)</f>
        <v/>
      </c>
      <c r="P62" s="20" t="str">
        <f>IF(ISBLANK('Raw counts'!P63),"",'Raw counts'!$W$66*'Raw counts'!$X63*'Raw counts'!P$67)</f>
        <v/>
      </c>
      <c r="Q62" s="20" t="str">
        <f>IF(ISBLANK('Raw counts'!Q63),"",'Raw counts'!$W$66*'Raw counts'!$X63*'Raw counts'!Q$67)</f>
        <v/>
      </c>
      <c r="R62" s="20" t="str">
        <f>IF(ISBLANK('Raw counts'!R63),"",'Raw counts'!$W$66*'Raw counts'!$X63*'Raw counts'!R$67)</f>
        <v/>
      </c>
      <c r="S62" s="20" t="str">
        <f>IF(ISBLANK('Raw counts'!S63),"",'Raw counts'!$W$66*'Raw counts'!$X63*'Raw counts'!S$67)</f>
        <v/>
      </c>
      <c r="T62" s="20" t="str">
        <f>IF(ISBLANK('Raw counts'!T63),"",'Raw counts'!$W$66*'Raw counts'!$X63*'Raw counts'!T$67)</f>
        <v/>
      </c>
      <c r="U62" s="20" t="str">
        <f>IF(ISBLANK('Raw counts'!U63),"",'Raw counts'!$W$66*'Raw counts'!$X63*'Raw counts'!U$67)</f>
        <v/>
      </c>
      <c r="V62" s="8"/>
      <c r="W62" s="6">
        <f t="shared" si="0"/>
        <v>0</v>
      </c>
      <c r="X62" s="7">
        <f t="shared" si="1"/>
        <v>0</v>
      </c>
    </row>
    <row r="63" spans="1:24" x14ac:dyDescent="0.15">
      <c r="A63" s="18" t="str">
        <f>IF(ISBLANK('Raw counts'!A64),"",'Raw counts'!A64)</f>
        <v>Attr60</v>
      </c>
      <c r="B63" s="20" t="str">
        <f>IF(ISBLANK('Raw counts'!B64),"",'Raw counts'!$W$66*'Raw counts'!$X64*'Raw counts'!B$67)</f>
        <v/>
      </c>
      <c r="C63" s="20" t="str">
        <f>IF(ISBLANK('Raw counts'!C64),"",'Raw counts'!$W$66*'Raw counts'!$X64*'Raw counts'!C$67)</f>
        <v/>
      </c>
      <c r="D63" s="20" t="str">
        <f>IF(ISBLANK('Raw counts'!D64),"",'Raw counts'!$W$66*'Raw counts'!$X64*'Raw counts'!D$67)</f>
        <v/>
      </c>
      <c r="E63" s="20" t="str">
        <f>IF(ISBLANK('Raw counts'!E64),"",'Raw counts'!$W$66*'Raw counts'!$X64*'Raw counts'!E$67)</f>
        <v/>
      </c>
      <c r="F63" s="20" t="str">
        <f>IF(ISBLANK('Raw counts'!F64),"",'Raw counts'!$W$66*'Raw counts'!$X64*'Raw counts'!F$67)</f>
        <v/>
      </c>
      <c r="G63" s="20" t="str">
        <f>IF(ISBLANK('Raw counts'!G64),"",'Raw counts'!$W$66*'Raw counts'!$X64*'Raw counts'!G$67)</f>
        <v/>
      </c>
      <c r="H63" s="20" t="str">
        <f>IF(ISBLANK('Raw counts'!H64),"",'Raw counts'!$W$66*'Raw counts'!$X64*'Raw counts'!H$67)</f>
        <v/>
      </c>
      <c r="I63" s="20" t="str">
        <f>IF(ISBLANK('Raw counts'!I64),"",'Raw counts'!$W$66*'Raw counts'!$X64*'Raw counts'!I$67)</f>
        <v/>
      </c>
      <c r="J63" s="20" t="str">
        <f>IF(ISBLANK('Raw counts'!J64),"",'Raw counts'!$W$66*'Raw counts'!$X64*'Raw counts'!J$67)</f>
        <v/>
      </c>
      <c r="K63" s="20" t="str">
        <f>IF(ISBLANK('Raw counts'!K64),"",'Raw counts'!$W$66*'Raw counts'!$X64*'Raw counts'!K$67)</f>
        <v/>
      </c>
      <c r="L63" s="20" t="str">
        <f>IF(ISBLANK('Raw counts'!L64),"",'Raw counts'!$W$66*'Raw counts'!$X64*'Raw counts'!L$67)</f>
        <v/>
      </c>
      <c r="M63" s="20" t="str">
        <f>IF(ISBLANK('Raw counts'!M64),"",'Raw counts'!$W$66*'Raw counts'!$X64*'Raw counts'!M$67)</f>
        <v/>
      </c>
      <c r="N63" s="20" t="str">
        <f>IF(ISBLANK('Raw counts'!N64),"",'Raw counts'!$W$66*'Raw counts'!$X64*'Raw counts'!N$67)</f>
        <v/>
      </c>
      <c r="O63" s="20" t="str">
        <f>IF(ISBLANK('Raw counts'!O64),"",'Raw counts'!$W$66*'Raw counts'!$X64*'Raw counts'!O$67)</f>
        <v/>
      </c>
      <c r="P63" s="20" t="str">
        <f>IF(ISBLANK('Raw counts'!P64),"",'Raw counts'!$W$66*'Raw counts'!$X64*'Raw counts'!P$67)</f>
        <v/>
      </c>
      <c r="Q63" s="20" t="str">
        <f>IF(ISBLANK('Raw counts'!Q64),"",'Raw counts'!$W$66*'Raw counts'!$X64*'Raw counts'!Q$67)</f>
        <v/>
      </c>
      <c r="R63" s="20" t="str">
        <f>IF(ISBLANK('Raw counts'!R64),"",'Raw counts'!$W$66*'Raw counts'!$X64*'Raw counts'!R$67)</f>
        <v/>
      </c>
      <c r="S63" s="20" t="str">
        <f>IF(ISBLANK('Raw counts'!S64),"",'Raw counts'!$W$66*'Raw counts'!$X64*'Raw counts'!S$67)</f>
        <v/>
      </c>
      <c r="T63" s="20" t="str">
        <f>IF(ISBLANK('Raw counts'!T64),"",'Raw counts'!$W$66*'Raw counts'!$X64*'Raw counts'!T$67)</f>
        <v/>
      </c>
      <c r="U63" s="20" t="str">
        <f>IF(ISBLANK('Raw counts'!U64),"",'Raw counts'!$W$66*'Raw counts'!$X64*'Raw counts'!U$67)</f>
        <v/>
      </c>
      <c r="V63" s="8"/>
      <c r="W63" s="6">
        <f t="shared" si="0"/>
        <v>0</v>
      </c>
      <c r="X63" s="7">
        <f t="shared" si="1"/>
        <v>0</v>
      </c>
    </row>
    <row r="64" spans="1:24" hidden="1" x14ac:dyDescent="0.15">
      <c r="A64" s="12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6"/>
      <c r="W64" s="6"/>
      <c r="X64" s="6"/>
    </row>
    <row r="65" spans="1:24" hidden="1" x14ac:dyDescent="0.15">
      <c r="A65" s="13" t="s">
        <v>0</v>
      </c>
      <c r="B65" s="6">
        <f t="shared" ref="B65:D65" si="3">SUM(B4:B63)</f>
        <v>805.99999999999989</v>
      </c>
      <c r="C65" s="6">
        <f t="shared" si="3"/>
        <v>716</v>
      </c>
      <c r="D65" s="6">
        <f t="shared" si="3"/>
        <v>93</v>
      </c>
      <c r="E65" s="6">
        <f t="shared" ref="E65:U65" si="4">SUM(E4:E63)</f>
        <v>138</v>
      </c>
      <c r="F65" s="6">
        <f t="shared" si="4"/>
        <v>742.00000000000011</v>
      </c>
      <c r="G65" s="6">
        <f t="shared" si="4"/>
        <v>868.99999999999989</v>
      </c>
      <c r="H65" s="6">
        <f t="shared" si="4"/>
        <v>1232</v>
      </c>
      <c r="I65" s="6">
        <f t="shared" si="4"/>
        <v>130.00000000000003</v>
      </c>
      <c r="J65" s="6">
        <f t="shared" si="4"/>
        <v>113</v>
      </c>
      <c r="K65" s="6">
        <f t="shared" si="4"/>
        <v>343.99999999999994</v>
      </c>
      <c r="L65" s="6">
        <f t="shared" si="4"/>
        <v>85.999999999999986</v>
      </c>
      <c r="M65" s="6">
        <f t="shared" si="4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>
        <f t="shared" si="4"/>
        <v>0</v>
      </c>
      <c r="T65" s="6">
        <f t="shared" si="4"/>
        <v>0</v>
      </c>
      <c r="U65" s="6">
        <f t="shared" si="4"/>
        <v>0</v>
      </c>
      <c r="V65" s="6"/>
      <c r="W65" s="6">
        <f>SUM(B4:U63)</f>
        <v>5269.0000000000036</v>
      </c>
      <c r="X65" s="6"/>
    </row>
    <row r="66" spans="1:24" hidden="1" x14ac:dyDescent="0.15">
      <c r="A66" s="13" t="s">
        <v>1</v>
      </c>
      <c r="B66" s="14">
        <f t="shared" ref="B66:U66" si="5">B65/$W$65</f>
        <v>0.15297020307458709</v>
      </c>
      <c r="C66" s="14">
        <f t="shared" si="5"/>
        <v>0.13588916302903767</v>
      </c>
      <c r="D66" s="14">
        <f t="shared" si="5"/>
        <v>1.7650408047067741E-2</v>
      </c>
      <c r="E66" s="14">
        <f t="shared" si="5"/>
        <v>2.6190928069842457E-2</v>
      </c>
      <c r="F66" s="14">
        <f t="shared" si="5"/>
        <v>0.14082368570886308</v>
      </c>
      <c r="G66" s="14">
        <f t="shared" si="5"/>
        <v>0.16492693110647169</v>
      </c>
      <c r="H66" s="14">
        <f t="shared" si="5"/>
        <v>0.23382045929018774</v>
      </c>
      <c r="I66" s="14">
        <f t="shared" si="5"/>
        <v>2.4672613399126957E-2</v>
      </c>
      <c r="J66" s="14">
        <f t="shared" si="5"/>
        <v>2.1446194723856504E-2</v>
      </c>
      <c r="K66" s="14">
        <f t="shared" si="5"/>
        <v>6.5287530840766689E-2</v>
      </c>
      <c r="L66" s="14">
        <f t="shared" si="5"/>
        <v>1.6321882710191672E-2</v>
      </c>
      <c r="M66" s="14">
        <f t="shared" si="5"/>
        <v>0</v>
      </c>
      <c r="N66" s="14">
        <f t="shared" si="5"/>
        <v>0</v>
      </c>
      <c r="O66" s="14">
        <f t="shared" si="5"/>
        <v>0</v>
      </c>
      <c r="P66" s="14">
        <f t="shared" si="5"/>
        <v>0</v>
      </c>
      <c r="Q66" s="14">
        <f t="shared" si="5"/>
        <v>0</v>
      </c>
      <c r="R66" s="14">
        <f t="shared" si="5"/>
        <v>0</v>
      </c>
      <c r="S66" s="14">
        <f t="shared" si="5"/>
        <v>0</v>
      </c>
      <c r="T66" s="14">
        <f t="shared" si="5"/>
        <v>0</v>
      </c>
      <c r="U66" s="14">
        <f t="shared" si="5"/>
        <v>0</v>
      </c>
      <c r="V66" s="6"/>
      <c r="W66" s="6"/>
      <c r="X66" s="6"/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25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22" width="0" style="2" hidden="1" customWidth="1"/>
    <col min="23" max="23" width="0" style="1" hidden="1" customWidth="1"/>
    <col min="24" max="16384" width="9" style="1"/>
  </cols>
  <sheetData>
    <row r="1" spans="1:23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  <c r="V1" s="2" t="s">
        <v>48</v>
      </c>
      <c r="W1" s="1" t="s">
        <v>50</v>
      </c>
    </row>
    <row r="2" spans="1:23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  <c r="V2" s="2" t="s">
        <v>49</v>
      </c>
      <c r="W2" s="1" t="s">
        <v>51</v>
      </c>
    </row>
    <row r="3" spans="1:23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  <c r="V3" s="3">
        <f>STDEV(B66:U125)</f>
        <v>4.8183807861955277</v>
      </c>
      <c r="W3" s="2">
        <v>60</v>
      </c>
    </row>
    <row r="4" spans="1:23" ht="38.25" x14ac:dyDescent="0.15">
      <c r="A4" s="18" t="str">
        <f>IF(ISBLANK('Raw counts'!A5),"",'Raw counts'!A5)</f>
        <v xml:space="preserve">Doesn't offer version I want                                                </v>
      </c>
      <c r="B4" s="20">
        <f>IF(ISBLANK('Raw counts'!B5),"",RANK('3'!B66,'3'!$B66:$U66))</f>
        <v>10</v>
      </c>
      <c r="C4" s="20">
        <f>IF(ISBLANK('Raw counts'!C5),"",RANK('3'!C66,'3'!$B66:$U66))</f>
        <v>1</v>
      </c>
      <c r="D4" s="20">
        <f>IF(ISBLANK('Raw counts'!D5),"",RANK('3'!D66,'3'!$B66:$U66))</f>
        <v>5</v>
      </c>
      <c r="E4" s="20">
        <f>IF(ISBLANK('Raw counts'!E5),"",RANK('3'!E66,'3'!$B66:$U66))</f>
        <v>7</v>
      </c>
      <c r="F4" s="20">
        <f>IF(ISBLANK('Raw counts'!F5),"",RANK('3'!F66,'3'!$B66:$U66))</f>
        <v>3</v>
      </c>
      <c r="G4" s="20">
        <f>IF(ISBLANK('Raw counts'!G5),"",RANK('3'!G66,'3'!$B66:$U66))</f>
        <v>6</v>
      </c>
      <c r="H4" s="20">
        <f>IF(ISBLANK('Raw counts'!H5),"",RANK('3'!H66,'3'!$B66:$U66))</f>
        <v>2</v>
      </c>
      <c r="I4" s="20">
        <f>IF(ISBLANK('Raw counts'!I5),"",RANK('3'!I66,'3'!$B66:$U66))</f>
        <v>8</v>
      </c>
      <c r="J4" s="20">
        <f>IF(ISBLANK('Raw counts'!J5),"",RANK('3'!J66,'3'!$B66:$U66))</f>
        <v>4</v>
      </c>
      <c r="K4" s="20">
        <f>IF(ISBLANK('Raw counts'!K5),"",RANK('3'!K66,'3'!$B66:$U66))</f>
        <v>11</v>
      </c>
      <c r="L4" s="20">
        <f>IF(ISBLANK('Raw counts'!L5),"",RANK('3'!L66,'3'!$B66:$U66))</f>
        <v>9</v>
      </c>
      <c r="M4" s="20" t="str">
        <f>IF(ISBLANK('Raw counts'!M5),"",RANK('3'!M66,'3'!$B66:$U66))</f>
        <v/>
      </c>
      <c r="N4" s="20" t="str">
        <f>IF(ISBLANK('Raw counts'!N5),"",RANK('3'!N66,'3'!$B66:$U66))</f>
        <v/>
      </c>
      <c r="O4" s="20" t="str">
        <f>IF(ISBLANK('Raw counts'!O5),"",RANK('3'!O66,'3'!$B66:$U66))</f>
        <v/>
      </c>
      <c r="P4" s="20" t="str">
        <f>IF(ISBLANK('Raw counts'!P5),"",RANK('3'!P66,'3'!$B66:$U66))</f>
        <v/>
      </c>
      <c r="Q4" s="20" t="str">
        <f>IF(ISBLANK('Raw counts'!Q5),"",RANK('3'!Q66,'3'!$B66:$U66))</f>
        <v/>
      </c>
      <c r="R4" s="20" t="str">
        <f>IF(ISBLANK('Raw counts'!R5),"",RANK('3'!R66,'3'!$B66:$U66))</f>
        <v/>
      </c>
      <c r="S4" s="20" t="str">
        <f>IF(ISBLANK('Raw counts'!S5),"",RANK('3'!S66,'3'!$B66:$U66))</f>
        <v/>
      </c>
      <c r="T4" s="20" t="str">
        <f>IF(ISBLANK('Raw counts'!T5),"",RANK('3'!T66,'3'!$B66:$U66))</f>
        <v/>
      </c>
      <c r="U4" s="20" t="str">
        <f>IF(ISBLANK('Raw counts'!U5),"",RANK('3'!U66,'3'!$B66:$U66))</f>
        <v/>
      </c>
    </row>
    <row r="5" spans="1:23" ht="38.25" x14ac:dyDescent="0.15">
      <c r="A5" s="18" t="str">
        <f>IF(ISBLANK('Raw counts'!A6),"",'Raw counts'!A6)</f>
        <v xml:space="preserve">Doesn't offer enough variety or versions in the store/online                </v>
      </c>
      <c r="B5" s="20">
        <f>IF(ISBLANK('Raw counts'!B6),"",RANK('3'!B67,'3'!$B67:$U67))</f>
        <v>3</v>
      </c>
      <c r="C5" s="20">
        <f>IF(ISBLANK('Raw counts'!C6),"",RANK('3'!C67,'3'!$B67:$U67))</f>
        <v>8</v>
      </c>
      <c r="D5" s="20">
        <f>IF(ISBLANK('Raw counts'!D6),"",RANK('3'!D67,'3'!$B67:$U67))</f>
        <v>10</v>
      </c>
      <c r="E5" s="20">
        <f>IF(ISBLANK('Raw counts'!E6),"",RANK('3'!E67,'3'!$B67:$U67))</f>
        <v>6</v>
      </c>
      <c r="F5" s="20">
        <f>IF(ISBLANK('Raw counts'!F6),"",RANK('3'!F67,'3'!$B67:$U67))</f>
        <v>2</v>
      </c>
      <c r="G5" s="20">
        <f>IF(ISBLANK('Raw counts'!G6),"",RANK('3'!G67,'3'!$B67:$U67))</f>
        <v>1</v>
      </c>
      <c r="H5" s="20">
        <f>IF(ISBLANK('Raw counts'!H6),"",RANK('3'!H67,'3'!$B67:$U67))</f>
        <v>11</v>
      </c>
      <c r="I5" s="20">
        <f>IF(ISBLANK('Raw counts'!I6),"",RANK('3'!I67,'3'!$B67:$U67))</f>
        <v>4</v>
      </c>
      <c r="J5" s="20">
        <f>IF(ISBLANK('Raw counts'!J6),"",RANK('3'!J67,'3'!$B67:$U67))</f>
        <v>7</v>
      </c>
      <c r="K5" s="20">
        <f>IF(ISBLANK('Raw counts'!K6),"",RANK('3'!K67,'3'!$B67:$U67))</f>
        <v>5</v>
      </c>
      <c r="L5" s="20">
        <f>IF(ISBLANK('Raw counts'!L6),"",RANK('3'!L67,'3'!$B67:$U67))</f>
        <v>9</v>
      </c>
      <c r="M5" s="20" t="str">
        <f>IF(ISBLANK('Raw counts'!M6),"",RANK('3'!M67,'3'!$B67:$U67))</f>
        <v/>
      </c>
      <c r="N5" s="20" t="str">
        <f>IF(ISBLANK('Raw counts'!N6),"",RANK('3'!N67,'3'!$B67:$U67))</f>
        <v/>
      </c>
      <c r="O5" s="20" t="str">
        <f>IF(ISBLANK('Raw counts'!O6),"",RANK('3'!O67,'3'!$B67:$U67))</f>
        <v/>
      </c>
      <c r="P5" s="20" t="str">
        <f>IF(ISBLANK('Raw counts'!P6),"",RANK('3'!P67,'3'!$B67:$U67))</f>
        <v/>
      </c>
      <c r="Q5" s="20" t="str">
        <f>IF(ISBLANK('Raw counts'!Q6),"",RANK('3'!Q67,'3'!$B67:$U67))</f>
        <v/>
      </c>
      <c r="R5" s="20" t="str">
        <f>IF(ISBLANK('Raw counts'!R6),"",RANK('3'!R67,'3'!$B67:$U67))</f>
        <v/>
      </c>
      <c r="S5" s="20" t="str">
        <f>IF(ISBLANK('Raw counts'!S6),"",RANK('3'!S67,'3'!$B67:$U67))</f>
        <v/>
      </c>
      <c r="T5" s="20" t="str">
        <f>IF(ISBLANK('Raw counts'!T6),"",RANK('3'!T67,'3'!$B67:$U67))</f>
        <v/>
      </c>
      <c r="U5" s="20" t="str">
        <f>IF(ISBLANK('Raw counts'!U6),"",RANK('3'!U67,'3'!$B67:$U67))</f>
        <v/>
      </c>
    </row>
    <row r="6" spans="1:23" ht="25.5" x14ac:dyDescent="0.15">
      <c r="A6" s="18" t="str">
        <f>IF(ISBLANK('Raw counts'!A7),"",'Raw counts'!A7)</f>
        <v xml:space="preserve">Doesn't offer newest/latest products                                        </v>
      </c>
      <c r="B6" s="20">
        <f>IF(ISBLANK('Raw counts'!B7),"",RANK('3'!B68,'3'!$B68:$U68))</f>
        <v>8</v>
      </c>
      <c r="C6" s="20">
        <f>IF(ISBLANK('Raw counts'!C7),"",RANK('3'!C68,'3'!$B68:$U68))</f>
        <v>3</v>
      </c>
      <c r="D6" s="20">
        <f>IF(ISBLANK('Raw counts'!D7),"",RANK('3'!D68,'3'!$B68:$U68))</f>
        <v>9</v>
      </c>
      <c r="E6" s="20">
        <f>IF(ISBLANK('Raw counts'!E7),"",RANK('3'!E68,'3'!$B68:$U68))</f>
        <v>6</v>
      </c>
      <c r="F6" s="20">
        <f>IF(ISBLANK('Raw counts'!F7),"",RANK('3'!F68,'3'!$B68:$U68))</f>
        <v>1</v>
      </c>
      <c r="G6" s="20">
        <f>IF(ISBLANK('Raw counts'!G7),"",RANK('3'!G68,'3'!$B68:$U68))</f>
        <v>7</v>
      </c>
      <c r="H6" s="20">
        <f>IF(ISBLANK('Raw counts'!H7),"",RANK('3'!H68,'3'!$B68:$U68))</f>
        <v>11</v>
      </c>
      <c r="I6" s="20">
        <f>IF(ISBLANK('Raw counts'!I7),"",RANK('3'!I68,'3'!$B68:$U68))</f>
        <v>4</v>
      </c>
      <c r="J6" s="20">
        <f>IF(ISBLANK('Raw counts'!J7),"",RANK('3'!J68,'3'!$B68:$U68))</f>
        <v>2</v>
      </c>
      <c r="K6" s="20">
        <f>IF(ISBLANK('Raw counts'!K7),"",RANK('3'!K68,'3'!$B68:$U68))</f>
        <v>5</v>
      </c>
      <c r="L6" s="20">
        <f>IF(ISBLANK('Raw counts'!L7),"",RANK('3'!L68,'3'!$B68:$U68))</f>
        <v>10</v>
      </c>
      <c r="M6" s="20" t="str">
        <f>IF(ISBLANK('Raw counts'!M7),"",RANK('3'!M68,'3'!$B68:$U68))</f>
        <v/>
      </c>
      <c r="N6" s="20" t="str">
        <f>IF(ISBLANK('Raw counts'!N7),"",RANK('3'!N68,'3'!$B68:$U68))</f>
        <v/>
      </c>
      <c r="O6" s="20" t="str">
        <f>IF(ISBLANK('Raw counts'!O7),"",RANK('3'!O68,'3'!$B68:$U68))</f>
        <v/>
      </c>
      <c r="P6" s="20" t="str">
        <f>IF(ISBLANK('Raw counts'!P7),"",RANK('3'!P68,'3'!$B68:$U68))</f>
        <v/>
      </c>
      <c r="Q6" s="20" t="str">
        <f>IF(ISBLANK('Raw counts'!Q7),"",RANK('3'!Q68,'3'!$B68:$U68))</f>
        <v/>
      </c>
      <c r="R6" s="20" t="str">
        <f>IF(ISBLANK('Raw counts'!R7),"",RANK('3'!R68,'3'!$B68:$U68))</f>
        <v/>
      </c>
      <c r="S6" s="20" t="str">
        <f>IF(ISBLANK('Raw counts'!S7),"",RANK('3'!S68,'3'!$B68:$U68))</f>
        <v/>
      </c>
      <c r="T6" s="20" t="str">
        <f>IF(ISBLANK('Raw counts'!T7),"",RANK('3'!T68,'3'!$B68:$U68))</f>
        <v/>
      </c>
      <c r="U6" s="20" t="str">
        <f>IF(ISBLANK('Raw counts'!U7),"",RANK('3'!U68,'3'!$B68:$U68))</f>
        <v/>
      </c>
    </row>
    <row r="7" spans="1:23" ht="25.5" x14ac:dyDescent="0.15">
      <c r="A7" s="18" t="str">
        <f>IF(ISBLANK('Raw counts'!A8),"",'Raw counts'!A8)</f>
        <v xml:space="preserve">Brand not carried in the store/online                                       </v>
      </c>
      <c r="B7" s="20">
        <f>IF(ISBLANK('Raw counts'!B8),"",RANK('3'!B69,'3'!$B69:$U69))</f>
        <v>8</v>
      </c>
      <c r="C7" s="20">
        <f>IF(ISBLANK('Raw counts'!C8),"",RANK('3'!C69,'3'!$B69:$U69))</f>
        <v>3</v>
      </c>
      <c r="D7" s="20">
        <f>IF(ISBLANK('Raw counts'!D8),"",RANK('3'!D69,'3'!$B69:$U69))</f>
        <v>4</v>
      </c>
      <c r="E7" s="20">
        <f>IF(ISBLANK('Raw counts'!E8),"",RANK('3'!E69,'3'!$B69:$U69))</f>
        <v>6</v>
      </c>
      <c r="F7" s="20">
        <f>IF(ISBLANK('Raw counts'!F8),"",RANK('3'!F69,'3'!$B69:$U69))</f>
        <v>10</v>
      </c>
      <c r="G7" s="20">
        <f>IF(ISBLANK('Raw counts'!G8),"",RANK('3'!G69,'3'!$B69:$U69))</f>
        <v>1</v>
      </c>
      <c r="H7" s="20">
        <f>IF(ISBLANK('Raw counts'!H8),"",RANK('3'!H69,'3'!$B69:$U69))</f>
        <v>11</v>
      </c>
      <c r="I7" s="20">
        <f>IF(ISBLANK('Raw counts'!I8),"",RANK('3'!I69,'3'!$B69:$U69))</f>
        <v>5</v>
      </c>
      <c r="J7" s="20">
        <f>IF(ISBLANK('Raw counts'!J8),"",RANK('3'!J69,'3'!$B69:$U69))</f>
        <v>7</v>
      </c>
      <c r="K7" s="20">
        <f>IF(ISBLANK('Raw counts'!K8),"",RANK('3'!K69,'3'!$B69:$U69))</f>
        <v>9</v>
      </c>
      <c r="L7" s="20">
        <f>IF(ISBLANK('Raw counts'!L8),"",RANK('3'!L69,'3'!$B69:$U69))</f>
        <v>2</v>
      </c>
      <c r="M7" s="20" t="str">
        <f>IF(ISBLANK('Raw counts'!M8),"",RANK('3'!M69,'3'!$B69:$U69))</f>
        <v/>
      </c>
      <c r="N7" s="20" t="str">
        <f>IF(ISBLANK('Raw counts'!N8),"",RANK('3'!N69,'3'!$B69:$U69))</f>
        <v/>
      </c>
      <c r="O7" s="20" t="str">
        <f>IF(ISBLANK('Raw counts'!O8),"",RANK('3'!O69,'3'!$B69:$U69))</f>
        <v/>
      </c>
      <c r="P7" s="20" t="str">
        <f>IF(ISBLANK('Raw counts'!P8),"",RANK('3'!P69,'3'!$B69:$U69))</f>
        <v/>
      </c>
      <c r="Q7" s="20" t="str">
        <f>IF(ISBLANK('Raw counts'!Q8),"",RANK('3'!Q69,'3'!$B69:$U69))</f>
        <v/>
      </c>
      <c r="R7" s="20" t="str">
        <f>IF(ISBLANK('Raw counts'!R8),"",RANK('3'!R69,'3'!$B69:$U69))</f>
        <v/>
      </c>
      <c r="S7" s="20" t="str">
        <f>IF(ISBLANK('Raw counts'!S8),"",RANK('3'!S69,'3'!$B69:$U69))</f>
        <v/>
      </c>
      <c r="T7" s="20" t="str">
        <f>IF(ISBLANK('Raw counts'!T8),"",RANK('3'!T69,'3'!$B69:$U69))</f>
        <v/>
      </c>
      <c r="U7" s="20" t="str">
        <f>IF(ISBLANK('Raw counts'!U8),"",RANK('3'!U69,'3'!$B69:$U69))</f>
        <v/>
      </c>
    </row>
    <row r="8" spans="1:23" ht="25.5" x14ac:dyDescent="0.15">
      <c r="A8" s="18" t="str">
        <f>IF(ISBLANK('Raw counts'!A9),"",'Raw counts'!A9)</f>
        <v xml:space="preserve">Often out of stock                                                          </v>
      </c>
      <c r="B8" s="20">
        <f>IF(ISBLANK('Raw counts'!B9),"",RANK('3'!B70,'3'!$B70:$U70))</f>
        <v>5</v>
      </c>
      <c r="C8" s="20">
        <f>IF(ISBLANK('Raw counts'!C9),"",RANK('3'!C70,'3'!$B70:$U70))</f>
        <v>10</v>
      </c>
      <c r="D8" s="20">
        <f>IF(ISBLANK('Raw counts'!D9),"",RANK('3'!D70,'3'!$B70:$U70))</f>
        <v>7</v>
      </c>
      <c r="E8" s="20">
        <f>IF(ISBLANK('Raw counts'!E9),"",RANK('3'!E70,'3'!$B70:$U70))</f>
        <v>4</v>
      </c>
      <c r="F8" s="20">
        <f>IF(ISBLANK('Raw counts'!F9),"",RANK('3'!F70,'3'!$B70:$U70))</f>
        <v>11</v>
      </c>
      <c r="G8" s="20">
        <f>IF(ISBLANK('Raw counts'!G9),"",RANK('3'!G70,'3'!$B70:$U70))</f>
        <v>9</v>
      </c>
      <c r="H8" s="20">
        <f>IF(ISBLANK('Raw counts'!H9),"",RANK('3'!H70,'3'!$B70:$U70))</f>
        <v>2</v>
      </c>
      <c r="I8" s="20">
        <f>IF(ISBLANK('Raw counts'!I9),"",RANK('3'!I70,'3'!$B70:$U70))</f>
        <v>1</v>
      </c>
      <c r="J8" s="20">
        <f>IF(ISBLANK('Raw counts'!J9),"",RANK('3'!J70,'3'!$B70:$U70))</f>
        <v>8</v>
      </c>
      <c r="K8" s="20">
        <f>IF(ISBLANK('Raw counts'!K9),"",RANK('3'!K70,'3'!$B70:$U70))</f>
        <v>6</v>
      </c>
      <c r="L8" s="20">
        <f>IF(ISBLANK('Raw counts'!L9),"",RANK('3'!L70,'3'!$B70:$U70))</f>
        <v>3</v>
      </c>
      <c r="M8" s="20" t="str">
        <f>IF(ISBLANK('Raw counts'!M9),"",RANK('3'!M70,'3'!$B70:$U70))</f>
        <v/>
      </c>
      <c r="N8" s="20" t="str">
        <f>IF(ISBLANK('Raw counts'!N9),"",RANK('3'!N70,'3'!$B70:$U70))</f>
        <v/>
      </c>
      <c r="O8" s="20" t="str">
        <f>IF(ISBLANK('Raw counts'!O9),"",RANK('3'!O70,'3'!$B70:$U70))</f>
        <v/>
      </c>
      <c r="P8" s="20" t="str">
        <f>IF(ISBLANK('Raw counts'!P9),"",RANK('3'!P70,'3'!$B70:$U70))</f>
        <v/>
      </c>
      <c r="Q8" s="20" t="str">
        <f>IF(ISBLANK('Raw counts'!Q9),"",RANK('3'!Q70,'3'!$B70:$U70))</f>
        <v/>
      </c>
      <c r="R8" s="20" t="str">
        <f>IF(ISBLANK('Raw counts'!R9),"",RANK('3'!R70,'3'!$B70:$U70))</f>
        <v/>
      </c>
      <c r="S8" s="20" t="str">
        <f>IF(ISBLANK('Raw counts'!S9),"",RANK('3'!S70,'3'!$B70:$U70))</f>
        <v/>
      </c>
      <c r="T8" s="20" t="str">
        <f>IF(ISBLANK('Raw counts'!T9),"",RANK('3'!T70,'3'!$B70:$U70))</f>
        <v/>
      </c>
      <c r="U8" s="20" t="str">
        <f>IF(ISBLANK('Raw counts'!U9),"",RANK('3'!U70,'3'!$B70:$U70))</f>
        <v/>
      </c>
    </row>
    <row r="9" spans="1:23" ht="38.25" x14ac:dyDescent="0.15">
      <c r="A9" s="18" t="str">
        <f>IF(ISBLANK('Raw counts'!A10),"",'Raw counts'!A10)</f>
        <v xml:space="preserve">Hard to find the brand in the store                                         </v>
      </c>
      <c r="B9" s="20">
        <f>IF(ISBLANK('Raw counts'!B10),"",RANK('3'!B71,'3'!$B71:$U71))</f>
        <v>10</v>
      </c>
      <c r="C9" s="20">
        <f>IF(ISBLANK('Raw counts'!C10),"",RANK('3'!C71,'3'!$B71:$U71))</f>
        <v>5</v>
      </c>
      <c r="D9" s="20">
        <f>IF(ISBLANK('Raw counts'!D10),"",RANK('3'!D71,'3'!$B71:$U71))</f>
        <v>4</v>
      </c>
      <c r="E9" s="20">
        <f>IF(ISBLANK('Raw counts'!E10),"",RANK('3'!E71,'3'!$B71:$U71))</f>
        <v>3</v>
      </c>
      <c r="F9" s="20">
        <f>IF(ISBLANK('Raw counts'!F10),"",RANK('3'!F71,'3'!$B71:$U71))</f>
        <v>9</v>
      </c>
      <c r="G9" s="20">
        <f>IF(ISBLANK('Raw counts'!G10),"",RANK('3'!G71,'3'!$B71:$U71))</f>
        <v>1</v>
      </c>
      <c r="H9" s="20">
        <f>IF(ISBLANK('Raw counts'!H10),"",RANK('3'!H71,'3'!$B71:$U71))</f>
        <v>11</v>
      </c>
      <c r="I9" s="20">
        <f>IF(ISBLANK('Raw counts'!I10),"",RANK('3'!I71,'3'!$B71:$U71))</f>
        <v>7</v>
      </c>
      <c r="J9" s="20">
        <f>IF(ISBLANK('Raw counts'!J10),"",RANK('3'!J71,'3'!$B71:$U71))</f>
        <v>6</v>
      </c>
      <c r="K9" s="20">
        <f>IF(ISBLANK('Raw counts'!K10),"",RANK('3'!K71,'3'!$B71:$U71))</f>
        <v>2</v>
      </c>
      <c r="L9" s="20">
        <f>IF(ISBLANK('Raw counts'!L10),"",RANK('3'!L71,'3'!$B71:$U71))</f>
        <v>8</v>
      </c>
      <c r="M9" s="20" t="str">
        <f>IF(ISBLANK('Raw counts'!M10),"",RANK('3'!M71,'3'!$B71:$U71))</f>
        <v/>
      </c>
      <c r="N9" s="20" t="str">
        <f>IF(ISBLANK('Raw counts'!N10),"",RANK('3'!N71,'3'!$B71:$U71))</f>
        <v/>
      </c>
      <c r="O9" s="20" t="str">
        <f>IF(ISBLANK('Raw counts'!O10),"",RANK('3'!O71,'3'!$B71:$U71))</f>
        <v/>
      </c>
      <c r="P9" s="20" t="str">
        <f>IF(ISBLANK('Raw counts'!P10),"",RANK('3'!P71,'3'!$B71:$U71))</f>
        <v/>
      </c>
      <c r="Q9" s="20" t="str">
        <f>IF(ISBLANK('Raw counts'!Q10),"",RANK('3'!Q71,'3'!$B71:$U71))</f>
        <v/>
      </c>
      <c r="R9" s="20" t="str">
        <f>IF(ISBLANK('Raw counts'!R10),"",RANK('3'!R71,'3'!$B71:$U71))</f>
        <v/>
      </c>
      <c r="S9" s="20" t="str">
        <f>IF(ISBLANK('Raw counts'!S10),"",RANK('3'!S71,'3'!$B71:$U71))</f>
        <v/>
      </c>
      <c r="T9" s="20" t="str">
        <f>IF(ISBLANK('Raw counts'!T10),"",RANK('3'!T71,'3'!$B71:$U71))</f>
        <v/>
      </c>
      <c r="U9" s="20" t="str">
        <f>IF(ISBLANK('Raw counts'!U10),"",RANK('3'!U71,'3'!$B71:$U71))</f>
        <v/>
      </c>
    </row>
    <row r="10" spans="1:23" ht="25.5" x14ac:dyDescent="0.15">
      <c r="A10" s="18" t="str">
        <f>IF(ISBLANK('Raw counts'!A11),"",'Raw counts'!A11)</f>
        <v xml:space="preserve">Hard to find the brand online                                               </v>
      </c>
      <c r="B10" s="20">
        <f>IF(ISBLANK('Raw counts'!B11),"",RANK('3'!B72,'3'!$B72:$U72))</f>
        <v>3</v>
      </c>
      <c r="C10" s="20">
        <f>IF(ISBLANK('Raw counts'!C11),"",RANK('3'!C72,'3'!$B72:$U72))</f>
        <v>1</v>
      </c>
      <c r="D10" s="20">
        <f>IF(ISBLANK('Raw counts'!D11),"",RANK('3'!D72,'3'!$B72:$U72))</f>
        <v>5</v>
      </c>
      <c r="E10" s="20">
        <f>IF(ISBLANK('Raw counts'!E11),"",RANK('3'!E72,'3'!$B72:$U72))</f>
        <v>9</v>
      </c>
      <c r="F10" s="20">
        <f>IF(ISBLANK('Raw counts'!F11),"",RANK('3'!F72,'3'!$B72:$U72))</f>
        <v>11</v>
      </c>
      <c r="G10" s="20">
        <f>IF(ISBLANK('Raw counts'!G11),"",RANK('3'!G72,'3'!$B72:$U72))</f>
        <v>10</v>
      </c>
      <c r="H10" s="20">
        <f>IF(ISBLANK('Raw counts'!H11),"",RANK('3'!H72,'3'!$B72:$U72))</f>
        <v>7</v>
      </c>
      <c r="I10" s="20">
        <f>IF(ISBLANK('Raw counts'!I11),"",RANK('3'!I72,'3'!$B72:$U72))</f>
        <v>2</v>
      </c>
      <c r="J10" s="20">
        <f>IF(ISBLANK('Raw counts'!J11),"",RANK('3'!J72,'3'!$B72:$U72))</f>
        <v>4</v>
      </c>
      <c r="K10" s="20">
        <f>IF(ISBLANK('Raw counts'!K11),"",RANK('3'!K72,'3'!$B72:$U72))</f>
        <v>6</v>
      </c>
      <c r="L10" s="20">
        <f>IF(ISBLANK('Raw counts'!L11),"",RANK('3'!L72,'3'!$B72:$U72))</f>
        <v>8</v>
      </c>
      <c r="M10" s="20" t="str">
        <f>IF(ISBLANK('Raw counts'!M11),"",RANK('3'!M72,'3'!$B72:$U72))</f>
        <v/>
      </c>
      <c r="N10" s="20" t="str">
        <f>IF(ISBLANK('Raw counts'!N11),"",RANK('3'!N72,'3'!$B72:$U72))</f>
        <v/>
      </c>
      <c r="O10" s="20" t="str">
        <f>IF(ISBLANK('Raw counts'!O11),"",RANK('3'!O72,'3'!$B72:$U72))</f>
        <v/>
      </c>
      <c r="P10" s="20" t="str">
        <f>IF(ISBLANK('Raw counts'!P11),"",RANK('3'!P72,'3'!$B72:$U72))</f>
        <v/>
      </c>
      <c r="Q10" s="20" t="str">
        <f>IF(ISBLANK('Raw counts'!Q11),"",RANK('3'!Q72,'3'!$B72:$U72))</f>
        <v/>
      </c>
      <c r="R10" s="20" t="str">
        <f>IF(ISBLANK('Raw counts'!R11),"",RANK('3'!R72,'3'!$B72:$U72))</f>
        <v/>
      </c>
      <c r="S10" s="20" t="str">
        <f>IF(ISBLANK('Raw counts'!S11),"",RANK('3'!S72,'3'!$B72:$U72))</f>
        <v/>
      </c>
      <c r="T10" s="20" t="str">
        <f>IF(ISBLANK('Raw counts'!T11),"",RANK('3'!T72,'3'!$B72:$U72))</f>
        <v/>
      </c>
      <c r="U10" s="20" t="str">
        <f>IF(ISBLANK('Raw counts'!U11),"",RANK('3'!U72,'3'!$B72:$U72))</f>
        <v/>
      </c>
    </row>
    <row r="11" spans="1:23" ht="25.5" x14ac:dyDescent="0.15">
      <c r="A11" s="18" t="str">
        <f>IF(ISBLANK('Raw counts'!A12),"",'Raw counts'!A12)</f>
        <v xml:space="preserve">Difficult to determine which product is right for me                        </v>
      </c>
      <c r="B11" s="20">
        <f>IF(ISBLANK('Raw counts'!B12),"",RANK('3'!B73,'3'!$B73:$U73))</f>
        <v>8</v>
      </c>
      <c r="C11" s="20">
        <f>IF(ISBLANK('Raw counts'!C12),"",RANK('3'!C73,'3'!$B73:$U73))</f>
        <v>10</v>
      </c>
      <c r="D11" s="20">
        <f>IF(ISBLANK('Raw counts'!D12),"",RANK('3'!D73,'3'!$B73:$U73))</f>
        <v>9</v>
      </c>
      <c r="E11" s="20">
        <f>IF(ISBLANK('Raw counts'!E12),"",RANK('3'!E73,'3'!$B73:$U73))</f>
        <v>3</v>
      </c>
      <c r="F11" s="20">
        <f>IF(ISBLANK('Raw counts'!F12),"",RANK('3'!F73,'3'!$B73:$U73))</f>
        <v>1</v>
      </c>
      <c r="G11" s="20">
        <f>IF(ISBLANK('Raw counts'!G12),"",RANK('3'!G73,'3'!$B73:$U73))</f>
        <v>2</v>
      </c>
      <c r="H11" s="20">
        <f>IF(ISBLANK('Raw counts'!H12),"",RANK('3'!H73,'3'!$B73:$U73))</f>
        <v>11</v>
      </c>
      <c r="I11" s="20">
        <f>IF(ISBLANK('Raw counts'!I12),"",RANK('3'!I73,'3'!$B73:$U73))</f>
        <v>7</v>
      </c>
      <c r="J11" s="20">
        <f>IF(ISBLANK('Raw counts'!J12),"",RANK('3'!J73,'3'!$B73:$U73))</f>
        <v>5</v>
      </c>
      <c r="K11" s="20">
        <f>IF(ISBLANK('Raw counts'!K12),"",RANK('3'!K73,'3'!$B73:$U73))</f>
        <v>4</v>
      </c>
      <c r="L11" s="20">
        <f>IF(ISBLANK('Raw counts'!L12),"",RANK('3'!L73,'3'!$B73:$U73))</f>
        <v>6</v>
      </c>
      <c r="M11" s="20" t="str">
        <f>IF(ISBLANK('Raw counts'!M12),"",RANK('3'!M73,'3'!$B73:$U73))</f>
        <v/>
      </c>
      <c r="N11" s="20" t="str">
        <f>IF(ISBLANK('Raw counts'!N12),"",RANK('3'!N73,'3'!$B73:$U73))</f>
        <v/>
      </c>
      <c r="O11" s="20" t="str">
        <f>IF(ISBLANK('Raw counts'!O12),"",RANK('3'!O73,'3'!$B73:$U73))</f>
        <v/>
      </c>
      <c r="P11" s="20" t="str">
        <f>IF(ISBLANK('Raw counts'!P12),"",RANK('3'!P73,'3'!$B73:$U73))</f>
        <v/>
      </c>
      <c r="Q11" s="20" t="str">
        <f>IF(ISBLANK('Raw counts'!Q12),"",RANK('3'!Q73,'3'!$B73:$U73))</f>
        <v/>
      </c>
      <c r="R11" s="20" t="str">
        <f>IF(ISBLANK('Raw counts'!R12),"",RANK('3'!R73,'3'!$B73:$U73))</f>
        <v/>
      </c>
      <c r="S11" s="20" t="str">
        <f>IF(ISBLANK('Raw counts'!S12),"",RANK('3'!S73,'3'!$B73:$U73))</f>
        <v/>
      </c>
      <c r="T11" s="20" t="str">
        <f>IF(ISBLANK('Raw counts'!T12),"",RANK('3'!T73,'3'!$B73:$U73))</f>
        <v/>
      </c>
      <c r="U11" s="20" t="str">
        <f>IF(ISBLANK('Raw counts'!U12),"",RANK('3'!U73,'3'!$B73:$U73))</f>
        <v/>
      </c>
    </row>
    <row r="12" spans="1:23" ht="25.5" x14ac:dyDescent="0.15">
      <c r="A12" s="18" t="str">
        <f>IF(ISBLANK('Raw counts'!A13),"",'Raw counts'!A13)</f>
        <v xml:space="preserve">Costs more than other brands                                                </v>
      </c>
      <c r="B12" s="20">
        <f>IF(ISBLANK('Raw counts'!B13),"",RANK('3'!B74,'3'!$B74:$U74))</f>
        <v>2</v>
      </c>
      <c r="C12" s="20">
        <f>IF(ISBLANK('Raw counts'!C13),"",RANK('3'!C74,'3'!$B74:$U74))</f>
        <v>11</v>
      </c>
      <c r="D12" s="20">
        <f>IF(ISBLANK('Raw counts'!D13),"",RANK('3'!D74,'3'!$B74:$U74))</f>
        <v>4</v>
      </c>
      <c r="E12" s="20">
        <f>IF(ISBLANK('Raw counts'!E13),"",RANK('3'!E74,'3'!$B74:$U74))</f>
        <v>7</v>
      </c>
      <c r="F12" s="20">
        <f>IF(ISBLANK('Raw counts'!F13),"",RANK('3'!F74,'3'!$B74:$U74))</f>
        <v>9</v>
      </c>
      <c r="G12" s="20">
        <f>IF(ISBLANK('Raw counts'!G13),"",RANK('3'!G74,'3'!$B74:$U74))</f>
        <v>3</v>
      </c>
      <c r="H12" s="20">
        <f>IF(ISBLANK('Raw counts'!H13),"",RANK('3'!H74,'3'!$B74:$U74))</f>
        <v>1</v>
      </c>
      <c r="I12" s="20">
        <f>IF(ISBLANK('Raw counts'!I13),"",RANK('3'!I74,'3'!$B74:$U74))</f>
        <v>6</v>
      </c>
      <c r="J12" s="20">
        <f>IF(ISBLANK('Raw counts'!J13),"",RANK('3'!J74,'3'!$B74:$U74))</f>
        <v>8</v>
      </c>
      <c r="K12" s="20">
        <f>IF(ISBLANK('Raw counts'!K13),"",RANK('3'!K74,'3'!$B74:$U74))</f>
        <v>10</v>
      </c>
      <c r="L12" s="20">
        <f>IF(ISBLANK('Raw counts'!L13),"",RANK('3'!L74,'3'!$B74:$U74))</f>
        <v>5</v>
      </c>
      <c r="M12" s="20" t="str">
        <f>IF(ISBLANK('Raw counts'!M13),"",RANK('3'!M74,'3'!$B74:$U74))</f>
        <v/>
      </c>
      <c r="N12" s="20" t="str">
        <f>IF(ISBLANK('Raw counts'!N13),"",RANK('3'!N74,'3'!$B74:$U74))</f>
        <v/>
      </c>
      <c r="O12" s="20" t="str">
        <f>IF(ISBLANK('Raw counts'!O13),"",RANK('3'!O74,'3'!$B74:$U74))</f>
        <v/>
      </c>
      <c r="P12" s="20" t="str">
        <f>IF(ISBLANK('Raw counts'!P13),"",RANK('3'!P74,'3'!$B74:$U74))</f>
        <v/>
      </c>
      <c r="Q12" s="20" t="str">
        <f>IF(ISBLANK('Raw counts'!Q13),"",RANK('3'!Q74,'3'!$B74:$U74))</f>
        <v/>
      </c>
      <c r="R12" s="20" t="str">
        <f>IF(ISBLANK('Raw counts'!R13),"",RANK('3'!R74,'3'!$B74:$U74))</f>
        <v/>
      </c>
      <c r="S12" s="20" t="str">
        <f>IF(ISBLANK('Raw counts'!S13),"",RANK('3'!S74,'3'!$B74:$U74))</f>
        <v/>
      </c>
      <c r="T12" s="20" t="str">
        <f>IF(ISBLANK('Raw counts'!T13),"",RANK('3'!T74,'3'!$B74:$U74))</f>
        <v/>
      </c>
      <c r="U12" s="20" t="str">
        <f>IF(ISBLANK('Raw counts'!U13),"",RANK('3'!U74,'3'!$B74:$U74))</f>
        <v/>
      </c>
    </row>
    <row r="13" spans="1:23" ht="38.25" x14ac:dyDescent="0.15">
      <c r="A13" s="18" t="str">
        <f>IF(ISBLANK('Raw counts'!A14),"",'Raw counts'!A14)</f>
        <v xml:space="preserve">Costs more than I'm willing to pay                                          </v>
      </c>
      <c r="B13" s="20">
        <f>IF(ISBLANK('Raw counts'!B14),"",RANK('3'!B75,'3'!$B75:$U75))</f>
        <v>6</v>
      </c>
      <c r="C13" s="20">
        <f>IF(ISBLANK('Raw counts'!C14),"",RANK('3'!C75,'3'!$B75:$U75))</f>
        <v>8</v>
      </c>
      <c r="D13" s="20">
        <f>IF(ISBLANK('Raw counts'!D14),"",RANK('3'!D75,'3'!$B75:$U75))</f>
        <v>4</v>
      </c>
      <c r="E13" s="20">
        <f>IF(ISBLANK('Raw counts'!E14),"",RANK('3'!E75,'3'!$B75:$U75))</f>
        <v>9</v>
      </c>
      <c r="F13" s="20">
        <f>IF(ISBLANK('Raw counts'!F14),"",RANK('3'!F75,'3'!$B75:$U75))</f>
        <v>1</v>
      </c>
      <c r="G13" s="20">
        <f>IF(ISBLANK('Raw counts'!G14),"",RANK('3'!G75,'3'!$B75:$U75))</f>
        <v>10</v>
      </c>
      <c r="H13" s="20">
        <f>IF(ISBLANK('Raw counts'!H14),"",RANK('3'!H75,'3'!$B75:$U75))</f>
        <v>2</v>
      </c>
      <c r="I13" s="20">
        <f>IF(ISBLANK('Raw counts'!I14),"",RANK('3'!I75,'3'!$B75:$U75))</f>
        <v>11</v>
      </c>
      <c r="J13" s="20">
        <f>IF(ISBLANK('Raw counts'!J14),"",RANK('3'!J75,'3'!$B75:$U75))</f>
        <v>5</v>
      </c>
      <c r="K13" s="20">
        <f>IF(ISBLANK('Raw counts'!K14),"",RANK('3'!K75,'3'!$B75:$U75))</f>
        <v>7</v>
      </c>
      <c r="L13" s="20">
        <f>IF(ISBLANK('Raw counts'!L14),"",RANK('3'!L75,'3'!$B75:$U75))</f>
        <v>3</v>
      </c>
      <c r="M13" s="20" t="str">
        <f>IF(ISBLANK('Raw counts'!M14),"",RANK('3'!M75,'3'!$B75:$U75))</f>
        <v/>
      </c>
      <c r="N13" s="20" t="str">
        <f>IF(ISBLANK('Raw counts'!N14),"",RANK('3'!N75,'3'!$B75:$U75))</f>
        <v/>
      </c>
      <c r="O13" s="20" t="str">
        <f>IF(ISBLANK('Raw counts'!O14),"",RANK('3'!O75,'3'!$B75:$U75))</f>
        <v/>
      </c>
      <c r="P13" s="20" t="str">
        <f>IF(ISBLANK('Raw counts'!P14),"",RANK('3'!P75,'3'!$B75:$U75))</f>
        <v/>
      </c>
      <c r="Q13" s="20" t="str">
        <f>IF(ISBLANK('Raw counts'!Q14),"",RANK('3'!Q75,'3'!$B75:$U75))</f>
        <v/>
      </c>
      <c r="R13" s="20" t="str">
        <f>IF(ISBLANK('Raw counts'!R14),"",RANK('3'!R75,'3'!$B75:$U75))</f>
        <v/>
      </c>
      <c r="S13" s="20" t="str">
        <f>IF(ISBLANK('Raw counts'!S14),"",RANK('3'!S75,'3'!$B75:$U75))</f>
        <v/>
      </c>
      <c r="T13" s="20" t="str">
        <f>IF(ISBLANK('Raw counts'!T14),"",RANK('3'!T75,'3'!$B75:$U75))</f>
        <v/>
      </c>
      <c r="U13" s="20" t="str">
        <f>IF(ISBLANK('Raw counts'!U14),"",RANK('3'!U75,'3'!$B75:$U75))</f>
        <v/>
      </c>
    </row>
    <row r="14" spans="1:23" x14ac:dyDescent="0.15">
      <c r="A14" s="18" t="str">
        <f>IF(ISBLANK('Raw counts'!A15),"",'Raw counts'!A15)</f>
        <v xml:space="preserve">Not enough promotions, discounts or coupons                                 </v>
      </c>
      <c r="B14" s="20">
        <f>IF(ISBLANK('Raw counts'!B15),"",RANK('3'!B76,'3'!$B76:$U76))</f>
        <v>3</v>
      </c>
      <c r="C14" s="20">
        <f>IF(ISBLANK('Raw counts'!C15),"",RANK('3'!C76,'3'!$B76:$U76))</f>
        <v>11</v>
      </c>
      <c r="D14" s="20">
        <f>IF(ISBLANK('Raw counts'!D15),"",RANK('3'!D76,'3'!$B76:$U76))</f>
        <v>7</v>
      </c>
      <c r="E14" s="20">
        <f>IF(ISBLANK('Raw counts'!E15),"",RANK('3'!E76,'3'!$B76:$U76))</f>
        <v>9</v>
      </c>
      <c r="F14" s="20">
        <f>IF(ISBLANK('Raw counts'!F15),"",RANK('3'!F76,'3'!$B76:$U76))</f>
        <v>4</v>
      </c>
      <c r="G14" s="20">
        <f>IF(ISBLANK('Raw counts'!G15),"",RANK('3'!G76,'3'!$B76:$U76))</f>
        <v>2</v>
      </c>
      <c r="H14" s="20">
        <f>IF(ISBLANK('Raw counts'!H15),"",RANK('3'!H76,'3'!$B76:$U76))</f>
        <v>1</v>
      </c>
      <c r="I14" s="20">
        <f>IF(ISBLANK('Raw counts'!I15),"",RANK('3'!I76,'3'!$B76:$U76))</f>
        <v>8</v>
      </c>
      <c r="J14" s="20">
        <f>IF(ISBLANK('Raw counts'!J15),"",RANK('3'!J76,'3'!$B76:$U76))</f>
        <v>6</v>
      </c>
      <c r="K14" s="20">
        <f>IF(ISBLANK('Raw counts'!K15),"",RANK('3'!K76,'3'!$B76:$U76))</f>
        <v>10</v>
      </c>
      <c r="L14" s="20">
        <f>IF(ISBLANK('Raw counts'!L15),"",RANK('3'!L76,'3'!$B76:$U76))</f>
        <v>5</v>
      </c>
      <c r="M14" s="20" t="str">
        <f>IF(ISBLANK('Raw counts'!M15),"",RANK('3'!M76,'3'!$B76:$U76))</f>
        <v/>
      </c>
      <c r="N14" s="20" t="str">
        <f>IF(ISBLANK('Raw counts'!N15),"",RANK('3'!N76,'3'!$B76:$U76))</f>
        <v/>
      </c>
      <c r="O14" s="20" t="str">
        <f>IF(ISBLANK('Raw counts'!O15),"",RANK('3'!O76,'3'!$B76:$U76))</f>
        <v/>
      </c>
      <c r="P14" s="20" t="str">
        <f>IF(ISBLANK('Raw counts'!P15),"",RANK('3'!P76,'3'!$B76:$U76))</f>
        <v/>
      </c>
      <c r="Q14" s="20" t="str">
        <f>IF(ISBLANK('Raw counts'!Q15),"",RANK('3'!Q76,'3'!$B76:$U76))</f>
        <v/>
      </c>
      <c r="R14" s="20" t="str">
        <f>IF(ISBLANK('Raw counts'!R15),"",RANK('3'!R76,'3'!$B76:$U76))</f>
        <v/>
      </c>
      <c r="S14" s="20" t="str">
        <f>IF(ISBLANK('Raw counts'!S15),"",RANK('3'!S76,'3'!$B76:$U76))</f>
        <v/>
      </c>
      <c r="T14" s="20" t="str">
        <f>IF(ISBLANK('Raw counts'!T15),"",RANK('3'!T76,'3'!$B76:$U76))</f>
        <v/>
      </c>
      <c r="U14" s="20" t="str">
        <f>IF(ISBLANK('Raw counts'!U15),"",RANK('3'!U76,'3'!$B76:$U76))</f>
        <v/>
      </c>
    </row>
    <row r="15" spans="1:23" x14ac:dyDescent="0.15">
      <c r="A15" s="18" t="str">
        <f>IF(ISBLANK('Raw counts'!A16),"",'Raw counts'!A16)</f>
        <v xml:space="preserve">Other brands offer more promotions, discounts or coupons                    </v>
      </c>
      <c r="B15" s="20">
        <f>IF(ISBLANK('Raw counts'!B16),"",RANK('3'!B77,'3'!$B77:$U77))</f>
        <v>2</v>
      </c>
      <c r="C15" s="20">
        <f>IF(ISBLANK('Raw counts'!C16),"",RANK('3'!C77,'3'!$B77:$U77))</f>
        <v>1</v>
      </c>
      <c r="D15" s="20">
        <f>IF(ISBLANK('Raw counts'!D16),"",RANK('3'!D77,'3'!$B77:$U77))</f>
        <v>6</v>
      </c>
      <c r="E15" s="20">
        <f>IF(ISBLANK('Raw counts'!E16),"",RANK('3'!E77,'3'!$B77:$U77))</f>
        <v>11</v>
      </c>
      <c r="F15" s="20">
        <f>IF(ISBLANK('Raw counts'!F16),"",RANK('3'!F77,'3'!$B77:$U77))</f>
        <v>4</v>
      </c>
      <c r="G15" s="20">
        <f>IF(ISBLANK('Raw counts'!G16),"",RANK('3'!G77,'3'!$B77:$U77))</f>
        <v>9</v>
      </c>
      <c r="H15" s="20">
        <f>IF(ISBLANK('Raw counts'!H16),"",RANK('3'!H77,'3'!$B77:$U77))</f>
        <v>10</v>
      </c>
      <c r="I15" s="20">
        <f>IF(ISBLANK('Raw counts'!I16),"",RANK('3'!I77,'3'!$B77:$U77))</f>
        <v>3</v>
      </c>
      <c r="J15" s="20">
        <f>IF(ISBLANK('Raw counts'!J16),"",RANK('3'!J77,'3'!$B77:$U77))</f>
        <v>8</v>
      </c>
      <c r="K15" s="20">
        <f>IF(ISBLANK('Raw counts'!K16),"",RANK('3'!K77,'3'!$B77:$U77))</f>
        <v>7</v>
      </c>
      <c r="L15" s="20">
        <f>IF(ISBLANK('Raw counts'!L16),"",RANK('3'!L77,'3'!$B77:$U77))</f>
        <v>5</v>
      </c>
      <c r="M15" s="20" t="str">
        <f>IF(ISBLANK('Raw counts'!M16),"",RANK('3'!M77,'3'!$B77:$U77))</f>
        <v/>
      </c>
      <c r="N15" s="20" t="str">
        <f>IF(ISBLANK('Raw counts'!N16),"",RANK('3'!N77,'3'!$B77:$U77))</f>
        <v/>
      </c>
      <c r="O15" s="20" t="str">
        <f>IF(ISBLANK('Raw counts'!O16),"",RANK('3'!O77,'3'!$B77:$U77))</f>
        <v/>
      </c>
      <c r="P15" s="20" t="str">
        <f>IF(ISBLANK('Raw counts'!P16),"",RANK('3'!P77,'3'!$B77:$U77))</f>
        <v/>
      </c>
      <c r="Q15" s="20" t="str">
        <f>IF(ISBLANK('Raw counts'!Q16),"",RANK('3'!Q77,'3'!$B77:$U77))</f>
        <v/>
      </c>
      <c r="R15" s="20" t="str">
        <f>IF(ISBLANK('Raw counts'!R16),"",RANK('3'!R77,'3'!$B77:$U77))</f>
        <v/>
      </c>
      <c r="S15" s="20" t="str">
        <f>IF(ISBLANK('Raw counts'!S16),"",RANK('3'!S77,'3'!$B77:$U77))</f>
        <v/>
      </c>
      <c r="T15" s="20" t="str">
        <f>IF(ISBLANK('Raw counts'!T16),"",RANK('3'!T77,'3'!$B77:$U77))</f>
        <v/>
      </c>
      <c r="U15" s="20" t="str">
        <f>IF(ISBLANK('Raw counts'!U16),"",RANK('3'!U77,'3'!$B77:$U77))</f>
        <v/>
      </c>
    </row>
    <row r="16" spans="1:23" x14ac:dyDescent="0.15">
      <c r="A16" s="18" t="str">
        <f>IF(ISBLANK('Raw counts'!A17),"",'Raw counts'!A17)</f>
        <v xml:space="preserve">Other brands have more shopper or loyalty card offers                       </v>
      </c>
      <c r="B16" s="20">
        <f>IF(ISBLANK('Raw counts'!B17),"",RANK('3'!B78,'3'!$B78:$U78))</f>
        <v>4</v>
      </c>
      <c r="C16" s="20">
        <f>IF(ISBLANK('Raw counts'!C17),"",RANK('3'!C78,'3'!$B78:$U78))</f>
        <v>9</v>
      </c>
      <c r="D16" s="20">
        <f>IF(ISBLANK('Raw counts'!D17),"",RANK('3'!D78,'3'!$B78:$U78))</f>
        <v>5</v>
      </c>
      <c r="E16" s="20">
        <f>IF(ISBLANK('Raw counts'!E17),"",RANK('3'!E78,'3'!$B78:$U78))</f>
        <v>6</v>
      </c>
      <c r="F16" s="20">
        <f>IF(ISBLANK('Raw counts'!F17),"",RANK('3'!F78,'3'!$B78:$U78))</f>
        <v>3</v>
      </c>
      <c r="G16" s="20">
        <f>IF(ISBLANK('Raw counts'!G17),"",RANK('3'!G78,'3'!$B78:$U78))</f>
        <v>11</v>
      </c>
      <c r="H16" s="20">
        <f>IF(ISBLANK('Raw counts'!H17),"",RANK('3'!H78,'3'!$B78:$U78))</f>
        <v>2</v>
      </c>
      <c r="I16" s="20">
        <f>IF(ISBLANK('Raw counts'!I17),"",RANK('3'!I78,'3'!$B78:$U78))</f>
        <v>8</v>
      </c>
      <c r="J16" s="20">
        <f>IF(ISBLANK('Raw counts'!J17),"",RANK('3'!J78,'3'!$B78:$U78))</f>
        <v>10</v>
      </c>
      <c r="K16" s="20">
        <f>IF(ISBLANK('Raw counts'!K17),"",RANK('3'!K78,'3'!$B78:$U78))</f>
        <v>1</v>
      </c>
      <c r="L16" s="20">
        <f>IF(ISBLANK('Raw counts'!L17),"",RANK('3'!L78,'3'!$B78:$U78))</f>
        <v>7</v>
      </c>
      <c r="M16" s="20" t="str">
        <f>IF(ISBLANK('Raw counts'!M17),"",RANK('3'!M78,'3'!$B78:$U78))</f>
        <v/>
      </c>
      <c r="N16" s="20" t="str">
        <f>IF(ISBLANK('Raw counts'!N17),"",RANK('3'!N78,'3'!$B78:$U78))</f>
        <v/>
      </c>
      <c r="O16" s="20" t="str">
        <f>IF(ISBLANK('Raw counts'!O17),"",RANK('3'!O78,'3'!$B78:$U78))</f>
        <v/>
      </c>
      <c r="P16" s="20" t="str">
        <f>IF(ISBLANK('Raw counts'!P17),"",RANK('3'!P78,'3'!$B78:$U78))</f>
        <v/>
      </c>
      <c r="Q16" s="20" t="str">
        <f>IF(ISBLANK('Raw counts'!Q17),"",RANK('3'!Q78,'3'!$B78:$U78))</f>
        <v/>
      </c>
      <c r="R16" s="20" t="str">
        <f>IF(ISBLANK('Raw counts'!R17),"",RANK('3'!R78,'3'!$B78:$U78))</f>
        <v/>
      </c>
      <c r="S16" s="20" t="str">
        <f>IF(ISBLANK('Raw counts'!S17),"",RANK('3'!S78,'3'!$B78:$U78))</f>
        <v/>
      </c>
      <c r="T16" s="20" t="str">
        <f>IF(ISBLANK('Raw counts'!T17),"",RANK('3'!T78,'3'!$B78:$U78))</f>
        <v/>
      </c>
      <c r="U16" s="20" t="str">
        <f>IF(ISBLANK('Raw counts'!U17),"",RANK('3'!U78,'3'!$B78:$U78))</f>
        <v/>
      </c>
    </row>
    <row r="17" spans="1:21" x14ac:dyDescent="0.15">
      <c r="A17" s="18" t="str">
        <f>IF(ISBLANK('Raw counts'!A18),"",'Raw counts'!A18)</f>
        <v xml:space="preserve">Recommended another brand by others(i.e. family members/peers or iWOM)      </v>
      </c>
      <c r="B17" s="20">
        <f>IF(ISBLANK('Raw counts'!B18),"",RANK('3'!B79,'3'!$B79:$U79))</f>
        <v>11</v>
      </c>
      <c r="C17" s="20">
        <f>IF(ISBLANK('Raw counts'!C18),"",RANK('3'!C79,'3'!$B79:$U79))</f>
        <v>1</v>
      </c>
      <c r="D17" s="20">
        <f>IF(ISBLANK('Raw counts'!D18),"",RANK('3'!D79,'3'!$B79:$U79))</f>
        <v>10</v>
      </c>
      <c r="E17" s="20">
        <f>IF(ISBLANK('Raw counts'!E18),"",RANK('3'!E79,'3'!$B79:$U79))</f>
        <v>2</v>
      </c>
      <c r="F17" s="20">
        <f>IF(ISBLANK('Raw counts'!F18),"",RANK('3'!F79,'3'!$B79:$U79))</f>
        <v>9</v>
      </c>
      <c r="G17" s="20">
        <f>IF(ISBLANK('Raw counts'!G18),"",RANK('3'!G79,'3'!$B79:$U79))</f>
        <v>5</v>
      </c>
      <c r="H17" s="20">
        <f>IF(ISBLANK('Raw counts'!H18),"",RANK('3'!H79,'3'!$B79:$U79))</f>
        <v>3</v>
      </c>
      <c r="I17" s="20">
        <f>IF(ISBLANK('Raw counts'!I18),"",RANK('3'!I79,'3'!$B79:$U79))</f>
        <v>4</v>
      </c>
      <c r="J17" s="20">
        <f>IF(ISBLANK('Raw counts'!J18),"",RANK('3'!J79,'3'!$B79:$U79))</f>
        <v>7</v>
      </c>
      <c r="K17" s="20">
        <f>IF(ISBLANK('Raw counts'!K18),"",RANK('3'!K79,'3'!$B79:$U79))</f>
        <v>6</v>
      </c>
      <c r="L17" s="20">
        <f>IF(ISBLANK('Raw counts'!L18),"",RANK('3'!L79,'3'!$B79:$U79))</f>
        <v>8</v>
      </c>
      <c r="M17" s="20" t="str">
        <f>IF(ISBLANK('Raw counts'!M18),"",RANK('3'!M79,'3'!$B79:$U79))</f>
        <v/>
      </c>
      <c r="N17" s="20" t="str">
        <f>IF(ISBLANK('Raw counts'!N18),"",RANK('3'!N79,'3'!$B79:$U79))</f>
        <v/>
      </c>
      <c r="O17" s="20" t="str">
        <f>IF(ISBLANK('Raw counts'!O18),"",RANK('3'!O79,'3'!$B79:$U79))</f>
        <v/>
      </c>
      <c r="P17" s="20" t="str">
        <f>IF(ISBLANK('Raw counts'!P18),"",RANK('3'!P79,'3'!$B79:$U79))</f>
        <v/>
      </c>
      <c r="Q17" s="20" t="str">
        <f>IF(ISBLANK('Raw counts'!Q18),"",RANK('3'!Q79,'3'!$B79:$U79))</f>
        <v/>
      </c>
      <c r="R17" s="20" t="str">
        <f>IF(ISBLANK('Raw counts'!R18),"",RANK('3'!R79,'3'!$B79:$U79))</f>
        <v/>
      </c>
      <c r="S17" s="20" t="str">
        <f>IF(ISBLANK('Raw counts'!S18),"",RANK('3'!S79,'3'!$B79:$U79))</f>
        <v/>
      </c>
      <c r="T17" s="20" t="str">
        <f>IF(ISBLANK('Raw counts'!T18),"",RANK('3'!T79,'3'!$B79:$U79))</f>
        <v/>
      </c>
      <c r="U17" s="20" t="str">
        <f>IF(ISBLANK('Raw counts'!U18),"",RANK('3'!U79,'3'!$B79:$U79))</f>
        <v/>
      </c>
    </row>
    <row r="18" spans="1:21" x14ac:dyDescent="0.15">
      <c r="A18" s="18" t="str">
        <f>IF(ISBLANK('Raw counts'!A19),"",'Raw counts'!A19)</f>
        <v xml:space="preserve">In-store salesperson or advisor recommended another brand                   </v>
      </c>
      <c r="B18" s="20">
        <f>IF(ISBLANK('Raw counts'!B19),"",RANK('3'!B80,'3'!$B80:$U80))</f>
        <v>5</v>
      </c>
      <c r="C18" s="20">
        <f>IF(ISBLANK('Raw counts'!C19),"",RANK('3'!C80,'3'!$B80:$U80))</f>
        <v>11</v>
      </c>
      <c r="D18" s="20">
        <f>IF(ISBLANK('Raw counts'!D19),"",RANK('3'!D80,'3'!$B80:$U80))</f>
        <v>4</v>
      </c>
      <c r="E18" s="20">
        <f>IF(ISBLANK('Raw counts'!E19),"",RANK('3'!E80,'3'!$B80:$U80))</f>
        <v>2</v>
      </c>
      <c r="F18" s="20">
        <f>IF(ISBLANK('Raw counts'!F19),"",RANK('3'!F80,'3'!$B80:$U80))</f>
        <v>9</v>
      </c>
      <c r="G18" s="20">
        <f>IF(ISBLANK('Raw counts'!G19),"",RANK('3'!G80,'3'!$B80:$U80))</f>
        <v>10</v>
      </c>
      <c r="H18" s="20">
        <f>IF(ISBLANK('Raw counts'!H19),"",RANK('3'!H80,'3'!$B80:$U80))</f>
        <v>8</v>
      </c>
      <c r="I18" s="20">
        <f>IF(ISBLANK('Raw counts'!I19),"",RANK('3'!I80,'3'!$B80:$U80))</f>
        <v>3</v>
      </c>
      <c r="J18" s="20">
        <f>IF(ISBLANK('Raw counts'!J19),"",RANK('3'!J80,'3'!$B80:$U80))</f>
        <v>7</v>
      </c>
      <c r="K18" s="20">
        <f>IF(ISBLANK('Raw counts'!K19),"",RANK('3'!K80,'3'!$B80:$U80))</f>
        <v>1</v>
      </c>
      <c r="L18" s="20">
        <f>IF(ISBLANK('Raw counts'!L19),"",RANK('3'!L80,'3'!$B80:$U80))</f>
        <v>6</v>
      </c>
      <c r="M18" s="20" t="str">
        <f>IF(ISBLANK('Raw counts'!M19),"",RANK('3'!M80,'3'!$B80:$U80))</f>
        <v/>
      </c>
      <c r="N18" s="20" t="str">
        <f>IF(ISBLANK('Raw counts'!N19),"",RANK('3'!N80,'3'!$B80:$U80))</f>
        <v/>
      </c>
      <c r="O18" s="20" t="str">
        <f>IF(ISBLANK('Raw counts'!O19),"",RANK('3'!O80,'3'!$B80:$U80))</f>
        <v/>
      </c>
      <c r="P18" s="20" t="str">
        <f>IF(ISBLANK('Raw counts'!P19),"",RANK('3'!P80,'3'!$B80:$U80))</f>
        <v/>
      </c>
      <c r="Q18" s="20" t="str">
        <f>IF(ISBLANK('Raw counts'!Q19),"",RANK('3'!Q80,'3'!$B80:$U80))</f>
        <v/>
      </c>
      <c r="R18" s="20" t="str">
        <f>IF(ISBLANK('Raw counts'!R19),"",RANK('3'!R80,'3'!$B80:$U80))</f>
        <v/>
      </c>
      <c r="S18" s="20" t="str">
        <f>IF(ISBLANK('Raw counts'!S19),"",RANK('3'!S80,'3'!$B80:$U80))</f>
        <v/>
      </c>
      <c r="T18" s="20" t="str">
        <f>IF(ISBLANK('Raw counts'!T19),"",RANK('3'!T80,'3'!$B80:$U80))</f>
        <v/>
      </c>
      <c r="U18" s="20" t="str">
        <f>IF(ISBLANK('Raw counts'!U19),"",RANK('3'!U80,'3'!$B80:$U80))</f>
        <v/>
      </c>
    </row>
    <row r="19" spans="1:21" ht="25.5" x14ac:dyDescent="0.15">
      <c r="A19" s="18" t="str">
        <f>IF(ISBLANK('Raw counts'!A20),"",'Raw counts'!A20)</f>
        <v xml:space="preserve">Researched online while shopping and found negative reviews of the product  </v>
      </c>
      <c r="B19" s="20">
        <f>IF(ISBLANK('Raw counts'!B20),"",RANK('3'!B81,'3'!$B81:$U81))</f>
        <v>4</v>
      </c>
      <c r="C19" s="20">
        <f>IF(ISBLANK('Raw counts'!C20),"",RANK('3'!C81,'3'!$B81:$U81))</f>
        <v>1</v>
      </c>
      <c r="D19" s="20">
        <f>IF(ISBLANK('Raw counts'!D20),"",RANK('3'!D81,'3'!$B81:$U81))</f>
        <v>3</v>
      </c>
      <c r="E19" s="20">
        <f>IF(ISBLANK('Raw counts'!E20),"",RANK('3'!E81,'3'!$B81:$U81))</f>
        <v>6</v>
      </c>
      <c r="F19" s="20">
        <f>IF(ISBLANK('Raw counts'!F20),"",RANK('3'!F81,'3'!$B81:$U81))</f>
        <v>8</v>
      </c>
      <c r="G19" s="20">
        <f>IF(ISBLANK('Raw counts'!G20),"",RANK('3'!G81,'3'!$B81:$U81))</f>
        <v>10</v>
      </c>
      <c r="H19" s="20">
        <f>IF(ISBLANK('Raw counts'!H20),"",RANK('3'!H81,'3'!$B81:$U81))</f>
        <v>11</v>
      </c>
      <c r="I19" s="20">
        <f>IF(ISBLANK('Raw counts'!I20),"",RANK('3'!I81,'3'!$B81:$U81))</f>
        <v>9</v>
      </c>
      <c r="J19" s="20">
        <f>IF(ISBLANK('Raw counts'!J20),"",RANK('3'!J81,'3'!$B81:$U81))</f>
        <v>2</v>
      </c>
      <c r="K19" s="20">
        <f>IF(ISBLANK('Raw counts'!K20),"",RANK('3'!K81,'3'!$B81:$U81))</f>
        <v>5</v>
      </c>
      <c r="L19" s="20">
        <f>IF(ISBLANK('Raw counts'!L20),"",RANK('3'!L81,'3'!$B81:$U81))</f>
        <v>7</v>
      </c>
      <c r="M19" s="20" t="str">
        <f>IF(ISBLANK('Raw counts'!M20),"",RANK('3'!M81,'3'!$B81:$U81))</f>
        <v/>
      </c>
      <c r="N19" s="20" t="str">
        <f>IF(ISBLANK('Raw counts'!N20),"",RANK('3'!N81,'3'!$B81:$U81))</f>
        <v/>
      </c>
      <c r="O19" s="20" t="str">
        <f>IF(ISBLANK('Raw counts'!O20),"",RANK('3'!O81,'3'!$B81:$U81))</f>
        <v/>
      </c>
      <c r="P19" s="20" t="str">
        <f>IF(ISBLANK('Raw counts'!P20),"",RANK('3'!P81,'3'!$B81:$U81))</f>
        <v/>
      </c>
      <c r="Q19" s="20" t="str">
        <f>IF(ISBLANK('Raw counts'!Q20),"",RANK('3'!Q81,'3'!$B81:$U81))</f>
        <v/>
      </c>
      <c r="R19" s="20" t="str">
        <f>IF(ISBLANK('Raw counts'!R20),"",RANK('3'!R81,'3'!$B81:$U81))</f>
        <v/>
      </c>
      <c r="S19" s="20" t="str">
        <f>IF(ISBLANK('Raw counts'!S20),"",RANK('3'!S81,'3'!$B81:$U81))</f>
        <v/>
      </c>
      <c r="T19" s="20" t="str">
        <f>IF(ISBLANK('Raw counts'!T20),"",RANK('3'!T81,'3'!$B81:$U81))</f>
        <v/>
      </c>
      <c r="U19" s="20" t="str">
        <f>IF(ISBLANK('Raw counts'!U20),"",RANK('3'!U81,'3'!$B81:$U81))</f>
        <v/>
      </c>
    </row>
    <row r="20" spans="1:21" ht="25.5" x14ac:dyDescent="0.15">
      <c r="A20" s="18" t="str">
        <f>IF(ISBLANK('Raw counts'!A21),"",'Raw counts'!A21)</f>
        <v xml:space="preserve">Dentist recommended another brand                                           </v>
      </c>
      <c r="B20" s="20">
        <f>IF(ISBLANK('Raw counts'!B21),"",RANK('3'!B82,'3'!$B82:$U82))</f>
        <v>10</v>
      </c>
      <c r="C20" s="20">
        <f>IF(ISBLANK('Raw counts'!C21),"",RANK('3'!C82,'3'!$B82:$U82))</f>
        <v>2</v>
      </c>
      <c r="D20" s="20">
        <f>IF(ISBLANK('Raw counts'!D21),"",RANK('3'!D82,'3'!$B82:$U82))</f>
        <v>3</v>
      </c>
      <c r="E20" s="20">
        <f>IF(ISBLANK('Raw counts'!E21),"",RANK('3'!E82,'3'!$B82:$U82))</f>
        <v>7</v>
      </c>
      <c r="F20" s="20">
        <f>IF(ISBLANK('Raw counts'!F21),"",RANK('3'!F82,'3'!$B82:$U82))</f>
        <v>8</v>
      </c>
      <c r="G20" s="20">
        <f>IF(ISBLANK('Raw counts'!G21),"",RANK('3'!G82,'3'!$B82:$U82))</f>
        <v>11</v>
      </c>
      <c r="H20" s="20">
        <f>IF(ISBLANK('Raw counts'!H21),"",RANK('3'!H82,'3'!$B82:$U82))</f>
        <v>1</v>
      </c>
      <c r="I20" s="20">
        <f>IF(ISBLANK('Raw counts'!I21),"",RANK('3'!I82,'3'!$B82:$U82))</f>
        <v>9</v>
      </c>
      <c r="J20" s="20">
        <f>IF(ISBLANK('Raw counts'!J21),"",RANK('3'!J82,'3'!$B82:$U82))</f>
        <v>6</v>
      </c>
      <c r="K20" s="20">
        <f>IF(ISBLANK('Raw counts'!K21),"",RANK('3'!K82,'3'!$B82:$U82))</f>
        <v>4</v>
      </c>
      <c r="L20" s="20">
        <f>IF(ISBLANK('Raw counts'!L21),"",RANK('3'!L82,'3'!$B82:$U82))</f>
        <v>5</v>
      </c>
      <c r="M20" s="20" t="str">
        <f>IF(ISBLANK('Raw counts'!M21),"",RANK('3'!M82,'3'!$B82:$U82))</f>
        <v/>
      </c>
      <c r="N20" s="20" t="str">
        <f>IF(ISBLANK('Raw counts'!N21),"",RANK('3'!N82,'3'!$B82:$U82))</f>
        <v/>
      </c>
      <c r="O20" s="20" t="str">
        <f>IF(ISBLANK('Raw counts'!O21),"",RANK('3'!O82,'3'!$B82:$U82))</f>
        <v/>
      </c>
      <c r="P20" s="20" t="str">
        <f>IF(ISBLANK('Raw counts'!P21),"",RANK('3'!P82,'3'!$B82:$U82))</f>
        <v/>
      </c>
      <c r="Q20" s="20" t="str">
        <f>IF(ISBLANK('Raw counts'!Q21),"",RANK('3'!Q82,'3'!$B82:$U82))</f>
        <v/>
      </c>
      <c r="R20" s="20" t="str">
        <f>IF(ISBLANK('Raw counts'!R21),"",RANK('3'!R82,'3'!$B82:$U82))</f>
        <v/>
      </c>
      <c r="S20" s="20" t="str">
        <f>IF(ISBLANK('Raw counts'!S21),"",RANK('3'!S82,'3'!$B82:$U82))</f>
        <v/>
      </c>
      <c r="T20" s="20" t="str">
        <f>IF(ISBLANK('Raw counts'!T21),"",RANK('3'!T82,'3'!$B82:$U82))</f>
        <v/>
      </c>
      <c r="U20" s="20" t="str">
        <f>IF(ISBLANK('Raw counts'!U21),"",RANK('3'!U82,'3'!$B82:$U82))</f>
        <v/>
      </c>
    </row>
    <row r="21" spans="1:21" ht="25.5" x14ac:dyDescent="0.15">
      <c r="A21" s="18" t="str">
        <f>IF(ISBLANK('Raw counts'!A22),"",'Raw counts'!A22)</f>
        <v xml:space="preserve">Some other reason                                                           </v>
      </c>
      <c r="B21" s="20">
        <f>IF(ISBLANK('Raw counts'!B22),"",RANK('3'!B83,'3'!$B83:$U83))</f>
        <v>9</v>
      </c>
      <c r="C21" s="20">
        <f>IF(ISBLANK('Raw counts'!C22),"",RANK('3'!C83,'3'!$B83:$U83))</f>
        <v>2</v>
      </c>
      <c r="D21" s="20">
        <f>IF(ISBLANK('Raw counts'!D22),"",RANK('3'!D83,'3'!$B83:$U83))</f>
        <v>4</v>
      </c>
      <c r="E21" s="20">
        <f>IF(ISBLANK('Raw counts'!E22),"",RANK('3'!E83,'3'!$B83:$U83))</f>
        <v>7</v>
      </c>
      <c r="F21" s="20">
        <f>IF(ISBLANK('Raw counts'!F22),"",RANK('3'!F83,'3'!$B83:$U83))</f>
        <v>10</v>
      </c>
      <c r="G21" s="20">
        <f>IF(ISBLANK('Raw counts'!G22),"",RANK('3'!G83,'3'!$B83:$U83))</f>
        <v>5</v>
      </c>
      <c r="H21" s="20">
        <f>IF(ISBLANK('Raw counts'!H22),"",RANK('3'!H83,'3'!$B83:$U83))</f>
        <v>11</v>
      </c>
      <c r="I21" s="20">
        <f>IF(ISBLANK('Raw counts'!I22),"",RANK('3'!I83,'3'!$B83:$U83))</f>
        <v>6</v>
      </c>
      <c r="J21" s="20">
        <f>IF(ISBLANK('Raw counts'!J22),"",RANK('3'!J83,'3'!$B83:$U83))</f>
        <v>1</v>
      </c>
      <c r="K21" s="20">
        <f>IF(ISBLANK('Raw counts'!K22),"",RANK('3'!K83,'3'!$B83:$U83))</f>
        <v>8</v>
      </c>
      <c r="L21" s="20">
        <f>IF(ISBLANK('Raw counts'!L22),"",RANK('3'!L83,'3'!$B83:$U83))</f>
        <v>3</v>
      </c>
      <c r="M21" s="20" t="str">
        <f>IF(ISBLANK('Raw counts'!M22),"",RANK('3'!M83,'3'!$B83:$U83))</f>
        <v/>
      </c>
      <c r="N21" s="20" t="str">
        <f>IF(ISBLANK('Raw counts'!N22),"",RANK('3'!N83,'3'!$B83:$U83))</f>
        <v/>
      </c>
      <c r="O21" s="20" t="str">
        <f>IF(ISBLANK('Raw counts'!O22),"",RANK('3'!O83,'3'!$B83:$U83))</f>
        <v/>
      </c>
      <c r="P21" s="20" t="str">
        <f>IF(ISBLANK('Raw counts'!P22),"",RANK('3'!P83,'3'!$B83:$U83))</f>
        <v/>
      </c>
      <c r="Q21" s="20" t="str">
        <f>IF(ISBLANK('Raw counts'!Q22),"",RANK('3'!Q83,'3'!$B83:$U83))</f>
        <v/>
      </c>
      <c r="R21" s="20" t="str">
        <f>IF(ISBLANK('Raw counts'!R22),"",RANK('3'!R83,'3'!$B83:$U83))</f>
        <v/>
      </c>
      <c r="S21" s="20" t="str">
        <f>IF(ISBLANK('Raw counts'!S22),"",RANK('3'!S83,'3'!$B83:$U83))</f>
        <v/>
      </c>
      <c r="T21" s="20" t="str">
        <f>IF(ISBLANK('Raw counts'!T22),"",RANK('3'!T83,'3'!$B83:$U83))</f>
        <v/>
      </c>
      <c r="U21" s="20" t="str">
        <f>IF(ISBLANK('Raw counts'!U22),"",RANK('3'!U83,'3'!$B83:$U83))</f>
        <v/>
      </c>
    </row>
    <row r="22" spans="1:21" ht="25.5" x14ac:dyDescent="0.15">
      <c r="A22" s="18" t="str">
        <f>IF(ISBLANK('Raw counts'!A23),"",'Raw counts'!A23)</f>
        <v/>
      </c>
      <c r="B22" s="20" t="str">
        <f>IF(ISBLANK('Raw counts'!B23),"",RANK('3'!B84,'3'!$B84:$U84))</f>
        <v/>
      </c>
      <c r="C22" s="20" t="str">
        <f>IF(ISBLANK('Raw counts'!C23),"",RANK('3'!C84,'3'!$B84:$U84))</f>
        <v/>
      </c>
      <c r="D22" s="20" t="str">
        <f>IF(ISBLANK('Raw counts'!D23),"",RANK('3'!D84,'3'!$B84:$U84))</f>
        <v/>
      </c>
      <c r="E22" s="20" t="str">
        <f>IF(ISBLANK('Raw counts'!E23),"",RANK('3'!E84,'3'!$B84:$U84))</f>
        <v/>
      </c>
      <c r="F22" s="20" t="str">
        <f>IF(ISBLANK('Raw counts'!F23),"",RANK('3'!F84,'3'!$B84:$U84))</f>
        <v/>
      </c>
      <c r="G22" s="20" t="str">
        <f>IF(ISBLANK('Raw counts'!G23),"",RANK('3'!G84,'3'!$B84:$U84))</f>
        <v/>
      </c>
      <c r="H22" s="20" t="str">
        <f>IF(ISBLANK('Raw counts'!H23),"",RANK('3'!H84,'3'!$B84:$U84))</f>
        <v/>
      </c>
      <c r="I22" s="20" t="str">
        <f>IF(ISBLANK('Raw counts'!I23),"",RANK('3'!I84,'3'!$B84:$U84))</f>
        <v/>
      </c>
      <c r="J22" s="20" t="str">
        <f>IF(ISBLANK('Raw counts'!J23),"",RANK('3'!J84,'3'!$B84:$U84))</f>
        <v/>
      </c>
      <c r="K22" s="20" t="str">
        <f>IF(ISBLANK('Raw counts'!K23),"",RANK('3'!K84,'3'!$B84:$U84))</f>
        <v/>
      </c>
      <c r="L22" s="20" t="str">
        <f>IF(ISBLANK('Raw counts'!L23),"",RANK('3'!L84,'3'!$B84:$U84))</f>
        <v/>
      </c>
      <c r="M22" s="20" t="str">
        <f>IF(ISBLANK('Raw counts'!M23),"",RANK('3'!M84,'3'!$B84:$U84))</f>
        <v/>
      </c>
      <c r="N22" s="20" t="str">
        <f>IF(ISBLANK('Raw counts'!N23),"",RANK('3'!N84,'3'!$B84:$U84))</f>
        <v/>
      </c>
      <c r="O22" s="20" t="str">
        <f>IF(ISBLANK('Raw counts'!O23),"",RANK('3'!O84,'3'!$B84:$U84))</f>
        <v/>
      </c>
      <c r="P22" s="20" t="str">
        <f>IF(ISBLANK('Raw counts'!P23),"",RANK('3'!P84,'3'!$B84:$U84))</f>
        <v/>
      </c>
      <c r="Q22" s="20" t="str">
        <f>IF(ISBLANK('Raw counts'!Q23),"",RANK('3'!Q84,'3'!$B84:$U84))</f>
        <v/>
      </c>
      <c r="R22" s="20" t="str">
        <f>IF(ISBLANK('Raw counts'!R23),"",RANK('3'!R84,'3'!$B84:$U84))</f>
        <v/>
      </c>
      <c r="S22" s="20" t="str">
        <f>IF(ISBLANK('Raw counts'!S23),"",RANK('3'!S84,'3'!$B84:$U84))</f>
        <v/>
      </c>
      <c r="T22" s="20" t="str">
        <f>IF(ISBLANK('Raw counts'!T23),"",RANK('3'!T84,'3'!$B84:$U84))</f>
        <v/>
      </c>
      <c r="U22" s="20" t="str">
        <f>IF(ISBLANK('Raw counts'!U23),"",RANK('3'!U84,'3'!$B84:$U84))</f>
        <v/>
      </c>
    </row>
    <row r="23" spans="1:21" x14ac:dyDescent="0.15">
      <c r="A23" s="18" t="str">
        <f>IF(ISBLANK('Raw counts'!A24),"",'Raw counts'!A24)</f>
        <v/>
      </c>
      <c r="B23" s="20" t="str">
        <f>IF(ISBLANK('Raw counts'!B24),"",RANK('3'!B85,'3'!$B85:$U85))</f>
        <v/>
      </c>
      <c r="C23" s="20" t="str">
        <f>IF(ISBLANK('Raw counts'!C24),"",RANK('3'!C85,'3'!$B85:$U85))</f>
        <v/>
      </c>
      <c r="D23" s="20" t="str">
        <f>IF(ISBLANK('Raw counts'!D24),"",RANK('3'!D85,'3'!$B85:$U85))</f>
        <v/>
      </c>
      <c r="E23" s="20" t="str">
        <f>IF(ISBLANK('Raw counts'!E24),"",RANK('3'!E85,'3'!$B85:$U85))</f>
        <v/>
      </c>
      <c r="F23" s="20" t="str">
        <f>IF(ISBLANK('Raw counts'!F24),"",RANK('3'!F85,'3'!$B85:$U85))</f>
        <v/>
      </c>
      <c r="G23" s="20" t="str">
        <f>IF(ISBLANK('Raw counts'!G24),"",RANK('3'!G85,'3'!$B85:$U85))</f>
        <v/>
      </c>
      <c r="H23" s="20" t="str">
        <f>IF(ISBLANK('Raw counts'!H24),"",RANK('3'!H85,'3'!$B85:$U85))</f>
        <v/>
      </c>
      <c r="I23" s="20" t="str">
        <f>IF(ISBLANK('Raw counts'!I24),"",RANK('3'!I85,'3'!$B85:$U85))</f>
        <v/>
      </c>
      <c r="J23" s="20" t="str">
        <f>IF(ISBLANK('Raw counts'!J24),"",RANK('3'!J85,'3'!$B85:$U85))</f>
        <v/>
      </c>
      <c r="K23" s="20" t="str">
        <f>IF(ISBLANK('Raw counts'!K24),"",RANK('3'!K85,'3'!$B85:$U85))</f>
        <v/>
      </c>
      <c r="L23" s="20" t="str">
        <f>IF(ISBLANK('Raw counts'!L24),"",RANK('3'!L85,'3'!$B85:$U85))</f>
        <v/>
      </c>
      <c r="M23" s="20" t="str">
        <f>IF(ISBLANK('Raw counts'!M24),"",RANK('3'!M85,'3'!$B85:$U85))</f>
        <v/>
      </c>
      <c r="N23" s="20" t="str">
        <f>IF(ISBLANK('Raw counts'!N24),"",RANK('3'!N85,'3'!$B85:$U85))</f>
        <v/>
      </c>
      <c r="O23" s="20" t="str">
        <f>IF(ISBLANK('Raw counts'!O24),"",RANK('3'!O85,'3'!$B85:$U85))</f>
        <v/>
      </c>
      <c r="P23" s="20" t="str">
        <f>IF(ISBLANK('Raw counts'!P24),"",RANK('3'!P85,'3'!$B85:$U85))</f>
        <v/>
      </c>
      <c r="Q23" s="20" t="str">
        <f>IF(ISBLANK('Raw counts'!Q24),"",RANK('3'!Q85,'3'!$B85:$U85))</f>
        <v/>
      </c>
      <c r="R23" s="20" t="str">
        <f>IF(ISBLANK('Raw counts'!R24),"",RANK('3'!R85,'3'!$B85:$U85))</f>
        <v/>
      </c>
      <c r="S23" s="20" t="str">
        <f>IF(ISBLANK('Raw counts'!S24),"",RANK('3'!S85,'3'!$B85:$U85))</f>
        <v/>
      </c>
      <c r="T23" s="20" t="str">
        <f>IF(ISBLANK('Raw counts'!T24),"",RANK('3'!T85,'3'!$B85:$U85))</f>
        <v/>
      </c>
      <c r="U23" s="20" t="str">
        <f>IF(ISBLANK('Raw counts'!U24),"",RANK('3'!U85,'3'!$B85:$U85))</f>
        <v/>
      </c>
    </row>
    <row r="24" spans="1:21" x14ac:dyDescent="0.15">
      <c r="A24" s="18" t="str">
        <f>IF(ISBLANK('Raw counts'!A25),"",'Raw counts'!A25)</f>
        <v/>
      </c>
      <c r="B24" s="20" t="str">
        <f>IF(ISBLANK('Raw counts'!B25),"",RANK('3'!B86,'3'!$B86:$U86))</f>
        <v/>
      </c>
      <c r="C24" s="20" t="str">
        <f>IF(ISBLANK('Raw counts'!C25),"",RANK('3'!C86,'3'!$B86:$U86))</f>
        <v/>
      </c>
      <c r="D24" s="20" t="str">
        <f>IF(ISBLANK('Raw counts'!D25),"",RANK('3'!D86,'3'!$B86:$U86))</f>
        <v/>
      </c>
      <c r="E24" s="20" t="str">
        <f>IF(ISBLANK('Raw counts'!E25),"",RANK('3'!E86,'3'!$B86:$U86))</f>
        <v/>
      </c>
      <c r="F24" s="20" t="str">
        <f>IF(ISBLANK('Raw counts'!F25),"",RANK('3'!F86,'3'!$B86:$U86))</f>
        <v/>
      </c>
      <c r="G24" s="20" t="str">
        <f>IF(ISBLANK('Raw counts'!G25),"",RANK('3'!G86,'3'!$B86:$U86))</f>
        <v/>
      </c>
      <c r="H24" s="20" t="str">
        <f>IF(ISBLANK('Raw counts'!H25),"",RANK('3'!H86,'3'!$B86:$U86))</f>
        <v/>
      </c>
      <c r="I24" s="20" t="str">
        <f>IF(ISBLANK('Raw counts'!I25),"",RANK('3'!I86,'3'!$B86:$U86))</f>
        <v/>
      </c>
      <c r="J24" s="20" t="str">
        <f>IF(ISBLANK('Raw counts'!J25),"",RANK('3'!J86,'3'!$B86:$U86))</f>
        <v/>
      </c>
      <c r="K24" s="20" t="str">
        <f>IF(ISBLANK('Raw counts'!K25),"",RANK('3'!K86,'3'!$B86:$U86))</f>
        <v/>
      </c>
      <c r="L24" s="20" t="str">
        <f>IF(ISBLANK('Raw counts'!L25),"",RANK('3'!L86,'3'!$B86:$U86))</f>
        <v/>
      </c>
      <c r="M24" s="20" t="str">
        <f>IF(ISBLANK('Raw counts'!M25),"",RANK('3'!M86,'3'!$B86:$U86))</f>
        <v/>
      </c>
      <c r="N24" s="20" t="str">
        <f>IF(ISBLANK('Raw counts'!N25),"",RANK('3'!N86,'3'!$B86:$U86))</f>
        <v/>
      </c>
      <c r="O24" s="20" t="str">
        <f>IF(ISBLANK('Raw counts'!O25),"",RANK('3'!O86,'3'!$B86:$U86))</f>
        <v/>
      </c>
      <c r="P24" s="20" t="str">
        <f>IF(ISBLANK('Raw counts'!P25),"",RANK('3'!P86,'3'!$B86:$U86))</f>
        <v/>
      </c>
      <c r="Q24" s="20" t="str">
        <f>IF(ISBLANK('Raw counts'!Q25),"",RANK('3'!Q86,'3'!$B86:$U86))</f>
        <v/>
      </c>
      <c r="R24" s="20" t="str">
        <f>IF(ISBLANK('Raw counts'!R25),"",RANK('3'!R86,'3'!$B86:$U86))</f>
        <v/>
      </c>
      <c r="S24" s="20" t="str">
        <f>IF(ISBLANK('Raw counts'!S25),"",RANK('3'!S86,'3'!$B86:$U86))</f>
        <v/>
      </c>
      <c r="T24" s="20" t="str">
        <f>IF(ISBLANK('Raw counts'!T25),"",RANK('3'!T86,'3'!$B86:$U86))</f>
        <v/>
      </c>
      <c r="U24" s="20" t="str">
        <f>IF(ISBLANK('Raw counts'!U25),"",RANK('3'!U86,'3'!$B86:$U86))</f>
        <v/>
      </c>
    </row>
    <row r="25" spans="1:21" x14ac:dyDescent="0.15">
      <c r="A25" s="18" t="str">
        <f>IF(ISBLANK('Raw counts'!A26),"",'Raw counts'!A26)</f>
        <v/>
      </c>
      <c r="B25" s="20" t="str">
        <f>IF(ISBLANK('Raw counts'!B26),"",RANK('3'!B87,'3'!$B87:$U87))</f>
        <v/>
      </c>
      <c r="C25" s="20" t="str">
        <f>IF(ISBLANK('Raw counts'!C26),"",RANK('3'!C87,'3'!$B87:$U87))</f>
        <v/>
      </c>
      <c r="D25" s="20" t="str">
        <f>IF(ISBLANK('Raw counts'!D26),"",RANK('3'!D87,'3'!$B87:$U87))</f>
        <v/>
      </c>
      <c r="E25" s="20" t="str">
        <f>IF(ISBLANK('Raw counts'!E26),"",RANK('3'!E87,'3'!$B87:$U87))</f>
        <v/>
      </c>
      <c r="F25" s="20" t="str">
        <f>IF(ISBLANK('Raw counts'!F26),"",RANK('3'!F87,'3'!$B87:$U87))</f>
        <v/>
      </c>
      <c r="G25" s="20" t="str">
        <f>IF(ISBLANK('Raw counts'!G26),"",RANK('3'!G87,'3'!$B87:$U87))</f>
        <v/>
      </c>
      <c r="H25" s="20" t="str">
        <f>IF(ISBLANK('Raw counts'!H26),"",RANK('3'!H87,'3'!$B87:$U87))</f>
        <v/>
      </c>
      <c r="I25" s="20" t="str">
        <f>IF(ISBLANK('Raw counts'!I26),"",RANK('3'!I87,'3'!$B87:$U87))</f>
        <v/>
      </c>
      <c r="J25" s="20" t="str">
        <f>IF(ISBLANK('Raw counts'!J26),"",RANK('3'!J87,'3'!$B87:$U87))</f>
        <v/>
      </c>
      <c r="K25" s="20" t="str">
        <f>IF(ISBLANK('Raw counts'!K26),"",RANK('3'!K87,'3'!$B87:$U87))</f>
        <v/>
      </c>
      <c r="L25" s="20" t="str">
        <f>IF(ISBLANK('Raw counts'!L26),"",RANK('3'!L87,'3'!$B87:$U87))</f>
        <v/>
      </c>
      <c r="M25" s="20" t="str">
        <f>IF(ISBLANK('Raw counts'!M26),"",RANK('3'!M87,'3'!$B87:$U87))</f>
        <v/>
      </c>
      <c r="N25" s="20" t="str">
        <f>IF(ISBLANK('Raw counts'!N26),"",RANK('3'!N87,'3'!$B87:$U87))</f>
        <v/>
      </c>
      <c r="O25" s="20" t="str">
        <f>IF(ISBLANK('Raw counts'!O26),"",RANK('3'!O87,'3'!$B87:$U87))</f>
        <v/>
      </c>
      <c r="P25" s="20" t="str">
        <f>IF(ISBLANK('Raw counts'!P26),"",RANK('3'!P87,'3'!$B87:$U87))</f>
        <v/>
      </c>
      <c r="Q25" s="20" t="str">
        <f>IF(ISBLANK('Raw counts'!Q26),"",RANK('3'!Q87,'3'!$B87:$U87))</f>
        <v/>
      </c>
      <c r="R25" s="20" t="str">
        <f>IF(ISBLANK('Raw counts'!R26),"",RANK('3'!R87,'3'!$B87:$U87))</f>
        <v/>
      </c>
      <c r="S25" s="20" t="str">
        <f>IF(ISBLANK('Raw counts'!S26),"",RANK('3'!S87,'3'!$B87:$U87))</f>
        <v/>
      </c>
      <c r="T25" s="20" t="str">
        <f>IF(ISBLANK('Raw counts'!T26),"",RANK('3'!T87,'3'!$B87:$U87))</f>
        <v/>
      </c>
      <c r="U25" s="20" t="str">
        <f>IF(ISBLANK('Raw counts'!U26),"",RANK('3'!U87,'3'!$B87:$U87))</f>
        <v/>
      </c>
    </row>
    <row r="26" spans="1:21" x14ac:dyDescent="0.15">
      <c r="A26" s="18" t="str">
        <f>IF(ISBLANK('Raw counts'!A27),"",'Raw counts'!A27)</f>
        <v/>
      </c>
      <c r="B26" s="20" t="str">
        <f>IF(ISBLANK('Raw counts'!B27),"",RANK('3'!B88,'3'!$B88:$U88))</f>
        <v/>
      </c>
      <c r="C26" s="20" t="str">
        <f>IF(ISBLANK('Raw counts'!C27),"",RANK('3'!C88,'3'!$B88:$U88))</f>
        <v/>
      </c>
      <c r="D26" s="20" t="str">
        <f>IF(ISBLANK('Raw counts'!D27),"",RANK('3'!D88,'3'!$B88:$U88))</f>
        <v/>
      </c>
      <c r="E26" s="20" t="str">
        <f>IF(ISBLANK('Raw counts'!E27),"",RANK('3'!E88,'3'!$B88:$U88))</f>
        <v/>
      </c>
      <c r="F26" s="20" t="str">
        <f>IF(ISBLANK('Raw counts'!F27),"",RANK('3'!F88,'3'!$B88:$U88))</f>
        <v/>
      </c>
      <c r="G26" s="20" t="str">
        <f>IF(ISBLANK('Raw counts'!G27),"",RANK('3'!G88,'3'!$B88:$U88))</f>
        <v/>
      </c>
      <c r="H26" s="20" t="str">
        <f>IF(ISBLANK('Raw counts'!H27),"",RANK('3'!H88,'3'!$B88:$U88))</f>
        <v/>
      </c>
      <c r="I26" s="20" t="str">
        <f>IF(ISBLANK('Raw counts'!I27),"",RANK('3'!I88,'3'!$B88:$U88))</f>
        <v/>
      </c>
      <c r="J26" s="20" t="str">
        <f>IF(ISBLANK('Raw counts'!J27),"",RANK('3'!J88,'3'!$B88:$U88))</f>
        <v/>
      </c>
      <c r="K26" s="20" t="str">
        <f>IF(ISBLANK('Raw counts'!K27),"",RANK('3'!K88,'3'!$B88:$U88))</f>
        <v/>
      </c>
      <c r="L26" s="20" t="str">
        <f>IF(ISBLANK('Raw counts'!L27),"",RANK('3'!L88,'3'!$B88:$U88))</f>
        <v/>
      </c>
      <c r="M26" s="20" t="str">
        <f>IF(ISBLANK('Raw counts'!M27),"",RANK('3'!M88,'3'!$B88:$U88))</f>
        <v/>
      </c>
      <c r="N26" s="20" t="str">
        <f>IF(ISBLANK('Raw counts'!N27),"",RANK('3'!N88,'3'!$B88:$U88))</f>
        <v/>
      </c>
      <c r="O26" s="20" t="str">
        <f>IF(ISBLANK('Raw counts'!O27),"",RANK('3'!O88,'3'!$B88:$U88))</f>
        <v/>
      </c>
      <c r="P26" s="20" t="str">
        <f>IF(ISBLANK('Raw counts'!P27),"",RANK('3'!P88,'3'!$B88:$U88))</f>
        <v/>
      </c>
      <c r="Q26" s="20" t="str">
        <f>IF(ISBLANK('Raw counts'!Q27),"",RANK('3'!Q88,'3'!$B88:$U88))</f>
        <v/>
      </c>
      <c r="R26" s="20" t="str">
        <f>IF(ISBLANK('Raw counts'!R27),"",RANK('3'!R88,'3'!$B88:$U88))</f>
        <v/>
      </c>
      <c r="S26" s="20" t="str">
        <f>IF(ISBLANK('Raw counts'!S27),"",RANK('3'!S88,'3'!$B88:$U88))</f>
        <v/>
      </c>
      <c r="T26" s="20" t="str">
        <f>IF(ISBLANK('Raw counts'!T27),"",RANK('3'!T88,'3'!$B88:$U88))</f>
        <v/>
      </c>
      <c r="U26" s="20" t="str">
        <f>IF(ISBLANK('Raw counts'!U27),"",RANK('3'!U88,'3'!$B88:$U88))</f>
        <v/>
      </c>
    </row>
    <row r="27" spans="1:21" x14ac:dyDescent="0.15">
      <c r="A27" s="18" t="str">
        <f>IF(ISBLANK('Raw counts'!A28),"",'Raw counts'!A28)</f>
        <v>Attr24</v>
      </c>
      <c r="B27" s="20" t="str">
        <f>IF(ISBLANK('Raw counts'!B28),"",RANK('3'!B89,'3'!$B89:$U89))</f>
        <v/>
      </c>
      <c r="C27" s="20" t="str">
        <f>IF(ISBLANK('Raw counts'!C28),"",RANK('3'!C89,'3'!$B89:$U89))</f>
        <v/>
      </c>
      <c r="D27" s="20" t="str">
        <f>IF(ISBLANK('Raw counts'!D28),"",RANK('3'!D89,'3'!$B89:$U89))</f>
        <v/>
      </c>
      <c r="E27" s="20" t="str">
        <f>IF(ISBLANK('Raw counts'!E28),"",RANK('3'!E89,'3'!$B89:$U89))</f>
        <v/>
      </c>
      <c r="F27" s="20" t="str">
        <f>IF(ISBLANK('Raw counts'!F28),"",RANK('3'!F89,'3'!$B89:$U89))</f>
        <v/>
      </c>
      <c r="G27" s="20" t="str">
        <f>IF(ISBLANK('Raw counts'!G28),"",RANK('3'!G89,'3'!$B89:$U89))</f>
        <v/>
      </c>
      <c r="H27" s="20" t="str">
        <f>IF(ISBLANK('Raw counts'!H28),"",RANK('3'!H89,'3'!$B89:$U89))</f>
        <v/>
      </c>
      <c r="I27" s="20" t="str">
        <f>IF(ISBLANK('Raw counts'!I28),"",RANK('3'!I89,'3'!$B89:$U89))</f>
        <v/>
      </c>
      <c r="J27" s="20" t="str">
        <f>IF(ISBLANK('Raw counts'!J28),"",RANK('3'!J89,'3'!$B89:$U89))</f>
        <v/>
      </c>
      <c r="K27" s="20" t="str">
        <f>IF(ISBLANK('Raw counts'!K28),"",RANK('3'!K89,'3'!$B89:$U89))</f>
        <v/>
      </c>
      <c r="L27" s="20" t="str">
        <f>IF(ISBLANK('Raw counts'!L28),"",RANK('3'!L89,'3'!$B89:$U89))</f>
        <v/>
      </c>
      <c r="M27" s="20" t="str">
        <f>IF(ISBLANK('Raw counts'!M28),"",RANK('3'!M89,'3'!$B89:$U89))</f>
        <v/>
      </c>
      <c r="N27" s="20" t="str">
        <f>IF(ISBLANK('Raw counts'!N28),"",RANK('3'!N89,'3'!$B89:$U89))</f>
        <v/>
      </c>
      <c r="O27" s="20" t="str">
        <f>IF(ISBLANK('Raw counts'!O28),"",RANK('3'!O89,'3'!$B89:$U89))</f>
        <v/>
      </c>
      <c r="P27" s="20" t="str">
        <f>IF(ISBLANK('Raw counts'!P28),"",RANK('3'!P89,'3'!$B89:$U89))</f>
        <v/>
      </c>
      <c r="Q27" s="20" t="str">
        <f>IF(ISBLANK('Raw counts'!Q28),"",RANK('3'!Q89,'3'!$B89:$U89))</f>
        <v/>
      </c>
      <c r="R27" s="20" t="str">
        <f>IF(ISBLANK('Raw counts'!R28),"",RANK('3'!R89,'3'!$B89:$U89))</f>
        <v/>
      </c>
      <c r="S27" s="20" t="str">
        <f>IF(ISBLANK('Raw counts'!S28),"",RANK('3'!S89,'3'!$B89:$U89))</f>
        <v/>
      </c>
      <c r="T27" s="20" t="str">
        <f>IF(ISBLANK('Raw counts'!T28),"",RANK('3'!T89,'3'!$B89:$U89))</f>
        <v/>
      </c>
      <c r="U27" s="20" t="str">
        <f>IF(ISBLANK('Raw counts'!U28),"",RANK('3'!U89,'3'!$B89:$U89))</f>
        <v/>
      </c>
    </row>
    <row r="28" spans="1:21" x14ac:dyDescent="0.15">
      <c r="A28" s="18" t="str">
        <f>IF(ISBLANK('Raw counts'!A29),"",'Raw counts'!A29)</f>
        <v>Attr25</v>
      </c>
      <c r="B28" s="20" t="str">
        <f>IF(ISBLANK('Raw counts'!B29),"",RANK('3'!B90,'3'!$B90:$U90))</f>
        <v/>
      </c>
      <c r="C28" s="20" t="str">
        <f>IF(ISBLANK('Raw counts'!C29),"",RANK('3'!C90,'3'!$B90:$U90))</f>
        <v/>
      </c>
      <c r="D28" s="20" t="str">
        <f>IF(ISBLANK('Raw counts'!D29),"",RANK('3'!D90,'3'!$B90:$U90))</f>
        <v/>
      </c>
      <c r="E28" s="20" t="str">
        <f>IF(ISBLANK('Raw counts'!E29),"",RANK('3'!E90,'3'!$B90:$U90))</f>
        <v/>
      </c>
      <c r="F28" s="20" t="str">
        <f>IF(ISBLANK('Raw counts'!F29),"",RANK('3'!F90,'3'!$B90:$U90))</f>
        <v/>
      </c>
      <c r="G28" s="20" t="str">
        <f>IF(ISBLANK('Raw counts'!G29),"",RANK('3'!G90,'3'!$B90:$U90))</f>
        <v/>
      </c>
      <c r="H28" s="20" t="str">
        <f>IF(ISBLANK('Raw counts'!H29),"",RANK('3'!H90,'3'!$B90:$U90))</f>
        <v/>
      </c>
      <c r="I28" s="20" t="str">
        <f>IF(ISBLANK('Raw counts'!I29),"",RANK('3'!I90,'3'!$B90:$U90))</f>
        <v/>
      </c>
      <c r="J28" s="20" t="str">
        <f>IF(ISBLANK('Raw counts'!J29),"",RANK('3'!J90,'3'!$B90:$U90))</f>
        <v/>
      </c>
      <c r="K28" s="20" t="str">
        <f>IF(ISBLANK('Raw counts'!K29),"",RANK('3'!K90,'3'!$B90:$U90))</f>
        <v/>
      </c>
      <c r="L28" s="20" t="str">
        <f>IF(ISBLANK('Raw counts'!L29),"",RANK('3'!L90,'3'!$B90:$U90))</f>
        <v/>
      </c>
      <c r="M28" s="20" t="str">
        <f>IF(ISBLANK('Raw counts'!M29),"",RANK('3'!M90,'3'!$B90:$U90))</f>
        <v/>
      </c>
      <c r="N28" s="20" t="str">
        <f>IF(ISBLANK('Raw counts'!N29),"",RANK('3'!N90,'3'!$B90:$U90))</f>
        <v/>
      </c>
      <c r="O28" s="20" t="str">
        <f>IF(ISBLANK('Raw counts'!O29),"",RANK('3'!O90,'3'!$B90:$U90))</f>
        <v/>
      </c>
      <c r="P28" s="20" t="str">
        <f>IF(ISBLANK('Raw counts'!P29),"",RANK('3'!P90,'3'!$B90:$U90))</f>
        <v/>
      </c>
      <c r="Q28" s="20" t="str">
        <f>IF(ISBLANK('Raw counts'!Q29),"",RANK('3'!Q90,'3'!$B90:$U90))</f>
        <v/>
      </c>
      <c r="R28" s="20" t="str">
        <f>IF(ISBLANK('Raw counts'!R29),"",RANK('3'!R90,'3'!$B90:$U90))</f>
        <v/>
      </c>
      <c r="S28" s="20" t="str">
        <f>IF(ISBLANK('Raw counts'!S29),"",RANK('3'!S90,'3'!$B90:$U90))</f>
        <v/>
      </c>
      <c r="T28" s="20" t="str">
        <f>IF(ISBLANK('Raw counts'!T29),"",RANK('3'!T90,'3'!$B90:$U90))</f>
        <v/>
      </c>
      <c r="U28" s="20" t="str">
        <f>IF(ISBLANK('Raw counts'!U29),"",RANK('3'!U90,'3'!$B90:$U90))</f>
        <v/>
      </c>
    </row>
    <row r="29" spans="1:21" x14ac:dyDescent="0.15">
      <c r="A29" s="18" t="str">
        <f>IF(ISBLANK('Raw counts'!A30),"",'Raw counts'!A30)</f>
        <v>Attr26</v>
      </c>
      <c r="B29" s="20" t="str">
        <f>IF(ISBLANK('Raw counts'!B30),"",RANK('3'!B91,'3'!$B91:$U91))</f>
        <v/>
      </c>
      <c r="C29" s="20" t="str">
        <f>IF(ISBLANK('Raw counts'!C30),"",RANK('3'!C91,'3'!$B91:$U91))</f>
        <v/>
      </c>
      <c r="D29" s="20" t="str">
        <f>IF(ISBLANK('Raw counts'!D30),"",RANK('3'!D91,'3'!$B91:$U91))</f>
        <v/>
      </c>
      <c r="E29" s="20" t="str">
        <f>IF(ISBLANK('Raw counts'!E30),"",RANK('3'!E91,'3'!$B91:$U91))</f>
        <v/>
      </c>
      <c r="F29" s="20" t="str">
        <f>IF(ISBLANK('Raw counts'!F30),"",RANK('3'!F91,'3'!$B91:$U91))</f>
        <v/>
      </c>
      <c r="G29" s="20" t="str">
        <f>IF(ISBLANK('Raw counts'!G30),"",RANK('3'!G91,'3'!$B91:$U91))</f>
        <v/>
      </c>
      <c r="H29" s="20" t="str">
        <f>IF(ISBLANK('Raw counts'!H30),"",RANK('3'!H91,'3'!$B91:$U91))</f>
        <v/>
      </c>
      <c r="I29" s="20" t="str">
        <f>IF(ISBLANK('Raw counts'!I30),"",RANK('3'!I91,'3'!$B91:$U91))</f>
        <v/>
      </c>
      <c r="J29" s="20" t="str">
        <f>IF(ISBLANK('Raw counts'!J30),"",RANK('3'!J91,'3'!$B91:$U91))</f>
        <v/>
      </c>
      <c r="K29" s="20" t="str">
        <f>IF(ISBLANK('Raw counts'!K30),"",RANK('3'!K91,'3'!$B91:$U91))</f>
        <v/>
      </c>
      <c r="L29" s="20" t="str">
        <f>IF(ISBLANK('Raw counts'!L30),"",RANK('3'!L91,'3'!$B91:$U91))</f>
        <v/>
      </c>
      <c r="M29" s="20" t="str">
        <f>IF(ISBLANK('Raw counts'!M30),"",RANK('3'!M91,'3'!$B91:$U91))</f>
        <v/>
      </c>
      <c r="N29" s="20" t="str">
        <f>IF(ISBLANK('Raw counts'!N30),"",RANK('3'!N91,'3'!$B91:$U91))</f>
        <v/>
      </c>
      <c r="O29" s="20" t="str">
        <f>IF(ISBLANK('Raw counts'!O30),"",RANK('3'!O91,'3'!$B91:$U91))</f>
        <v/>
      </c>
      <c r="P29" s="20" t="str">
        <f>IF(ISBLANK('Raw counts'!P30),"",RANK('3'!P91,'3'!$B91:$U91))</f>
        <v/>
      </c>
      <c r="Q29" s="20" t="str">
        <f>IF(ISBLANK('Raw counts'!Q30),"",RANK('3'!Q91,'3'!$B91:$U91))</f>
        <v/>
      </c>
      <c r="R29" s="20" t="str">
        <f>IF(ISBLANK('Raw counts'!R30),"",RANK('3'!R91,'3'!$B91:$U91))</f>
        <v/>
      </c>
      <c r="S29" s="20" t="str">
        <f>IF(ISBLANK('Raw counts'!S30),"",RANK('3'!S91,'3'!$B91:$U91))</f>
        <v/>
      </c>
      <c r="T29" s="20" t="str">
        <f>IF(ISBLANK('Raw counts'!T30),"",RANK('3'!T91,'3'!$B91:$U91))</f>
        <v/>
      </c>
      <c r="U29" s="20" t="str">
        <f>IF(ISBLANK('Raw counts'!U30),"",RANK('3'!U91,'3'!$B91:$U91))</f>
        <v/>
      </c>
    </row>
    <row r="30" spans="1:21" x14ac:dyDescent="0.15">
      <c r="A30" s="18" t="str">
        <f>IF(ISBLANK('Raw counts'!A31),"",'Raw counts'!A31)</f>
        <v>Attr27</v>
      </c>
      <c r="B30" s="20" t="str">
        <f>IF(ISBLANK('Raw counts'!B31),"",RANK('3'!B92,'3'!$B92:$U92))</f>
        <v/>
      </c>
      <c r="C30" s="20" t="str">
        <f>IF(ISBLANK('Raw counts'!C31),"",RANK('3'!C92,'3'!$B92:$U92))</f>
        <v/>
      </c>
      <c r="D30" s="20" t="str">
        <f>IF(ISBLANK('Raw counts'!D31),"",RANK('3'!D92,'3'!$B92:$U92))</f>
        <v/>
      </c>
      <c r="E30" s="20" t="str">
        <f>IF(ISBLANK('Raw counts'!E31),"",RANK('3'!E92,'3'!$B92:$U92))</f>
        <v/>
      </c>
      <c r="F30" s="20" t="str">
        <f>IF(ISBLANK('Raw counts'!F31),"",RANK('3'!F92,'3'!$B92:$U92))</f>
        <v/>
      </c>
      <c r="G30" s="20" t="str">
        <f>IF(ISBLANK('Raw counts'!G31),"",RANK('3'!G92,'3'!$B92:$U92))</f>
        <v/>
      </c>
      <c r="H30" s="20" t="str">
        <f>IF(ISBLANK('Raw counts'!H31),"",RANK('3'!H92,'3'!$B92:$U92))</f>
        <v/>
      </c>
      <c r="I30" s="20" t="str">
        <f>IF(ISBLANK('Raw counts'!I31),"",RANK('3'!I92,'3'!$B92:$U92))</f>
        <v/>
      </c>
      <c r="J30" s="20" t="str">
        <f>IF(ISBLANK('Raw counts'!J31),"",RANK('3'!J92,'3'!$B92:$U92))</f>
        <v/>
      </c>
      <c r="K30" s="20" t="str">
        <f>IF(ISBLANK('Raw counts'!K31),"",RANK('3'!K92,'3'!$B92:$U92))</f>
        <v/>
      </c>
      <c r="L30" s="20" t="str">
        <f>IF(ISBLANK('Raw counts'!L31),"",RANK('3'!L92,'3'!$B92:$U92))</f>
        <v/>
      </c>
      <c r="M30" s="20" t="str">
        <f>IF(ISBLANK('Raw counts'!M31),"",RANK('3'!M92,'3'!$B92:$U92))</f>
        <v/>
      </c>
      <c r="N30" s="20" t="str">
        <f>IF(ISBLANK('Raw counts'!N31),"",RANK('3'!N92,'3'!$B92:$U92))</f>
        <v/>
      </c>
      <c r="O30" s="20" t="str">
        <f>IF(ISBLANK('Raw counts'!O31),"",RANK('3'!O92,'3'!$B92:$U92))</f>
        <v/>
      </c>
      <c r="P30" s="20" t="str">
        <f>IF(ISBLANK('Raw counts'!P31),"",RANK('3'!P92,'3'!$B92:$U92))</f>
        <v/>
      </c>
      <c r="Q30" s="20" t="str">
        <f>IF(ISBLANK('Raw counts'!Q31),"",RANK('3'!Q92,'3'!$B92:$U92))</f>
        <v/>
      </c>
      <c r="R30" s="20" t="str">
        <f>IF(ISBLANK('Raw counts'!R31),"",RANK('3'!R92,'3'!$B92:$U92))</f>
        <v/>
      </c>
      <c r="S30" s="20" t="str">
        <f>IF(ISBLANK('Raw counts'!S31),"",RANK('3'!S92,'3'!$B92:$U92))</f>
        <v/>
      </c>
      <c r="T30" s="20" t="str">
        <f>IF(ISBLANK('Raw counts'!T31),"",RANK('3'!T92,'3'!$B92:$U92))</f>
        <v/>
      </c>
      <c r="U30" s="20" t="str">
        <f>IF(ISBLANK('Raw counts'!U31),"",RANK('3'!U92,'3'!$B92:$U92))</f>
        <v/>
      </c>
    </row>
    <row r="31" spans="1:21" x14ac:dyDescent="0.15">
      <c r="A31" s="18" t="str">
        <f>IF(ISBLANK('Raw counts'!A32),"",'Raw counts'!A32)</f>
        <v>Attr28</v>
      </c>
      <c r="B31" s="20" t="str">
        <f>IF(ISBLANK('Raw counts'!B32),"",RANK('3'!B93,'3'!$B93:$U93))</f>
        <v/>
      </c>
      <c r="C31" s="20" t="str">
        <f>IF(ISBLANK('Raw counts'!C32),"",RANK('3'!C93,'3'!$B93:$U93))</f>
        <v/>
      </c>
      <c r="D31" s="20" t="str">
        <f>IF(ISBLANK('Raw counts'!D32),"",RANK('3'!D93,'3'!$B93:$U93))</f>
        <v/>
      </c>
      <c r="E31" s="20" t="str">
        <f>IF(ISBLANK('Raw counts'!E32),"",RANK('3'!E93,'3'!$B93:$U93))</f>
        <v/>
      </c>
      <c r="F31" s="20" t="str">
        <f>IF(ISBLANK('Raw counts'!F32),"",RANK('3'!F93,'3'!$B93:$U93))</f>
        <v/>
      </c>
      <c r="G31" s="20" t="str">
        <f>IF(ISBLANK('Raw counts'!G32),"",RANK('3'!G93,'3'!$B93:$U93))</f>
        <v/>
      </c>
      <c r="H31" s="20" t="str">
        <f>IF(ISBLANK('Raw counts'!H32),"",RANK('3'!H93,'3'!$B93:$U93))</f>
        <v/>
      </c>
      <c r="I31" s="20" t="str">
        <f>IF(ISBLANK('Raw counts'!I32),"",RANK('3'!I93,'3'!$B93:$U93))</f>
        <v/>
      </c>
      <c r="J31" s="20" t="str">
        <f>IF(ISBLANK('Raw counts'!J32),"",RANK('3'!J93,'3'!$B93:$U93))</f>
        <v/>
      </c>
      <c r="K31" s="20" t="str">
        <f>IF(ISBLANK('Raw counts'!K32),"",RANK('3'!K93,'3'!$B93:$U93))</f>
        <v/>
      </c>
      <c r="L31" s="20" t="str">
        <f>IF(ISBLANK('Raw counts'!L32),"",RANK('3'!L93,'3'!$B93:$U93))</f>
        <v/>
      </c>
      <c r="M31" s="20" t="str">
        <f>IF(ISBLANK('Raw counts'!M32),"",RANK('3'!M93,'3'!$B93:$U93))</f>
        <v/>
      </c>
      <c r="N31" s="20" t="str">
        <f>IF(ISBLANK('Raw counts'!N32),"",RANK('3'!N93,'3'!$B93:$U93))</f>
        <v/>
      </c>
      <c r="O31" s="20" t="str">
        <f>IF(ISBLANK('Raw counts'!O32),"",RANK('3'!O93,'3'!$B93:$U93))</f>
        <v/>
      </c>
      <c r="P31" s="20" t="str">
        <f>IF(ISBLANK('Raw counts'!P32),"",RANK('3'!P93,'3'!$B93:$U93))</f>
        <v/>
      </c>
      <c r="Q31" s="20" t="str">
        <f>IF(ISBLANK('Raw counts'!Q32),"",RANK('3'!Q93,'3'!$B93:$U93))</f>
        <v/>
      </c>
      <c r="R31" s="20" t="str">
        <f>IF(ISBLANK('Raw counts'!R32),"",RANK('3'!R93,'3'!$B93:$U93))</f>
        <v/>
      </c>
      <c r="S31" s="20" t="str">
        <f>IF(ISBLANK('Raw counts'!S32),"",RANK('3'!S93,'3'!$B93:$U93))</f>
        <v/>
      </c>
      <c r="T31" s="20" t="str">
        <f>IF(ISBLANK('Raw counts'!T32),"",RANK('3'!T93,'3'!$B93:$U93))</f>
        <v/>
      </c>
      <c r="U31" s="20" t="str">
        <f>IF(ISBLANK('Raw counts'!U32),"",RANK('3'!U93,'3'!$B93:$U93))</f>
        <v/>
      </c>
    </row>
    <row r="32" spans="1:21" x14ac:dyDescent="0.15">
      <c r="A32" s="18" t="str">
        <f>IF(ISBLANK('Raw counts'!A33),"",'Raw counts'!A33)</f>
        <v>Attr29</v>
      </c>
      <c r="B32" s="20" t="str">
        <f>IF(ISBLANK('Raw counts'!B33),"",RANK('3'!B94,'3'!$B94:$U94))</f>
        <v/>
      </c>
      <c r="C32" s="20" t="str">
        <f>IF(ISBLANK('Raw counts'!C33),"",RANK('3'!C94,'3'!$B94:$U94))</f>
        <v/>
      </c>
      <c r="D32" s="20" t="str">
        <f>IF(ISBLANK('Raw counts'!D33),"",RANK('3'!D94,'3'!$B94:$U94))</f>
        <v/>
      </c>
      <c r="E32" s="20" t="str">
        <f>IF(ISBLANK('Raw counts'!E33),"",RANK('3'!E94,'3'!$B94:$U94))</f>
        <v/>
      </c>
      <c r="F32" s="20" t="str">
        <f>IF(ISBLANK('Raw counts'!F33),"",RANK('3'!F94,'3'!$B94:$U94))</f>
        <v/>
      </c>
      <c r="G32" s="20" t="str">
        <f>IF(ISBLANK('Raw counts'!G33),"",RANK('3'!G94,'3'!$B94:$U94))</f>
        <v/>
      </c>
      <c r="H32" s="20" t="str">
        <f>IF(ISBLANK('Raw counts'!H33),"",RANK('3'!H94,'3'!$B94:$U94))</f>
        <v/>
      </c>
      <c r="I32" s="20" t="str">
        <f>IF(ISBLANK('Raw counts'!I33),"",RANK('3'!I94,'3'!$B94:$U94))</f>
        <v/>
      </c>
      <c r="J32" s="20" t="str">
        <f>IF(ISBLANK('Raw counts'!J33),"",RANK('3'!J94,'3'!$B94:$U94))</f>
        <v/>
      </c>
      <c r="K32" s="20" t="str">
        <f>IF(ISBLANK('Raw counts'!K33),"",RANK('3'!K94,'3'!$B94:$U94))</f>
        <v/>
      </c>
      <c r="L32" s="20" t="str">
        <f>IF(ISBLANK('Raw counts'!L33),"",RANK('3'!L94,'3'!$B94:$U94))</f>
        <v/>
      </c>
      <c r="M32" s="20" t="str">
        <f>IF(ISBLANK('Raw counts'!M33),"",RANK('3'!M94,'3'!$B94:$U94))</f>
        <v/>
      </c>
      <c r="N32" s="20" t="str">
        <f>IF(ISBLANK('Raw counts'!N33),"",RANK('3'!N94,'3'!$B94:$U94))</f>
        <v/>
      </c>
      <c r="O32" s="20" t="str">
        <f>IF(ISBLANK('Raw counts'!O33),"",RANK('3'!O94,'3'!$B94:$U94))</f>
        <v/>
      </c>
      <c r="P32" s="20" t="str">
        <f>IF(ISBLANK('Raw counts'!P33),"",RANK('3'!P94,'3'!$B94:$U94))</f>
        <v/>
      </c>
      <c r="Q32" s="20" t="str">
        <f>IF(ISBLANK('Raw counts'!Q33),"",RANK('3'!Q94,'3'!$B94:$U94))</f>
        <v/>
      </c>
      <c r="R32" s="20" t="str">
        <f>IF(ISBLANK('Raw counts'!R33),"",RANK('3'!R94,'3'!$B94:$U94))</f>
        <v/>
      </c>
      <c r="S32" s="20" t="str">
        <f>IF(ISBLANK('Raw counts'!S33),"",RANK('3'!S94,'3'!$B94:$U94))</f>
        <v/>
      </c>
      <c r="T32" s="20" t="str">
        <f>IF(ISBLANK('Raw counts'!T33),"",RANK('3'!T94,'3'!$B94:$U94))</f>
        <v/>
      </c>
      <c r="U32" s="20" t="str">
        <f>IF(ISBLANK('Raw counts'!U33),"",RANK('3'!U94,'3'!$B94:$U94))</f>
        <v/>
      </c>
    </row>
    <row r="33" spans="1:21" x14ac:dyDescent="0.15">
      <c r="A33" s="18" t="str">
        <f>IF(ISBLANK('Raw counts'!A34),"",'Raw counts'!A34)</f>
        <v>Attr30</v>
      </c>
      <c r="B33" s="20" t="str">
        <f>IF(ISBLANK('Raw counts'!B34),"",RANK('3'!B95,'3'!$B95:$U95))</f>
        <v/>
      </c>
      <c r="C33" s="20" t="str">
        <f>IF(ISBLANK('Raw counts'!C34),"",RANK('3'!C95,'3'!$B95:$U95))</f>
        <v/>
      </c>
      <c r="D33" s="20" t="str">
        <f>IF(ISBLANK('Raw counts'!D34),"",RANK('3'!D95,'3'!$B95:$U95))</f>
        <v/>
      </c>
      <c r="E33" s="20" t="str">
        <f>IF(ISBLANK('Raw counts'!E34),"",RANK('3'!E95,'3'!$B95:$U95))</f>
        <v/>
      </c>
      <c r="F33" s="20" t="str">
        <f>IF(ISBLANK('Raw counts'!F34),"",RANK('3'!F95,'3'!$B95:$U95))</f>
        <v/>
      </c>
      <c r="G33" s="20" t="str">
        <f>IF(ISBLANK('Raw counts'!G34),"",RANK('3'!G95,'3'!$B95:$U95))</f>
        <v/>
      </c>
      <c r="H33" s="20" t="str">
        <f>IF(ISBLANK('Raw counts'!H34),"",RANK('3'!H95,'3'!$B95:$U95))</f>
        <v/>
      </c>
      <c r="I33" s="20" t="str">
        <f>IF(ISBLANK('Raw counts'!I34),"",RANK('3'!I95,'3'!$B95:$U95))</f>
        <v/>
      </c>
      <c r="J33" s="20" t="str">
        <f>IF(ISBLANK('Raw counts'!J34),"",RANK('3'!J95,'3'!$B95:$U95))</f>
        <v/>
      </c>
      <c r="K33" s="20" t="str">
        <f>IF(ISBLANK('Raw counts'!K34),"",RANK('3'!K95,'3'!$B95:$U95))</f>
        <v/>
      </c>
      <c r="L33" s="20" t="str">
        <f>IF(ISBLANK('Raw counts'!L34),"",RANK('3'!L95,'3'!$B95:$U95))</f>
        <v/>
      </c>
      <c r="M33" s="20" t="str">
        <f>IF(ISBLANK('Raw counts'!M34),"",RANK('3'!M95,'3'!$B95:$U95))</f>
        <v/>
      </c>
      <c r="N33" s="20" t="str">
        <f>IF(ISBLANK('Raw counts'!N34),"",RANK('3'!N95,'3'!$B95:$U95))</f>
        <v/>
      </c>
      <c r="O33" s="20" t="str">
        <f>IF(ISBLANK('Raw counts'!O34),"",RANK('3'!O95,'3'!$B95:$U95))</f>
        <v/>
      </c>
      <c r="P33" s="20" t="str">
        <f>IF(ISBLANK('Raw counts'!P34),"",RANK('3'!P95,'3'!$B95:$U95))</f>
        <v/>
      </c>
      <c r="Q33" s="20" t="str">
        <f>IF(ISBLANK('Raw counts'!Q34),"",RANK('3'!Q95,'3'!$B95:$U95))</f>
        <v/>
      </c>
      <c r="R33" s="20" t="str">
        <f>IF(ISBLANK('Raw counts'!R34),"",RANK('3'!R95,'3'!$B95:$U95))</f>
        <v/>
      </c>
      <c r="S33" s="20" t="str">
        <f>IF(ISBLANK('Raw counts'!S34),"",RANK('3'!S95,'3'!$B95:$U95))</f>
        <v/>
      </c>
      <c r="T33" s="20" t="str">
        <f>IF(ISBLANK('Raw counts'!T34),"",RANK('3'!T95,'3'!$B95:$U95))</f>
        <v/>
      </c>
      <c r="U33" s="20" t="str">
        <f>IF(ISBLANK('Raw counts'!U34),"",RANK('3'!U95,'3'!$B95:$U95))</f>
        <v/>
      </c>
    </row>
    <row r="34" spans="1:21" x14ac:dyDescent="0.15">
      <c r="A34" s="18" t="str">
        <f>IF(ISBLANK('Raw counts'!A35),"",'Raw counts'!A35)</f>
        <v>Attr31</v>
      </c>
      <c r="B34" s="20" t="str">
        <f>IF(ISBLANK('Raw counts'!B35),"",RANK('3'!B96,'3'!$B96:$U96))</f>
        <v/>
      </c>
      <c r="C34" s="20" t="str">
        <f>IF(ISBLANK('Raw counts'!C35),"",RANK('3'!C96,'3'!$B96:$U96))</f>
        <v/>
      </c>
      <c r="D34" s="20" t="str">
        <f>IF(ISBLANK('Raw counts'!D35),"",RANK('3'!D96,'3'!$B96:$U96))</f>
        <v/>
      </c>
      <c r="E34" s="20" t="str">
        <f>IF(ISBLANK('Raw counts'!E35),"",RANK('3'!E96,'3'!$B96:$U96))</f>
        <v/>
      </c>
      <c r="F34" s="20" t="str">
        <f>IF(ISBLANK('Raw counts'!F35),"",RANK('3'!F96,'3'!$B96:$U96))</f>
        <v/>
      </c>
      <c r="G34" s="20" t="str">
        <f>IF(ISBLANK('Raw counts'!G35),"",RANK('3'!G96,'3'!$B96:$U96))</f>
        <v/>
      </c>
      <c r="H34" s="20" t="str">
        <f>IF(ISBLANK('Raw counts'!H35),"",RANK('3'!H96,'3'!$B96:$U96))</f>
        <v/>
      </c>
      <c r="I34" s="20" t="str">
        <f>IF(ISBLANK('Raw counts'!I35),"",RANK('3'!I96,'3'!$B96:$U96))</f>
        <v/>
      </c>
      <c r="J34" s="20" t="str">
        <f>IF(ISBLANK('Raw counts'!J35),"",RANK('3'!J96,'3'!$B96:$U96))</f>
        <v/>
      </c>
      <c r="K34" s="20" t="str">
        <f>IF(ISBLANK('Raw counts'!K35),"",RANK('3'!K96,'3'!$B96:$U96))</f>
        <v/>
      </c>
      <c r="L34" s="20" t="str">
        <f>IF(ISBLANK('Raw counts'!L35),"",RANK('3'!L96,'3'!$B96:$U96))</f>
        <v/>
      </c>
      <c r="M34" s="20" t="str">
        <f>IF(ISBLANK('Raw counts'!M35),"",RANK('3'!M96,'3'!$B96:$U96))</f>
        <v/>
      </c>
      <c r="N34" s="20" t="str">
        <f>IF(ISBLANK('Raw counts'!N35),"",RANK('3'!N96,'3'!$B96:$U96))</f>
        <v/>
      </c>
      <c r="O34" s="20" t="str">
        <f>IF(ISBLANK('Raw counts'!O35),"",RANK('3'!O96,'3'!$B96:$U96))</f>
        <v/>
      </c>
      <c r="P34" s="20" t="str">
        <f>IF(ISBLANK('Raw counts'!P35),"",RANK('3'!P96,'3'!$B96:$U96))</f>
        <v/>
      </c>
      <c r="Q34" s="20" t="str">
        <f>IF(ISBLANK('Raw counts'!Q35),"",RANK('3'!Q96,'3'!$B96:$U96))</f>
        <v/>
      </c>
      <c r="R34" s="20" t="str">
        <f>IF(ISBLANK('Raw counts'!R35),"",RANK('3'!R96,'3'!$B96:$U96))</f>
        <v/>
      </c>
      <c r="S34" s="20" t="str">
        <f>IF(ISBLANK('Raw counts'!S35),"",RANK('3'!S96,'3'!$B96:$U96))</f>
        <v/>
      </c>
      <c r="T34" s="20" t="str">
        <f>IF(ISBLANK('Raw counts'!T35),"",RANK('3'!T96,'3'!$B96:$U96))</f>
        <v/>
      </c>
      <c r="U34" s="20" t="str">
        <f>IF(ISBLANK('Raw counts'!U35),"",RANK('3'!U96,'3'!$B96:$U96))</f>
        <v/>
      </c>
    </row>
    <row r="35" spans="1:21" x14ac:dyDescent="0.15">
      <c r="A35" s="18" t="str">
        <f>IF(ISBLANK('Raw counts'!A36),"",'Raw counts'!A36)</f>
        <v>Attr32</v>
      </c>
      <c r="B35" s="20" t="str">
        <f>IF(ISBLANK('Raw counts'!B36),"",RANK('3'!B97,'3'!$B97:$U97))</f>
        <v/>
      </c>
      <c r="C35" s="20" t="str">
        <f>IF(ISBLANK('Raw counts'!C36),"",RANK('3'!C97,'3'!$B97:$U97))</f>
        <v/>
      </c>
      <c r="D35" s="20" t="str">
        <f>IF(ISBLANK('Raw counts'!D36),"",RANK('3'!D97,'3'!$B97:$U97))</f>
        <v/>
      </c>
      <c r="E35" s="20" t="str">
        <f>IF(ISBLANK('Raw counts'!E36),"",RANK('3'!E97,'3'!$B97:$U97))</f>
        <v/>
      </c>
      <c r="F35" s="20" t="str">
        <f>IF(ISBLANK('Raw counts'!F36),"",RANK('3'!F97,'3'!$B97:$U97))</f>
        <v/>
      </c>
      <c r="G35" s="20" t="str">
        <f>IF(ISBLANK('Raw counts'!G36),"",RANK('3'!G97,'3'!$B97:$U97))</f>
        <v/>
      </c>
      <c r="H35" s="20" t="str">
        <f>IF(ISBLANK('Raw counts'!H36),"",RANK('3'!H97,'3'!$B97:$U97))</f>
        <v/>
      </c>
      <c r="I35" s="20" t="str">
        <f>IF(ISBLANK('Raw counts'!I36),"",RANK('3'!I97,'3'!$B97:$U97))</f>
        <v/>
      </c>
      <c r="J35" s="20" t="str">
        <f>IF(ISBLANK('Raw counts'!J36),"",RANK('3'!J97,'3'!$B97:$U97))</f>
        <v/>
      </c>
      <c r="K35" s="20" t="str">
        <f>IF(ISBLANK('Raw counts'!K36),"",RANK('3'!K97,'3'!$B97:$U97))</f>
        <v/>
      </c>
      <c r="L35" s="20" t="str">
        <f>IF(ISBLANK('Raw counts'!L36),"",RANK('3'!L97,'3'!$B97:$U97))</f>
        <v/>
      </c>
      <c r="M35" s="20" t="str">
        <f>IF(ISBLANK('Raw counts'!M36),"",RANK('3'!M97,'3'!$B97:$U97))</f>
        <v/>
      </c>
      <c r="N35" s="20" t="str">
        <f>IF(ISBLANK('Raw counts'!N36),"",RANK('3'!N97,'3'!$B97:$U97))</f>
        <v/>
      </c>
      <c r="O35" s="20" t="str">
        <f>IF(ISBLANK('Raw counts'!O36),"",RANK('3'!O97,'3'!$B97:$U97))</f>
        <v/>
      </c>
      <c r="P35" s="20" t="str">
        <f>IF(ISBLANK('Raw counts'!P36),"",RANK('3'!P97,'3'!$B97:$U97))</f>
        <v/>
      </c>
      <c r="Q35" s="20" t="str">
        <f>IF(ISBLANK('Raw counts'!Q36),"",RANK('3'!Q97,'3'!$B97:$U97))</f>
        <v/>
      </c>
      <c r="R35" s="20" t="str">
        <f>IF(ISBLANK('Raw counts'!R36),"",RANK('3'!R97,'3'!$B97:$U97))</f>
        <v/>
      </c>
      <c r="S35" s="20" t="str">
        <f>IF(ISBLANK('Raw counts'!S36),"",RANK('3'!S97,'3'!$B97:$U97))</f>
        <v/>
      </c>
      <c r="T35" s="20" t="str">
        <f>IF(ISBLANK('Raw counts'!T36),"",RANK('3'!T97,'3'!$B97:$U97))</f>
        <v/>
      </c>
      <c r="U35" s="20" t="str">
        <f>IF(ISBLANK('Raw counts'!U36),"",RANK('3'!U97,'3'!$B97:$U97))</f>
        <v/>
      </c>
    </row>
    <row r="36" spans="1:21" x14ac:dyDescent="0.15">
      <c r="A36" s="18" t="str">
        <f>IF(ISBLANK('Raw counts'!A37),"",'Raw counts'!A37)</f>
        <v>Attr33</v>
      </c>
      <c r="B36" s="20" t="str">
        <f>IF(ISBLANK('Raw counts'!B37),"",RANK('3'!B98,'3'!$B98:$U98))</f>
        <v/>
      </c>
      <c r="C36" s="20" t="str">
        <f>IF(ISBLANK('Raw counts'!C37),"",RANK('3'!C98,'3'!$B98:$U98))</f>
        <v/>
      </c>
      <c r="D36" s="20" t="str">
        <f>IF(ISBLANK('Raw counts'!D37),"",RANK('3'!D98,'3'!$B98:$U98))</f>
        <v/>
      </c>
      <c r="E36" s="20" t="str">
        <f>IF(ISBLANK('Raw counts'!E37),"",RANK('3'!E98,'3'!$B98:$U98))</f>
        <v/>
      </c>
      <c r="F36" s="20" t="str">
        <f>IF(ISBLANK('Raw counts'!F37),"",RANK('3'!F98,'3'!$B98:$U98))</f>
        <v/>
      </c>
      <c r="G36" s="20" t="str">
        <f>IF(ISBLANK('Raw counts'!G37),"",RANK('3'!G98,'3'!$B98:$U98))</f>
        <v/>
      </c>
      <c r="H36" s="20" t="str">
        <f>IF(ISBLANK('Raw counts'!H37),"",RANK('3'!H98,'3'!$B98:$U98))</f>
        <v/>
      </c>
      <c r="I36" s="20" t="str">
        <f>IF(ISBLANK('Raw counts'!I37),"",RANK('3'!I98,'3'!$B98:$U98))</f>
        <v/>
      </c>
      <c r="J36" s="20" t="str">
        <f>IF(ISBLANK('Raw counts'!J37),"",RANK('3'!J98,'3'!$B98:$U98))</f>
        <v/>
      </c>
      <c r="K36" s="20" t="str">
        <f>IF(ISBLANK('Raw counts'!K37),"",RANK('3'!K98,'3'!$B98:$U98))</f>
        <v/>
      </c>
      <c r="L36" s="20" t="str">
        <f>IF(ISBLANK('Raw counts'!L37),"",RANK('3'!L98,'3'!$B98:$U98))</f>
        <v/>
      </c>
      <c r="M36" s="20" t="str">
        <f>IF(ISBLANK('Raw counts'!M37),"",RANK('3'!M98,'3'!$B98:$U98))</f>
        <v/>
      </c>
      <c r="N36" s="20" t="str">
        <f>IF(ISBLANK('Raw counts'!N37),"",RANK('3'!N98,'3'!$B98:$U98))</f>
        <v/>
      </c>
      <c r="O36" s="20" t="str">
        <f>IF(ISBLANK('Raw counts'!O37),"",RANK('3'!O98,'3'!$B98:$U98))</f>
        <v/>
      </c>
      <c r="P36" s="20" t="str">
        <f>IF(ISBLANK('Raw counts'!P37),"",RANK('3'!P98,'3'!$B98:$U98))</f>
        <v/>
      </c>
      <c r="Q36" s="20" t="str">
        <f>IF(ISBLANK('Raw counts'!Q37),"",RANK('3'!Q98,'3'!$B98:$U98))</f>
        <v/>
      </c>
      <c r="R36" s="20" t="str">
        <f>IF(ISBLANK('Raw counts'!R37),"",RANK('3'!R98,'3'!$B98:$U98))</f>
        <v/>
      </c>
      <c r="S36" s="20" t="str">
        <f>IF(ISBLANK('Raw counts'!S37),"",RANK('3'!S98,'3'!$B98:$U98))</f>
        <v/>
      </c>
      <c r="T36" s="20" t="str">
        <f>IF(ISBLANK('Raw counts'!T37),"",RANK('3'!T98,'3'!$B98:$U98))</f>
        <v/>
      </c>
      <c r="U36" s="20" t="str">
        <f>IF(ISBLANK('Raw counts'!U37),"",RANK('3'!U98,'3'!$B98:$U98))</f>
        <v/>
      </c>
    </row>
    <row r="37" spans="1:21" x14ac:dyDescent="0.15">
      <c r="A37" s="18" t="str">
        <f>IF(ISBLANK('Raw counts'!A38),"",'Raw counts'!A38)</f>
        <v>Attr34</v>
      </c>
      <c r="B37" s="20" t="str">
        <f>IF(ISBLANK('Raw counts'!B38),"",RANK('3'!B99,'3'!$B99:$U99))</f>
        <v/>
      </c>
      <c r="C37" s="20" t="str">
        <f>IF(ISBLANK('Raw counts'!C38),"",RANK('3'!C99,'3'!$B99:$U99))</f>
        <v/>
      </c>
      <c r="D37" s="20" t="str">
        <f>IF(ISBLANK('Raw counts'!D38),"",RANK('3'!D99,'3'!$B99:$U99))</f>
        <v/>
      </c>
      <c r="E37" s="20" t="str">
        <f>IF(ISBLANK('Raw counts'!E38),"",RANK('3'!E99,'3'!$B99:$U99))</f>
        <v/>
      </c>
      <c r="F37" s="20" t="str">
        <f>IF(ISBLANK('Raw counts'!F38),"",RANK('3'!F99,'3'!$B99:$U99))</f>
        <v/>
      </c>
      <c r="G37" s="20" t="str">
        <f>IF(ISBLANK('Raw counts'!G38),"",RANK('3'!G99,'3'!$B99:$U99))</f>
        <v/>
      </c>
      <c r="H37" s="20" t="str">
        <f>IF(ISBLANK('Raw counts'!H38),"",RANK('3'!H99,'3'!$B99:$U99))</f>
        <v/>
      </c>
      <c r="I37" s="20" t="str">
        <f>IF(ISBLANK('Raw counts'!I38),"",RANK('3'!I99,'3'!$B99:$U99))</f>
        <v/>
      </c>
      <c r="J37" s="20" t="str">
        <f>IF(ISBLANK('Raw counts'!J38),"",RANK('3'!J99,'3'!$B99:$U99))</f>
        <v/>
      </c>
      <c r="K37" s="20" t="str">
        <f>IF(ISBLANK('Raw counts'!K38),"",RANK('3'!K99,'3'!$B99:$U99))</f>
        <v/>
      </c>
      <c r="L37" s="20" t="str">
        <f>IF(ISBLANK('Raw counts'!L38),"",RANK('3'!L99,'3'!$B99:$U99))</f>
        <v/>
      </c>
      <c r="M37" s="20" t="str">
        <f>IF(ISBLANK('Raw counts'!M38),"",RANK('3'!M99,'3'!$B99:$U99))</f>
        <v/>
      </c>
      <c r="N37" s="20" t="str">
        <f>IF(ISBLANK('Raw counts'!N38),"",RANK('3'!N99,'3'!$B99:$U99))</f>
        <v/>
      </c>
      <c r="O37" s="20" t="str">
        <f>IF(ISBLANK('Raw counts'!O38),"",RANK('3'!O99,'3'!$B99:$U99))</f>
        <v/>
      </c>
      <c r="P37" s="20" t="str">
        <f>IF(ISBLANK('Raw counts'!P38),"",RANK('3'!P99,'3'!$B99:$U99))</f>
        <v/>
      </c>
      <c r="Q37" s="20" t="str">
        <f>IF(ISBLANK('Raw counts'!Q38),"",RANK('3'!Q99,'3'!$B99:$U99))</f>
        <v/>
      </c>
      <c r="R37" s="20" t="str">
        <f>IF(ISBLANK('Raw counts'!R38),"",RANK('3'!R99,'3'!$B99:$U99))</f>
        <v/>
      </c>
      <c r="S37" s="20" t="str">
        <f>IF(ISBLANK('Raw counts'!S38),"",RANK('3'!S99,'3'!$B99:$U99))</f>
        <v/>
      </c>
      <c r="T37" s="20" t="str">
        <f>IF(ISBLANK('Raw counts'!T38),"",RANK('3'!T99,'3'!$B99:$U99))</f>
        <v/>
      </c>
      <c r="U37" s="20" t="str">
        <f>IF(ISBLANK('Raw counts'!U38),"",RANK('3'!U99,'3'!$B99:$U99))</f>
        <v/>
      </c>
    </row>
    <row r="38" spans="1:21" x14ac:dyDescent="0.15">
      <c r="A38" s="18" t="str">
        <f>IF(ISBLANK('Raw counts'!A39),"",'Raw counts'!A39)</f>
        <v>Attr35</v>
      </c>
      <c r="B38" s="20" t="str">
        <f>IF(ISBLANK('Raw counts'!B39),"",RANK('3'!B100,'3'!$B100:$U100))</f>
        <v/>
      </c>
      <c r="C38" s="20" t="str">
        <f>IF(ISBLANK('Raw counts'!C39),"",RANK('3'!C100,'3'!$B100:$U100))</f>
        <v/>
      </c>
      <c r="D38" s="20" t="str">
        <f>IF(ISBLANK('Raw counts'!D39),"",RANK('3'!D100,'3'!$B100:$U100))</f>
        <v/>
      </c>
      <c r="E38" s="20" t="str">
        <f>IF(ISBLANK('Raw counts'!E39),"",RANK('3'!E100,'3'!$B100:$U100))</f>
        <v/>
      </c>
      <c r="F38" s="20" t="str">
        <f>IF(ISBLANK('Raw counts'!F39),"",RANK('3'!F100,'3'!$B100:$U100))</f>
        <v/>
      </c>
      <c r="G38" s="20" t="str">
        <f>IF(ISBLANK('Raw counts'!G39),"",RANK('3'!G100,'3'!$B100:$U100))</f>
        <v/>
      </c>
      <c r="H38" s="20" t="str">
        <f>IF(ISBLANK('Raw counts'!H39),"",RANK('3'!H100,'3'!$B100:$U100))</f>
        <v/>
      </c>
      <c r="I38" s="20" t="str">
        <f>IF(ISBLANK('Raw counts'!I39),"",RANK('3'!I100,'3'!$B100:$U100))</f>
        <v/>
      </c>
      <c r="J38" s="20" t="str">
        <f>IF(ISBLANK('Raw counts'!J39),"",RANK('3'!J100,'3'!$B100:$U100))</f>
        <v/>
      </c>
      <c r="K38" s="20" t="str">
        <f>IF(ISBLANK('Raw counts'!K39),"",RANK('3'!K100,'3'!$B100:$U100))</f>
        <v/>
      </c>
      <c r="L38" s="20" t="str">
        <f>IF(ISBLANK('Raw counts'!L39),"",RANK('3'!L100,'3'!$B100:$U100))</f>
        <v/>
      </c>
      <c r="M38" s="20" t="str">
        <f>IF(ISBLANK('Raw counts'!M39),"",RANK('3'!M100,'3'!$B100:$U100))</f>
        <v/>
      </c>
      <c r="N38" s="20" t="str">
        <f>IF(ISBLANK('Raw counts'!N39),"",RANK('3'!N100,'3'!$B100:$U100))</f>
        <v/>
      </c>
      <c r="O38" s="20" t="str">
        <f>IF(ISBLANK('Raw counts'!O39),"",RANK('3'!O100,'3'!$B100:$U100))</f>
        <v/>
      </c>
      <c r="P38" s="20" t="str">
        <f>IF(ISBLANK('Raw counts'!P39),"",RANK('3'!P100,'3'!$B100:$U100))</f>
        <v/>
      </c>
      <c r="Q38" s="20" t="str">
        <f>IF(ISBLANK('Raw counts'!Q39),"",RANK('3'!Q100,'3'!$B100:$U100))</f>
        <v/>
      </c>
      <c r="R38" s="20" t="str">
        <f>IF(ISBLANK('Raw counts'!R39),"",RANK('3'!R100,'3'!$B100:$U100))</f>
        <v/>
      </c>
      <c r="S38" s="20" t="str">
        <f>IF(ISBLANK('Raw counts'!S39),"",RANK('3'!S100,'3'!$B100:$U100))</f>
        <v/>
      </c>
      <c r="T38" s="20" t="str">
        <f>IF(ISBLANK('Raw counts'!T39),"",RANK('3'!T100,'3'!$B100:$U100))</f>
        <v/>
      </c>
      <c r="U38" s="20" t="str">
        <f>IF(ISBLANK('Raw counts'!U39),"",RANK('3'!U100,'3'!$B100:$U100))</f>
        <v/>
      </c>
    </row>
    <row r="39" spans="1:21" x14ac:dyDescent="0.15">
      <c r="A39" s="18" t="str">
        <f>IF(ISBLANK('Raw counts'!A40),"",'Raw counts'!A40)</f>
        <v>Attr36</v>
      </c>
      <c r="B39" s="20" t="str">
        <f>IF(ISBLANK('Raw counts'!B40),"",RANK('3'!B101,'3'!$B101:$U101))</f>
        <v/>
      </c>
      <c r="C39" s="20" t="str">
        <f>IF(ISBLANK('Raw counts'!C40),"",RANK('3'!C101,'3'!$B101:$U101))</f>
        <v/>
      </c>
      <c r="D39" s="20" t="str">
        <f>IF(ISBLANK('Raw counts'!D40),"",RANK('3'!D101,'3'!$B101:$U101))</f>
        <v/>
      </c>
      <c r="E39" s="20" t="str">
        <f>IF(ISBLANK('Raw counts'!E40),"",RANK('3'!E101,'3'!$B101:$U101))</f>
        <v/>
      </c>
      <c r="F39" s="20" t="str">
        <f>IF(ISBLANK('Raw counts'!F40),"",RANK('3'!F101,'3'!$B101:$U101))</f>
        <v/>
      </c>
      <c r="G39" s="20" t="str">
        <f>IF(ISBLANK('Raw counts'!G40),"",RANK('3'!G101,'3'!$B101:$U101))</f>
        <v/>
      </c>
      <c r="H39" s="20" t="str">
        <f>IF(ISBLANK('Raw counts'!H40),"",RANK('3'!H101,'3'!$B101:$U101))</f>
        <v/>
      </c>
      <c r="I39" s="20" t="str">
        <f>IF(ISBLANK('Raw counts'!I40),"",RANK('3'!I101,'3'!$B101:$U101))</f>
        <v/>
      </c>
      <c r="J39" s="20" t="str">
        <f>IF(ISBLANK('Raw counts'!J40),"",RANK('3'!J101,'3'!$B101:$U101))</f>
        <v/>
      </c>
      <c r="K39" s="20" t="str">
        <f>IF(ISBLANK('Raw counts'!K40),"",RANK('3'!K101,'3'!$B101:$U101))</f>
        <v/>
      </c>
      <c r="L39" s="20" t="str">
        <f>IF(ISBLANK('Raw counts'!L40),"",RANK('3'!L101,'3'!$B101:$U101))</f>
        <v/>
      </c>
      <c r="M39" s="20" t="str">
        <f>IF(ISBLANK('Raw counts'!M40),"",RANK('3'!M101,'3'!$B101:$U101))</f>
        <v/>
      </c>
      <c r="N39" s="20" t="str">
        <f>IF(ISBLANK('Raw counts'!N40),"",RANK('3'!N101,'3'!$B101:$U101))</f>
        <v/>
      </c>
      <c r="O39" s="20" t="str">
        <f>IF(ISBLANK('Raw counts'!O40),"",RANK('3'!O101,'3'!$B101:$U101))</f>
        <v/>
      </c>
      <c r="P39" s="20" t="str">
        <f>IF(ISBLANK('Raw counts'!P40),"",RANK('3'!P101,'3'!$B101:$U101))</f>
        <v/>
      </c>
      <c r="Q39" s="20" t="str">
        <f>IF(ISBLANK('Raw counts'!Q40),"",RANK('3'!Q101,'3'!$B101:$U101))</f>
        <v/>
      </c>
      <c r="R39" s="20" t="str">
        <f>IF(ISBLANK('Raw counts'!R40),"",RANK('3'!R101,'3'!$B101:$U101))</f>
        <v/>
      </c>
      <c r="S39" s="20" t="str">
        <f>IF(ISBLANK('Raw counts'!S40),"",RANK('3'!S101,'3'!$B101:$U101))</f>
        <v/>
      </c>
      <c r="T39" s="20" t="str">
        <f>IF(ISBLANK('Raw counts'!T40),"",RANK('3'!T101,'3'!$B101:$U101))</f>
        <v/>
      </c>
      <c r="U39" s="20" t="str">
        <f>IF(ISBLANK('Raw counts'!U40),"",RANK('3'!U101,'3'!$B101:$U101))</f>
        <v/>
      </c>
    </row>
    <row r="40" spans="1:21" x14ac:dyDescent="0.15">
      <c r="A40" s="18" t="str">
        <f>IF(ISBLANK('Raw counts'!A41),"",'Raw counts'!A41)</f>
        <v>Attr37</v>
      </c>
      <c r="B40" s="20" t="str">
        <f>IF(ISBLANK('Raw counts'!B41),"",RANK('3'!B102,'3'!$B102:$U102))</f>
        <v/>
      </c>
      <c r="C40" s="20" t="str">
        <f>IF(ISBLANK('Raw counts'!C41),"",RANK('3'!C102,'3'!$B102:$U102))</f>
        <v/>
      </c>
      <c r="D40" s="20" t="str">
        <f>IF(ISBLANK('Raw counts'!D41),"",RANK('3'!D102,'3'!$B102:$U102))</f>
        <v/>
      </c>
      <c r="E40" s="20" t="str">
        <f>IF(ISBLANK('Raw counts'!E41),"",RANK('3'!E102,'3'!$B102:$U102))</f>
        <v/>
      </c>
      <c r="F40" s="20" t="str">
        <f>IF(ISBLANK('Raw counts'!F41),"",RANK('3'!F102,'3'!$B102:$U102))</f>
        <v/>
      </c>
      <c r="G40" s="20" t="str">
        <f>IF(ISBLANK('Raw counts'!G41),"",RANK('3'!G102,'3'!$B102:$U102))</f>
        <v/>
      </c>
      <c r="H40" s="20" t="str">
        <f>IF(ISBLANK('Raw counts'!H41),"",RANK('3'!H102,'3'!$B102:$U102))</f>
        <v/>
      </c>
      <c r="I40" s="20" t="str">
        <f>IF(ISBLANK('Raw counts'!I41),"",RANK('3'!I102,'3'!$B102:$U102))</f>
        <v/>
      </c>
      <c r="J40" s="20" t="str">
        <f>IF(ISBLANK('Raw counts'!J41),"",RANK('3'!J102,'3'!$B102:$U102))</f>
        <v/>
      </c>
      <c r="K40" s="20" t="str">
        <f>IF(ISBLANK('Raw counts'!K41),"",RANK('3'!K102,'3'!$B102:$U102))</f>
        <v/>
      </c>
      <c r="L40" s="20" t="str">
        <f>IF(ISBLANK('Raw counts'!L41),"",RANK('3'!L102,'3'!$B102:$U102))</f>
        <v/>
      </c>
      <c r="M40" s="20" t="str">
        <f>IF(ISBLANK('Raw counts'!M41),"",RANK('3'!M102,'3'!$B102:$U102))</f>
        <v/>
      </c>
      <c r="N40" s="20" t="str">
        <f>IF(ISBLANK('Raw counts'!N41),"",RANK('3'!N102,'3'!$B102:$U102))</f>
        <v/>
      </c>
      <c r="O40" s="20" t="str">
        <f>IF(ISBLANK('Raw counts'!O41),"",RANK('3'!O102,'3'!$B102:$U102))</f>
        <v/>
      </c>
      <c r="P40" s="20" t="str">
        <f>IF(ISBLANK('Raw counts'!P41),"",RANK('3'!P102,'3'!$B102:$U102))</f>
        <v/>
      </c>
      <c r="Q40" s="20" t="str">
        <f>IF(ISBLANK('Raw counts'!Q41),"",RANK('3'!Q102,'3'!$B102:$U102))</f>
        <v/>
      </c>
      <c r="R40" s="20" t="str">
        <f>IF(ISBLANK('Raw counts'!R41),"",RANK('3'!R102,'3'!$B102:$U102))</f>
        <v/>
      </c>
      <c r="S40" s="20" t="str">
        <f>IF(ISBLANK('Raw counts'!S41),"",RANK('3'!S102,'3'!$B102:$U102))</f>
        <v/>
      </c>
      <c r="T40" s="20" t="str">
        <f>IF(ISBLANK('Raw counts'!T41),"",RANK('3'!T102,'3'!$B102:$U102))</f>
        <v/>
      </c>
      <c r="U40" s="20" t="str">
        <f>IF(ISBLANK('Raw counts'!U41),"",RANK('3'!U102,'3'!$B102:$U102))</f>
        <v/>
      </c>
    </row>
    <row r="41" spans="1:21" x14ac:dyDescent="0.15">
      <c r="A41" s="18" t="str">
        <f>IF(ISBLANK('Raw counts'!A42),"",'Raw counts'!A42)</f>
        <v>Attr38</v>
      </c>
      <c r="B41" s="20" t="str">
        <f>IF(ISBLANK('Raw counts'!B42),"",RANK('3'!B103,'3'!$B103:$U103))</f>
        <v/>
      </c>
      <c r="C41" s="20" t="str">
        <f>IF(ISBLANK('Raw counts'!C42),"",RANK('3'!C103,'3'!$B103:$U103))</f>
        <v/>
      </c>
      <c r="D41" s="20" t="str">
        <f>IF(ISBLANK('Raw counts'!D42),"",RANK('3'!D103,'3'!$B103:$U103))</f>
        <v/>
      </c>
      <c r="E41" s="20" t="str">
        <f>IF(ISBLANK('Raw counts'!E42),"",RANK('3'!E103,'3'!$B103:$U103))</f>
        <v/>
      </c>
      <c r="F41" s="20" t="str">
        <f>IF(ISBLANK('Raw counts'!F42),"",RANK('3'!F103,'3'!$B103:$U103))</f>
        <v/>
      </c>
      <c r="G41" s="20" t="str">
        <f>IF(ISBLANK('Raw counts'!G42),"",RANK('3'!G103,'3'!$B103:$U103))</f>
        <v/>
      </c>
      <c r="H41" s="20" t="str">
        <f>IF(ISBLANK('Raw counts'!H42),"",RANK('3'!H103,'3'!$B103:$U103))</f>
        <v/>
      </c>
      <c r="I41" s="20" t="str">
        <f>IF(ISBLANK('Raw counts'!I42),"",RANK('3'!I103,'3'!$B103:$U103))</f>
        <v/>
      </c>
      <c r="J41" s="20" t="str">
        <f>IF(ISBLANK('Raw counts'!J42),"",RANK('3'!J103,'3'!$B103:$U103))</f>
        <v/>
      </c>
      <c r="K41" s="20" t="str">
        <f>IF(ISBLANK('Raw counts'!K42),"",RANK('3'!K103,'3'!$B103:$U103))</f>
        <v/>
      </c>
      <c r="L41" s="20" t="str">
        <f>IF(ISBLANK('Raw counts'!L42),"",RANK('3'!L103,'3'!$B103:$U103))</f>
        <v/>
      </c>
      <c r="M41" s="20" t="str">
        <f>IF(ISBLANK('Raw counts'!M42),"",RANK('3'!M103,'3'!$B103:$U103))</f>
        <v/>
      </c>
      <c r="N41" s="20" t="str">
        <f>IF(ISBLANK('Raw counts'!N42),"",RANK('3'!N103,'3'!$B103:$U103))</f>
        <v/>
      </c>
      <c r="O41" s="20" t="str">
        <f>IF(ISBLANK('Raw counts'!O42),"",RANK('3'!O103,'3'!$B103:$U103))</f>
        <v/>
      </c>
      <c r="P41" s="20" t="str">
        <f>IF(ISBLANK('Raw counts'!P42),"",RANK('3'!P103,'3'!$B103:$U103))</f>
        <v/>
      </c>
      <c r="Q41" s="20" t="str">
        <f>IF(ISBLANK('Raw counts'!Q42),"",RANK('3'!Q103,'3'!$B103:$U103))</f>
        <v/>
      </c>
      <c r="R41" s="20" t="str">
        <f>IF(ISBLANK('Raw counts'!R42),"",RANK('3'!R103,'3'!$B103:$U103))</f>
        <v/>
      </c>
      <c r="S41" s="20" t="str">
        <f>IF(ISBLANK('Raw counts'!S42),"",RANK('3'!S103,'3'!$B103:$U103))</f>
        <v/>
      </c>
      <c r="T41" s="20" t="str">
        <f>IF(ISBLANK('Raw counts'!T42),"",RANK('3'!T103,'3'!$B103:$U103))</f>
        <v/>
      </c>
      <c r="U41" s="20" t="str">
        <f>IF(ISBLANK('Raw counts'!U42),"",RANK('3'!U103,'3'!$B103:$U103))</f>
        <v/>
      </c>
    </row>
    <row r="42" spans="1:21" x14ac:dyDescent="0.15">
      <c r="A42" s="18" t="str">
        <f>IF(ISBLANK('Raw counts'!A43),"",'Raw counts'!A43)</f>
        <v>Attr39</v>
      </c>
      <c r="B42" s="20" t="str">
        <f>IF(ISBLANK('Raw counts'!B43),"",RANK('3'!B104,'3'!$B104:$U104))</f>
        <v/>
      </c>
      <c r="C42" s="20" t="str">
        <f>IF(ISBLANK('Raw counts'!C43),"",RANK('3'!C104,'3'!$B104:$U104))</f>
        <v/>
      </c>
      <c r="D42" s="20" t="str">
        <f>IF(ISBLANK('Raw counts'!D43),"",RANK('3'!D104,'3'!$B104:$U104))</f>
        <v/>
      </c>
      <c r="E42" s="20" t="str">
        <f>IF(ISBLANK('Raw counts'!E43),"",RANK('3'!E104,'3'!$B104:$U104))</f>
        <v/>
      </c>
      <c r="F42" s="20" t="str">
        <f>IF(ISBLANK('Raw counts'!F43),"",RANK('3'!F104,'3'!$B104:$U104))</f>
        <v/>
      </c>
      <c r="G42" s="20" t="str">
        <f>IF(ISBLANK('Raw counts'!G43),"",RANK('3'!G104,'3'!$B104:$U104))</f>
        <v/>
      </c>
      <c r="H42" s="20" t="str">
        <f>IF(ISBLANK('Raw counts'!H43),"",RANK('3'!H104,'3'!$B104:$U104))</f>
        <v/>
      </c>
      <c r="I42" s="20" t="str">
        <f>IF(ISBLANK('Raw counts'!I43),"",RANK('3'!I104,'3'!$B104:$U104))</f>
        <v/>
      </c>
      <c r="J42" s="20" t="str">
        <f>IF(ISBLANK('Raw counts'!J43),"",RANK('3'!J104,'3'!$B104:$U104))</f>
        <v/>
      </c>
      <c r="K42" s="20" t="str">
        <f>IF(ISBLANK('Raw counts'!K43),"",RANK('3'!K104,'3'!$B104:$U104))</f>
        <v/>
      </c>
      <c r="L42" s="20" t="str">
        <f>IF(ISBLANK('Raw counts'!L43),"",RANK('3'!L104,'3'!$B104:$U104))</f>
        <v/>
      </c>
      <c r="M42" s="20" t="str">
        <f>IF(ISBLANK('Raw counts'!M43),"",RANK('3'!M104,'3'!$B104:$U104))</f>
        <v/>
      </c>
      <c r="N42" s="20" t="str">
        <f>IF(ISBLANK('Raw counts'!N43),"",RANK('3'!N104,'3'!$B104:$U104))</f>
        <v/>
      </c>
      <c r="O42" s="20" t="str">
        <f>IF(ISBLANK('Raw counts'!O43),"",RANK('3'!O104,'3'!$B104:$U104))</f>
        <v/>
      </c>
      <c r="P42" s="20" t="str">
        <f>IF(ISBLANK('Raw counts'!P43),"",RANK('3'!P104,'3'!$B104:$U104))</f>
        <v/>
      </c>
      <c r="Q42" s="20" t="str">
        <f>IF(ISBLANK('Raw counts'!Q43),"",RANK('3'!Q104,'3'!$B104:$U104))</f>
        <v/>
      </c>
      <c r="R42" s="20" t="str">
        <f>IF(ISBLANK('Raw counts'!R43),"",RANK('3'!R104,'3'!$B104:$U104))</f>
        <v/>
      </c>
      <c r="S42" s="20" t="str">
        <f>IF(ISBLANK('Raw counts'!S43),"",RANK('3'!S104,'3'!$B104:$U104))</f>
        <v/>
      </c>
      <c r="T42" s="20" t="str">
        <f>IF(ISBLANK('Raw counts'!T43),"",RANK('3'!T104,'3'!$B104:$U104))</f>
        <v/>
      </c>
      <c r="U42" s="20" t="str">
        <f>IF(ISBLANK('Raw counts'!U43),"",RANK('3'!U104,'3'!$B104:$U104))</f>
        <v/>
      </c>
    </row>
    <row r="43" spans="1:21" x14ac:dyDescent="0.15">
      <c r="A43" s="18" t="str">
        <f>IF(ISBLANK('Raw counts'!A44),"",'Raw counts'!A44)</f>
        <v>Attr40</v>
      </c>
      <c r="B43" s="20" t="str">
        <f>IF(ISBLANK('Raw counts'!B44),"",RANK('3'!B105,'3'!$B105:$U105))</f>
        <v/>
      </c>
      <c r="C43" s="20" t="str">
        <f>IF(ISBLANK('Raw counts'!C44),"",RANK('3'!C105,'3'!$B105:$U105))</f>
        <v/>
      </c>
      <c r="D43" s="20" t="str">
        <f>IF(ISBLANK('Raw counts'!D44),"",RANK('3'!D105,'3'!$B105:$U105))</f>
        <v/>
      </c>
      <c r="E43" s="20" t="str">
        <f>IF(ISBLANK('Raw counts'!E44),"",RANK('3'!E105,'3'!$B105:$U105))</f>
        <v/>
      </c>
      <c r="F43" s="20" t="str">
        <f>IF(ISBLANK('Raw counts'!F44),"",RANK('3'!F105,'3'!$B105:$U105))</f>
        <v/>
      </c>
      <c r="G43" s="20" t="str">
        <f>IF(ISBLANK('Raw counts'!G44),"",RANK('3'!G105,'3'!$B105:$U105))</f>
        <v/>
      </c>
      <c r="H43" s="20" t="str">
        <f>IF(ISBLANK('Raw counts'!H44),"",RANK('3'!H105,'3'!$B105:$U105))</f>
        <v/>
      </c>
      <c r="I43" s="20" t="str">
        <f>IF(ISBLANK('Raw counts'!I44),"",RANK('3'!I105,'3'!$B105:$U105))</f>
        <v/>
      </c>
      <c r="J43" s="20" t="str">
        <f>IF(ISBLANK('Raw counts'!J44),"",RANK('3'!J105,'3'!$B105:$U105))</f>
        <v/>
      </c>
      <c r="K43" s="20" t="str">
        <f>IF(ISBLANK('Raw counts'!K44),"",RANK('3'!K105,'3'!$B105:$U105))</f>
        <v/>
      </c>
      <c r="L43" s="20" t="str">
        <f>IF(ISBLANK('Raw counts'!L44),"",RANK('3'!L105,'3'!$B105:$U105))</f>
        <v/>
      </c>
      <c r="M43" s="20" t="str">
        <f>IF(ISBLANK('Raw counts'!M44),"",RANK('3'!M105,'3'!$B105:$U105))</f>
        <v/>
      </c>
      <c r="N43" s="20" t="str">
        <f>IF(ISBLANK('Raw counts'!N44),"",RANK('3'!N105,'3'!$B105:$U105))</f>
        <v/>
      </c>
      <c r="O43" s="20" t="str">
        <f>IF(ISBLANK('Raw counts'!O44),"",RANK('3'!O105,'3'!$B105:$U105))</f>
        <v/>
      </c>
      <c r="P43" s="20" t="str">
        <f>IF(ISBLANK('Raw counts'!P44),"",RANK('3'!P105,'3'!$B105:$U105))</f>
        <v/>
      </c>
      <c r="Q43" s="20" t="str">
        <f>IF(ISBLANK('Raw counts'!Q44),"",RANK('3'!Q105,'3'!$B105:$U105))</f>
        <v/>
      </c>
      <c r="R43" s="20" t="str">
        <f>IF(ISBLANK('Raw counts'!R44),"",RANK('3'!R105,'3'!$B105:$U105))</f>
        <v/>
      </c>
      <c r="S43" s="20" t="str">
        <f>IF(ISBLANK('Raw counts'!S44),"",RANK('3'!S105,'3'!$B105:$U105))</f>
        <v/>
      </c>
      <c r="T43" s="20" t="str">
        <f>IF(ISBLANK('Raw counts'!T44),"",RANK('3'!T105,'3'!$B105:$U105))</f>
        <v/>
      </c>
      <c r="U43" s="20" t="str">
        <f>IF(ISBLANK('Raw counts'!U44),"",RANK('3'!U105,'3'!$B105:$U105))</f>
        <v/>
      </c>
    </row>
    <row r="44" spans="1:21" x14ac:dyDescent="0.15">
      <c r="A44" s="18" t="str">
        <f>IF(ISBLANK('Raw counts'!A45),"",'Raw counts'!A45)</f>
        <v>Attr41</v>
      </c>
      <c r="B44" s="20" t="str">
        <f>IF(ISBLANK('Raw counts'!B45),"",RANK('3'!B106,'3'!$B106:$U106))</f>
        <v/>
      </c>
      <c r="C44" s="20" t="str">
        <f>IF(ISBLANK('Raw counts'!C45),"",RANK('3'!C106,'3'!$B106:$U106))</f>
        <v/>
      </c>
      <c r="D44" s="20" t="str">
        <f>IF(ISBLANK('Raw counts'!D45),"",RANK('3'!D106,'3'!$B106:$U106))</f>
        <v/>
      </c>
      <c r="E44" s="20" t="str">
        <f>IF(ISBLANK('Raw counts'!E45),"",RANK('3'!E106,'3'!$B106:$U106))</f>
        <v/>
      </c>
      <c r="F44" s="20" t="str">
        <f>IF(ISBLANK('Raw counts'!F45),"",RANK('3'!F106,'3'!$B106:$U106))</f>
        <v/>
      </c>
      <c r="G44" s="20" t="str">
        <f>IF(ISBLANK('Raw counts'!G45),"",RANK('3'!G106,'3'!$B106:$U106))</f>
        <v/>
      </c>
      <c r="H44" s="20" t="str">
        <f>IF(ISBLANK('Raw counts'!H45),"",RANK('3'!H106,'3'!$B106:$U106))</f>
        <v/>
      </c>
      <c r="I44" s="20" t="str">
        <f>IF(ISBLANK('Raw counts'!I45),"",RANK('3'!I106,'3'!$B106:$U106))</f>
        <v/>
      </c>
      <c r="J44" s="20" t="str">
        <f>IF(ISBLANK('Raw counts'!J45),"",RANK('3'!J106,'3'!$B106:$U106))</f>
        <v/>
      </c>
      <c r="K44" s="20" t="str">
        <f>IF(ISBLANK('Raw counts'!K45),"",RANK('3'!K106,'3'!$B106:$U106))</f>
        <v/>
      </c>
      <c r="L44" s="20" t="str">
        <f>IF(ISBLANK('Raw counts'!L45),"",RANK('3'!L106,'3'!$B106:$U106))</f>
        <v/>
      </c>
      <c r="M44" s="20" t="str">
        <f>IF(ISBLANK('Raw counts'!M45),"",RANK('3'!M106,'3'!$B106:$U106))</f>
        <v/>
      </c>
      <c r="N44" s="20" t="str">
        <f>IF(ISBLANK('Raw counts'!N45),"",RANK('3'!N106,'3'!$B106:$U106))</f>
        <v/>
      </c>
      <c r="O44" s="20" t="str">
        <f>IF(ISBLANK('Raw counts'!O45),"",RANK('3'!O106,'3'!$B106:$U106))</f>
        <v/>
      </c>
      <c r="P44" s="20" t="str">
        <f>IF(ISBLANK('Raw counts'!P45),"",RANK('3'!P106,'3'!$B106:$U106))</f>
        <v/>
      </c>
      <c r="Q44" s="20" t="str">
        <f>IF(ISBLANK('Raw counts'!Q45),"",RANK('3'!Q106,'3'!$B106:$U106))</f>
        <v/>
      </c>
      <c r="R44" s="20" t="str">
        <f>IF(ISBLANK('Raw counts'!R45),"",RANK('3'!R106,'3'!$B106:$U106))</f>
        <v/>
      </c>
      <c r="S44" s="20" t="str">
        <f>IF(ISBLANK('Raw counts'!S45),"",RANK('3'!S106,'3'!$B106:$U106))</f>
        <v/>
      </c>
      <c r="T44" s="20" t="str">
        <f>IF(ISBLANK('Raw counts'!T45),"",RANK('3'!T106,'3'!$B106:$U106))</f>
        <v/>
      </c>
      <c r="U44" s="20" t="str">
        <f>IF(ISBLANK('Raw counts'!U45),"",RANK('3'!U106,'3'!$B106:$U106))</f>
        <v/>
      </c>
    </row>
    <row r="45" spans="1:21" x14ac:dyDescent="0.15">
      <c r="A45" s="18" t="str">
        <f>IF(ISBLANK('Raw counts'!A46),"",'Raw counts'!A46)</f>
        <v>Attr42</v>
      </c>
      <c r="B45" s="20" t="str">
        <f>IF(ISBLANK('Raw counts'!B46),"",RANK('3'!B107,'3'!$B107:$U107))</f>
        <v/>
      </c>
      <c r="C45" s="20" t="str">
        <f>IF(ISBLANK('Raw counts'!C46),"",RANK('3'!C107,'3'!$B107:$U107))</f>
        <v/>
      </c>
      <c r="D45" s="20" t="str">
        <f>IF(ISBLANK('Raw counts'!D46),"",RANK('3'!D107,'3'!$B107:$U107))</f>
        <v/>
      </c>
      <c r="E45" s="20" t="str">
        <f>IF(ISBLANK('Raw counts'!E46),"",RANK('3'!E107,'3'!$B107:$U107))</f>
        <v/>
      </c>
      <c r="F45" s="20" t="str">
        <f>IF(ISBLANK('Raw counts'!F46),"",RANK('3'!F107,'3'!$B107:$U107))</f>
        <v/>
      </c>
      <c r="G45" s="20" t="str">
        <f>IF(ISBLANK('Raw counts'!G46),"",RANK('3'!G107,'3'!$B107:$U107))</f>
        <v/>
      </c>
      <c r="H45" s="20" t="str">
        <f>IF(ISBLANK('Raw counts'!H46),"",RANK('3'!H107,'3'!$B107:$U107))</f>
        <v/>
      </c>
      <c r="I45" s="20" t="str">
        <f>IF(ISBLANK('Raw counts'!I46),"",RANK('3'!I107,'3'!$B107:$U107))</f>
        <v/>
      </c>
      <c r="J45" s="20" t="str">
        <f>IF(ISBLANK('Raw counts'!J46),"",RANK('3'!J107,'3'!$B107:$U107))</f>
        <v/>
      </c>
      <c r="K45" s="20" t="str">
        <f>IF(ISBLANK('Raw counts'!K46),"",RANK('3'!K107,'3'!$B107:$U107))</f>
        <v/>
      </c>
      <c r="L45" s="20" t="str">
        <f>IF(ISBLANK('Raw counts'!L46),"",RANK('3'!L107,'3'!$B107:$U107))</f>
        <v/>
      </c>
      <c r="M45" s="20" t="str">
        <f>IF(ISBLANK('Raw counts'!M46),"",RANK('3'!M107,'3'!$B107:$U107))</f>
        <v/>
      </c>
      <c r="N45" s="20" t="str">
        <f>IF(ISBLANK('Raw counts'!N46),"",RANK('3'!N107,'3'!$B107:$U107))</f>
        <v/>
      </c>
      <c r="O45" s="20" t="str">
        <f>IF(ISBLANK('Raw counts'!O46),"",RANK('3'!O107,'3'!$B107:$U107))</f>
        <v/>
      </c>
      <c r="P45" s="20" t="str">
        <f>IF(ISBLANK('Raw counts'!P46),"",RANK('3'!P107,'3'!$B107:$U107))</f>
        <v/>
      </c>
      <c r="Q45" s="20" t="str">
        <f>IF(ISBLANK('Raw counts'!Q46),"",RANK('3'!Q107,'3'!$B107:$U107))</f>
        <v/>
      </c>
      <c r="R45" s="20" t="str">
        <f>IF(ISBLANK('Raw counts'!R46),"",RANK('3'!R107,'3'!$B107:$U107))</f>
        <v/>
      </c>
      <c r="S45" s="20" t="str">
        <f>IF(ISBLANK('Raw counts'!S46),"",RANK('3'!S107,'3'!$B107:$U107))</f>
        <v/>
      </c>
      <c r="T45" s="20" t="str">
        <f>IF(ISBLANK('Raw counts'!T46),"",RANK('3'!T107,'3'!$B107:$U107))</f>
        <v/>
      </c>
      <c r="U45" s="20" t="str">
        <f>IF(ISBLANK('Raw counts'!U46),"",RANK('3'!U107,'3'!$B107:$U107))</f>
        <v/>
      </c>
    </row>
    <row r="46" spans="1:21" x14ac:dyDescent="0.15">
      <c r="A46" s="18" t="str">
        <f>IF(ISBLANK('Raw counts'!A47),"",'Raw counts'!A47)</f>
        <v>Attr43</v>
      </c>
      <c r="B46" s="20" t="str">
        <f>IF(ISBLANK('Raw counts'!B47),"",RANK('3'!B108,'3'!$B108:$U108))</f>
        <v/>
      </c>
      <c r="C46" s="20" t="str">
        <f>IF(ISBLANK('Raw counts'!C47),"",RANK('3'!C108,'3'!$B108:$U108))</f>
        <v/>
      </c>
      <c r="D46" s="20" t="str">
        <f>IF(ISBLANK('Raw counts'!D47),"",RANK('3'!D108,'3'!$B108:$U108))</f>
        <v/>
      </c>
      <c r="E46" s="20" t="str">
        <f>IF(ISBLANK('Raw counts'!E47),"",RANK('3'!E108,'3'!$B108:$U108))</f>
        <v/>
      </c>
      <c r="F46" s="20" t="str">
        <f>IF(ISBLANK('Raw counts'!F47),"",RANK('3'!F108,'3'!$B108:$U108))</f>
        <v/>
      </c>
      <c r="G46" s="20" t="str">
        <f>IF(ISBLANK('Raw counts'!G47),"",RANK('3'!G108,'3'!$B108:$U108))</f>
        <v/>
      </c>
      <c r="H46" s="20" t="str">
        <f>IF(ISBLANK('Raw counts'!H47),"",RANK('3'!H108,'3'!$B108:$U108))</f>
        <v/>
      </c>
      <c r="I46" s="20" t="str">
        <f>IF(ISBLANK('Raw counts'!I47),"",RANK('3'!I108,'3'!$B108:$U108))</f>
        <v/>
      </c>
      <c r="J46" s="20" t="str">
        <f>IF(ISBLANK('Raw counts'!J47),"",RANK('3'!J108,'3'!$B108:$U108))</f>
        <v/>
      </c>
      <c r="K46" s="20" t="str">
        <f>IF(ISBLANK('Raw counts'!K47),"",RANK('3'!K108,'3'!$B108:$U108))</f>
        <v/>
      </c>
      <c r="L46" s="20" t="str">
        <f>IF(ISBLANK('Raw counts'!L47),"",RANK('3'!L108,'3'!$B108:$U108))</f>
        <v/>
      </c>
      <c r="M46" s="20" t="str">
        <f>IF(ISBLANK('Raw counts'!M47),"",RANK('3'!M108,'3'!$B108:$U108))</f>
        <v/>
      </c>
      <c r="N46" s="20" t="str">
        <f>IF(ISBLANK('Raw counts'!N47),"",RANK('3'!N108,'3'!$B108:$U108))</f>
        <v/>
      </c>
      <c r="O46" s="20" t="str">
        <f>IF(ISBLANK('Raw counts'!O47),"",RANK('3'!O108,'3'!$B108:$U108))</f>
        <v/>
      </c>
      <c r="P46" s="20" t="str">
        <f>IF(ISBLANK('Raw counts'!P47),"",RANK('3'!P108,'3'!$B108:$U108))</f>
        <v/>
      </c>
      <c r="Q46" s="20" t="str">
        <f>IF(ISBLANK('Raw counts'!Q47),"",RANK('3'!Q108,'3'!$B108:$U108))</f>
        <v/>
      </c>
      <c r="R46" s="20" t="str">
        <f>IF(ISBLANK('Raw counts'!R47),"",RANK('3'!R108,'3'!$B108:$U108))</f>
        <v/>
      </c>
      <c r="S46" s="20" t="str">
        <f>IF(ISBLANK('Raw counts'!S47),"",RANK('3'!S108,'3'!$B108:$U108))</f>
        <v/>
      </c>
      <c r="T46" s="20" t="str">
        <f>IF(ISBLANK('Raw counts'!T47),"",RANK('3'!T108,'3'!$B108:$U108))</f>
        <v/>
      </c>
      <c r="U46" s="20" t="str">
        <f>IF(ISBLANK('Raw counts'!U47),"",RANK('3'!U108,'3'!$B108:$U108))</f>
        <v/>
      </c>
    </row>
    <row r="47" spans="1:21" x14ac:dyDescent="0.15">
      <c r="A47" s="18" t="str">
        <f>IF(ISBLANK('Raw counts'!A48),"",'Raw counts'!A48)</f>
        <v>Attr44</v>
      </c>
      <c r="B47" s="20" t="str">
        <f>IF(ISBLANK('Raw counts'!B48),"",RANK('3'!B109,'3'!$B109:$U109))</f>
        <v/>
      </c>
      <c r="C47" s="20" t="str">
        <f>IF(ISBLANK('Raw counts'!C48),"",RANK('3'!C109,'3'!$B109:$U109))</f>
        <v/>
      </c>
      <c r="D47" s="20" t="str">
        <f>IF(ISBLANK('Raw counts'!D48),"",RANK('3'!D109,'3'!$B109:$U109))</f>
        <v/>
      </c>
      <c r="E47" s="20" t="str">
        <f>IF(ISBLANK('Raw counts'!E48),"",RANK('3'!E109,'3'!$B109:$U109))</f>
        <v/>
      </c>
      <c r="F47" s="20" t="str">
        <f>IF(ISBLANK('Raw counts'!F48),"",RANK('3'!F109,'3'!$B109:$U109))</f>
        <v/>
      </c>
      <c r="G47" s="20" t="str">
        <f>IF(ISBLANK('Raw counts'!G48),"",RANK('3'!G109,'3'!$B109:$U109))</f>
        <v/>
      </c>
      <c r="H47" s="20" t="str">
        <f>IF(ISBLANK('Raw counts'!H48),"",RANK('3'!H109,'3'!$B109:$U109))</f>
        <v/>
      </c>
      <c r="I47" s="20" t="str">
        <f>IF(ISBLANK('Raw counts'!I48),"",RANK('3'!I109,'3'!$B109:$U109))</f>
        <v/>
      </c>
      <c r="J47" s="20" t="str">
        <f>IF(ISBLANK('Raw counts'!J48),"",RANK('3'!J109,'3'!$B109:$U109))</f>
        <v/>
      </c>
      <c r="K47" s="20" t="str">
        <f>IF(ISBLANK('Raw counts'!K48),"",RANK('3'!K109,'3'!$B109:$U109))</f>
        <v/>
      </c>
      <c r="L47" s="20" t="str">
        <f>IF(ISBLANK('Raw counts'!L48),"",RANK('3'!L109,'3'!$B109:$U109))</f>
        <v/>
      </c>
      <c r="M47" s="20" t="str">
        <f>IF(ISBLANK('Raw counts'!M48),"",RANK('3'!M109,'3'!$B109:$U109))</f>
        <v/>
      </c>
      <c r="N47" s="20" t="str">
        <f>IF(ISBLANK('Raw counts'!N48),"",RANK('3'!N109,'3'!$B109:$U109))</f>
        <v/>
      </c>
      <c r="O47" s="20" t="str">
        <f>IF(ISBLANK('Raw counts'!O48),"",RANK('3'!O109,'3'!$B109:$U109))</f>
        <v/>
      </c>
      <c r="P47" s="20" t="str">
        <f>IF(ISBLANK('Raw counts'!P48),"",RANK('3'!P109,'3'!$B109:$U109))</f>
        <v/>
      </c>
      <c r="Q47" s="20" t="str">
        <f>IF(ISBLANK('Raw counts'!Q48),"",RANK('3'!Q109,'3'!$B109:$U109))</f>
        <v/>
      </c>
      <c r="R47" s="20" t="str">
        <f>IF(ISBLANK('Raw counts'!R48),"",RANK('3'!R109,'3'!$B109:$U109))</f>
        <v/>
      </c>
      <c r="S47" s="20" t="str">
        <f>IF(ISBLANK('Raw counts'!S48),"",RANK('3'!S109,'3'!$B109:$U109))</f>
        <v/>
      </c>
      <c r="T47" s="20" t="str">
        <f>IF(ISBLANK('Raw counts'!T48),"",RANK('3'!T109,'3'!$B109:$U109))</f>
        <v/>
      </c>
      <c r="U47" s="20" t="str">
        <f>IF(ISBLANK('Raw counts'!U48),"",RANK('3'!U109,'3'!$B109:$U109))</f>
        <v/>
      </c>
    </row>
    <row r="48" spans="1:21" x14ac:dyDescent="0.15">
      <c r="A48" s="18" t="str">
        <f>IF(ISBLANK('Raw counts'!A49),"",'Raw counts'!A49)</f>
        <v>Attr45</v>
      </c>
      <c r="B48" s="20" t="str">
        <f>IF(ISBLANK('Raw counts'!B49),"",RANK('3'!B110,'3'!$B110:$U110))</f>
        <v/>
      </c>
      <c r="C48" s="20" t="str">
        <f>IF(ISBLANK('Raw counts'!C49),"",RANK('3'!C110,'3'!$B110:$U110))</f>
        <v/>
      </c>
      <c r="D48" s="20" t="str">
        <f>IF(ISBLANK('Raw counts'!D49),"",RANK('3'!D110,'3'!$B110:$U110))</f>
        <v/>
      </c>
      <c r="E48" s="20" t="str">
        <f>IF(ISBLANK('Raw counts'!E49),"",RANK('3'!E110,'3'!$B110:$U110))</f>
        <v/>
      </c>
      <c r="F48" s="20" t="str">
        <f>IF(ISBLANK('Raw counts'!F49),"",RANK('3'!F110,'3'!$B110:$U110))</f>
        <v/>
      </c>
      <c r="G48" s="20" t="str">
        <f>IF(ISBLANK('Raw counts'!G49),"",RANK('3'!G110,'3'!$B110:$U110))</f>
        <v/>
      </c>
      <c r="H48" s="20" t="str">
        <f>IF(ISBLANK('Raw counts'!H49),"",RANK('3'!H110,'3'!$B110:$U110))</f>
        <v/>
      </c>
      <c r="I48" s="20" t="str">
        <f>IF(ISBLANK('Raw counts'!I49),"",RANK('3'!I110,'3'!$B110:$U110))</f>
        <v/>
      </c>
      <c r="J48" s="20" t="str">
        <f>IF(ISBLANK('Raw counts'!J49),"",RANK('3'!J110,'3'!$B110:$U110))</f>
        <v/>
      </c>
      <c r="K48" s="20" t="str">
        <f>IF(ISBLANK('Raw counts'!K49),"",RANK('3'!K110,'3'!$B110:$U110))</f>
        <v/>
      </c>
      <c r="L48" s="20" t="str">
        <f>IF(ISBLANK('Raw counts'!L49),"",RANK('3'!L110,'3'!$B110:$U110))</f>
        <v/>
      </c>
      <c r="M48" s="20" t="str">
        <f>IF(ISBLANK('Raw counts'!M49),"",RANK('3'!M110,'3'!$B110:$U110))</f>
        <v/>
      </c>
      <c r="N48" s="20" t="str">
        <f>IF(ISBLANK('Raw counts'!N49),"",RANK('3'!N110,'3'!$B110:$U110))</f>
        <v/>
      </c>
      <c r="O48" s="20" t="str">
        <f>IF(ISBLANK('Raw counts'!O49),"",RANK('3'!O110,'3'!$B110:$U110))</f>
        <v/>
      </c>
      <c r="P48" s="20" t="str">
        <f>IF(ISBLANK('Raw counts'!P49),"",RANK('3'!P110,'3'!$B110:$U110))</f>
        <v/>
      </c>
      <c r="Q48" s="20" t="str">
        <f>IF(ISBLANK('Raw counts'!Q49),"",RANK('3'!Q110,'3'!$B110:$U110))</f>
        <v/>
      </c>
      <c r="R48" s="20" t="str">
        <f>IF(ISBLANK('Raw counts'!R49),"",RANK('3'!R110,'3'!$B110:$U110))</f>
        <v/>
      </c>
      <c r="S48" s="20" t="str">
        <f>IF(ISBLANK('Raw counts'!S49),"",RANK('3'!S110,'3'!$B110:$U110))</f>
        <v/>
      </c>
      <c r="T48" s="20" t="str">
        <f>IF(ISBLANK('Raw counts'!T49),"",RANK('3'!T110,'3'!$B110:$U110))</f>
        <v/>
      </c>
      <c r="U48" s="20" t="str">
        <f>IF(ISBLANK('Raw counts'!U49),"",RANK('3'!U110,'3'!$B110:$U110))</f>
        <v/>
      </c>
    </row>
    <row r="49" spans="1:21" x14ac:dyDescent="0.15">
      <c r="A49" s="18" t="str">
        <f>IF(ISBLANK('Raw counts'!A50),"",'Raw counts'!A50)</f>
        <v>Attr46</v>
      </c>
      <c r="B49" s="20" t="str">
        <f>IF(ISBLANK('Raw counts'!B50),"",RANK('3'!B111,'3'!$B111:$U111))</f>
        <v/>
      </c>
      <c r="C49" s="20" t="str">
        <f>IF(ISBLANK('Raw counts'!C50),"",RANK('3'!C111,'3'!$B111:$U111))</f>
        <v/>
      </c>
      <c r="D49" s="20" t="str">
        <f>IF(ISBLANK('Raw counts'!D50),"",RANK('3'!D111,'3'!$B111:$U111))</f>
        <v/>
      </c>
      <c r="E49" s="20" t="str">
        <f>IF(ISBLANK('Raw counts'!E50),"",RANK('3'!E111,'3'!$B111:$U111))</f>
        <v/>
      </c>
      <c r="F49" s="20" t="str">
        <f>IF(ISBLANK('Raw counts'!F50),"",RANK('3'!F111,'3'!$B111:$U111))</f>
        <v/>
      </c>
      <c r="G49" s="20" t="str">
        <f>IF(ISBLANK('Raw counts'!G50),"",RANK('3'!G111,'3'!$B111:$U111))</f>
        <v/>
      </c>
      <c r="H49" s="20" t="str">
        <f>IF(ISBLANK('Raw counts'!H50),"",RANK('3'!H111,'3'!$B111:$U111))</f>
        <v/>
      </c>
      <c r="I49" s="20" t="str">
        <f>IF(ISBLANK('Raw counts'!I50),"",RANK('3'!I111,'3'!$B111:$U111))</f>
        <v/>
      </c>
      <c r="J49" s="20" t="str">
        <f>IF(ISBLANK('Raw counts'!J50),"",RANK('3'!J111,'3'!$B111:$U111))</f>
        <v/>
      </c>
      <c r="K49" s="20" t="str">
        <f>IF(ISBLANK('Raw counts'!K50),"",RANK('3'!K111,'3'!$B111:$U111))</f>
        <v/>
      </c>
      <c r="L49" s="20" t="str">
        <f>IF(ISBLANK('Raw counts'!L50),"",RANK('3'!L111,'3'!$B111:$U111))</f>
        <v/>
      </c>
      <c r="M49" s="20" t="str">
        <f>IF(ISBLANK('Raw counts'!M50),"",RANK('3'!M111,'3'!$B111:$U111))</f>
        <v/>
      </c>
      <c r="N49" s="20" t="str">
        <f>IF(ISBLANK('Raw counts'!N50),"",RANK('3'!N111,'3'!$B111:$U111))</f>
        <v/>
      </c>
      <c r="O49" s="20" t="str">
        <f>IF(ISBLANK('Raw counts'!O50),"",RANK('3'!O111,'3'!$B111:$U111))</f>
        <v/>
      </c>
      <c r="P49" s="20" t="str">
        <f>IF(ISBLANK('Raw counts'!P50),"",RANK('3'!P111,'3'!$B111:$U111))</f>
        <v/>
      </c>
      <c r="Q49" s="20" t="str">
        <f>IF(ISBLANK('Raw counts'!Q50),"",RANK('3'!Q111,'3'!$B111:$U111))</f>
        <v/>
      </c>
      <c r="R49" s="20" t="str">
        <f>IF(ISBLANK('Raw counts'!R50),"",RANK('3'!R111,'3'!$B111:$U111))</f>
        <v/>
      </c>
      <c r="S49" s="20" t="str">
        <f>IF(ISBLANK('Raw counts'!S50),"",RANK('3'!S111,'3'!$B111:$U111))</f>
        <v/>
      </c>
      <c r="T49" s="20" t="str">
        <f>IF(ISBLANK('Raw counts'!T50),"",RANK('3'!T111,'3'!$B111:$U111))</f>
        <v/>
      </c>
      <c r="U49" s="20" t="str">
        <f>IF(ISBLANK('Raw counts'!U50),"",RANK('3'!U111,'3'!$B111:$U111))</f>
        <v/>
      </c>
    </row>
    <row r="50" spans="1:21" x14ac:dyDescent="0.15">
      <c r="A50" s="18" t="str">
        <f>IF(ISBLANK('Raw counts'!A51),"",'Raw counts'!A51)</f>
        <v>Attr47</v>
      </c>
      <c r="B50" s="20" t="str">
        <f>IF(ISBLANK('Raw counts'!B51),"",RANK('3'!B112,'3'!$B112:$U112))</f>
        <v/>
      </c>
      <c r="C50" s="20" t="str">
        <f>IF(ISBLANK('Raw counts'!C51),"",RANK('3'!C112,'3'!$B112:$U112))</f>
        <v/>
      </c>
      <c r="D50" s="20" t="str">
        <f>IF(ISBLANK('Raw counts'!D51),"",RANK('3'!D112,'3'!$B112:$U112))</f>
        <v/>
      </c>
      <c r="E50" s="20" t="str">
        <f>IF(ISBLANK('Raw counts'!E51),"",RANK('3'!E112,'3'!$B112:$U112))</f>
        <v/>
      </c>
      <c r="F50" s="20" t="str">
        <f>IF(ISBLANK('Raw counts'!F51),"",RANK('3'!F112,'3'!$B112:$U112))</f>
        <v/>
      </c>
      <c r="G50" s="20" t="str">
        <f>IF(ISBLANK('Raw counts'!G51),"",RANK('3'!G112,'3'!$B112:$U112))</f>
        <v/>
      </c>
      <c r="H50" s="20" t="str">
        <f>IF(ISBLANK('Raw counts'!H51),"",RANK('3'!H112,'3'!$B112:$U112))</f>
        <v/>
      </c>
      <c r="I50" s="20" t="str">
        <f>IF(ISBLANK('Raw counts'!I51),"",RANK('3'!I112,'3'!$B112:$U112))</f>
        <v/>
      </c>
      <c r="J50" s="20" t="str">
        <f>IF(ISBLANK('Raw counts'!J51),"",RANK('3'!J112,'3'!$B112:$U112))</f>
        <v/>
      </c>
      <c r="K50" s="20" t="str">
        <f>IF(ISBLANK('Raw counts'!K51),"",RANK('3'!K112,'3'!$B112:$U112))</f>
        <v/>
      </c>
      <c r="L50" s="20" t="str">
        <f>IF(ISBLANK('Raw counts'!L51),"",RANK('3'!L112,'3'!$B112:$U112))</f>
        <v/>
      </c>
      <c r="M50" s="20" t="str">
        <f>IF(ISBLANK('Raw counts'!M51),"",RANK('3'!M112,'3'!$B112:$U112))</f>
        <v/>
      </c>
      <c r="N50" s="20" t="str">
        <f>IF(ISBLANK('Raw counts'!N51),"",RANK('3'!N112,'3'!$B112:$U112))</f>
        <v/>
      </c>
      <c r="O50" s="20" t="str">
        <f>IF(ISBLANK('Raw counts'!O51),"",RANK('3'!O112,'3'!$B112:$U112))</f>
        <v/>
      </c>
      <c r="P50" s="20" t="str">
        <f>IF(ISBLANK('Raw counts'!P51),"",RANK('3'!P112,'3'!$B112:$U112))</f>
        <v/>
      </c>
      <c r="Q50" s="20" t="str">
        <f>IF(ISBLANK('Raw counts'!Q51),"",RANK('3'!Q112,'3'!$B112:$U112))</f>
        <v/>
      </c>
      <c r="R50" s="20" t="str">
        <f>IF(ISBLANK('Raw counts'!R51),"",RANK('3'!R112,'3'!$B112:$U112))</f>
        <v/>
      </c>
      <c r="S50" s="20" t="str">
        <f>IF(ISBLANK('Raw counts'!S51),"",RANK('3'!S112,'3'!$B112:$U112))</f>
        <v/>
      </c>
      <c r="T50" s="20" t="str">
        <f>IF(ISBLANK('Raw counts'!T51),"",RANK('3'!T112,'3'!$B112:$U112))</f>
        <v/>
      </c>
      <c r="U50" s="20" t="str">
        <f>IF(ISBLANK('Raw counts'!U51),"",RANK('3'!U112,'3'!$B112:$U112))</f>
        <v/>
      </c>
    </row>
    <row r="51" spans="1:21" x14ac:dyDescent="0.15">
      <c r="A51" s="18" t="str">
        <f>IF(ISBLANK('Raw counts'!A52),"",'Raw counts'!A52)</f>
        <v>Attr48</v>
      </c>
      <c r="B51" s="20" t="str">
        <f>IF(ISBLANK('Raw counts'!B52),"",RANK('3'!B113,'3'!$B113:$U113))</f>
        <v/>
      </c>
      <c r="C51" s="20" t="str">
        <f>IF(ISBLANK('Raw counts'!C52),"",RANK('3'!C113,'3'!$B113:$U113))</f>
        <v/>
      </c>
      <c r="D51" s="20" t="str">
        <f>IF(ISBLANK('Raw counts'!D52),"",RANK('3'!D113,'3'!$B113:$U113))</f>
        <v/>
      </c>
      <c r="E51" s="20" t="str">
        <f>IF(ISBLANK('Raw counts'!E52),"",RANK('3'!E113,'3'!$B113:$U113))</f>
        <v/>
      </c>
      <c r="F51" s="20" t="str">
        <f>IF(ISBLANK('Raw counts'!F52),"",RANK('3'!F113,'3'!$B113:$U113))</f>
        <v/>
      </c>
      <c r="G51" s="20" t="str">
        <f>IF(ISBLANK('Raw counts'!G52),"",RANK('3'!G113,'3'!$B113:$U113))</f>
        <v/>
      </c>
      <c r="H51" s="20" t="str">
        <f>IF(ISBLANK('Raw counts'!H52),"",RANK('3'!H113,'3'!$B113:$U113))</f>
        <v/>
      </c>
      <c r="I51" s="20" t="str">
        <f>IF(ISBLANK('Raw counts'!I52),"",RANK('3'!I113,'3'!$B113:$U113))</f>
        <v/>
      </c>
      <c r="J51" s="20" t="str">
        <f>IF(ISBLANK('Raw counts'!J52),"",RANK('3'!J113,'3'!$B113:$U113))</f>
        <v/>
      </c>
      <c r="K51" s="20" t="str">
        <f>IF(ISBLANK('Raw counts'!K52),"",RANK('3'!K113,'3'!$B113:$U113))</f>
        <v/>
      </c>
      <c r="L51" s="20" t="str">
        <f>IF(ISBLANK('Raw counts'!L52),"",RANK('3'!L113,'3'!$B113:$U113))</f>
        <v/>
      </c>
      <c r="M51" s="20" t="str">
        <f>IF(ISBLANK('Raw counts'!M52),"",RANK('3'!M113,'3'!$B113:$U113))</f>
        <v/>
      </c>
      <c r="N51" s="20" t="str">
        <f>IF(ISBLANK('Raw counts'!N52),"",RANK('3'!N113,'3'!$B113:$U113))</f>
        <v/>
      </c>
      <c r="O51" s="20" t="str">
        <f>IF(ISBLANK('Raw counts'!O52),"",RANK('3'!O113,'3'!$B113:$U113))</f>
        <v/>
      </c>
      <c r="P51" s="20" t="str">
        <f>IF(ISBLANK('Raw counts'!P52),"",RANK('3'!P113,'3'!$B113:$U113))</f>
        <v/>
      </c>
      <c r="Q51" s="20" t="str">
        <f>IF(ISBLANK('Raw counts'!Q52),"",RANK('3'!Q113,'3'!$B113:$U113))</f>
        <v/>
      </c>
      <c r="R51" s="20" t="str">
        <f>IF(ISBLANK('Raw counts'!R52),"",RANK('3'!R113,'3'!$B113:$U113))</f>
        <v/>
      </c>
      <c r="S51" s="20" t="str">
        <f>IF(ISBLANK('Raw counts'!S52),"",RANK('3'!S113,'3'!$B113:$U113))</f>
        <v/>
      </c>
      <c r="T51" s="20" t="str">
        <f>IF(ISBLANK('Raw counts'!T52),"",RANK('3'!T113,'3'!$B113:$U113))</f>
        <v/>
      </c>
      <c r="U51" s="20" t="str">
        <f>IF(ISBLANK('Raw counts'!U52),"",RANK('3'!U113,'3'!$B113:$U113))</f>
        <v/>
      </c>
    </row>
    <row r="52" spans="1:21" x14ac:dyDescent="0.15">
      <c r="A52" s="18" t="str">
        <f>IF(ISBLANK('Raw counts'!A53),"",'Raw counts'!A53)</f>
        <v>Attr49</v>
      </c>
      <c r="B52" s="20" t="str">
        <f>IF(ISBLANK('Raw counts'!B53),"",RANK('3'!B114,'3'!$B114:$U114))</f>
        <v/>
      </c>
      <c r="C52" s="20" t="str">
        <f>IF(ISBLANK('Raw counts'!C53),"",RANK('3'!C114,'3'!$B114:$U114))</f>
        <v/>
      </c>
      <c r="D52" s="20" t="str">
        <f>IF(ISBLANK('Raw counts'!D53),"",RANK('3'!D114,'3'!$B114:$U114))</f>
        <v/>
      </c>
      <c r="E52" s="20" t="str">
        <f>IF(ISBLANK('Raw counts'!E53),"",RANK('3'!E114,'3'!$B114:$U114))</f>
        <v/>
      </c>
      <c r="F52" s="20" t="str">
        <f>IF(ISBLANK('Raw counts'!F53),"",RANK('3'!F114,'3'!$B114:$U114))</f>
        <v/>
      </c>
      <c r="G52" s="20" t="str">
        <f>IF(ISBLANK('Raw counts'!G53),"",RANK('3'!G114,'3'!$B114:$U114))</f>
        <v/>
      </c>
      <c r="H52" s="20" t="str">
        <f>IF(ISBLANK('Raw counts'!H53),"",RANK('3'!H114,'3'!$B114:$U114))</f>
        <v/>
      </c>
      <c r="I52" s="20" t="str">
        <f>IF(ISBLANK('Raw counts'!I53),"",RANK('3'!I114,'3'!$B114:$U114))</f>
        <v/>
      </c>
      <c r="J52" s="20" t="str">
        <f>IF(ISBLANK('Raw counts'!J53),"",RANK('3'!J114,'3'!$B114:$U114))</f>
        <v/>
      </c>
      <c r="K52" s="20" t="str">
        <f>IF(ISBLANK('Raw counts'!K53),"",RANK('3'!K114,'3'!$B114:$U114))</f>
        <v/>
      </c>
      <c r="L52" s="20" t="str">
        <f>IF(ISBLANK('Raw counts'!L53),"",RANK('3'!L114,'3'!$B114:$U114))</f>
        <v/>
      </c>
      <c r="M52" s="20" t="str">
        <f>IF(ISBLANK('Raw counts'!M53),"",RANK('3'!M114,'3'!$B114:$U114))</f>
        <v/>
      </c>
      <c r="N52" s="20" t="str">
        <f>IF(ISBLANK('Raw counts'!N53),"",RANK('3'!N114,'3'!$B114:$U114))</f>
        <v/>
      </c>
      <c r="O52" s="20" t="str">
        <f>IF(ISBLANK('Raw counts'!O53),"",RANK('3'!O114,'3'!$B114:$U114))</f>
        <v/>
      </c>
      <c r="P52" s="20" t="str">
        <f>IF(ISBLANK('Raw counts'!P53),"",RANK('3'!P114,'3'!$B114:$U114))</f>
        <v/>
      </c>
      <c r="Q52" s="20" t="str">
        <f>IF(ISBLANK('Raw counts'!Q53),"",RANK('3'!Q114,'3'!$B114:$U114))</f>
        <v/>
      </c>
      <c r="R52" s="20" t="str">
        <f>IF(ISBLANK('Raw counts'!R53),"",RANK('3'!R114,'3'!$B114:$U114))</f>
        <v/>
      </c>
      <c r="S52" s="20" t="str">
        <f>IF(ISBLANK('Raw counts'!S53),"",RANK('3'!S114,'3'!$B114:$U114))</f>
        <v/>
      </c>
      <c r="T52" s="20" t="str">
        <f>IF(ISBLANK('Raw counts'!T53),"",RANK('3'!T114,'3'!$B114:$U114))</f>
        <v/>
      </c>
      <c r="U52" s="20" t="str">
        <f>IF(ISBLANK('Raw counts'!U53),"",RANK('3'!U114,'3'!$B114:$U114))</f>
        <v/>
      </c>
    </row>
    <row r="53" spans="1:21" x14ac:dyDescent="0.15">
      <c r="A53" s="18" t="str">
        <f>IF(ISBLANK('Raw counts'!A54),"",'Raw counts'!A54)</f>
        <v>Attr50</v>
      </c>
      <c r="B53" s="20" t="str">
        <f>IF(ISBLANK('Raw counts'!B54),"",RANK('3'!B115,'3'!$B115:$U115))</f>
        <v/>
      </c>
      <c r="C53" s="20" t="str">
        <f>IF(ISBLANK('Raw counts'!C54),"",RANK('3'!C115,'3'!$B115:$U115))</f>
        <v/>
      </c>
      <c r="D53" s="20" t="str">
        <f>IF(ISBLANK('Raw counts'!D54),"",RANK('3'!D115,'3'!$B115:$U115))</f>
        <v/>
      </c>
      <c r="E53" s="20" t="str">
        <f>IF(ISBLANK('Raw counts'!E54),"",RANK('3'!E115,'3'!$B115:$U115))</f>
        <v/>
      </c>
      <c r="F53" s="20" t="str">
        <f>IF(ISBLANK('Raw counts'!F54),"",RANK('3'!F115,'3'!$B115:$U115))</f>
        <v/>
      </c>
      <c r="G53" s="20" t="str">
        <f>IF(ISBLANK('Raw counts'!G54),"",RANK('3'!G115,'3'!$B115:$U115))</f>
        <v/>
      </c>
      <c r="H53" s="20" t="str">
        <f>IF(ISBLANK('Raw counts'!H54),"",RANK('3'!H115,'3'!$B115:$U115))</f>
        <v/>
      </c>
      <c r="I53" s="20" t="str">
        <f>IF(ISBLANK('Raw counts'!I54),"",RANK('3'!I115,'3'!$B115:$U115))</f>
        <v/>
      </c>
      <c r="J53" s="20" t="str">
        <f>IF(ISBLANK('Raw counts'!J54),"",RANK('3'!J115,'3'!$B115:$U115))</f>
        <v/>
      </c>
      <c r="K53" s="20" t="str">
        <f>IF(ISBLANK('Raw counts'!K54),"",RANK('3'!K115,'3'!$B115:$U115))</f>
        <v/>
      </c>
      <c r="L53" s="20" t="str">
        <f>IF(ISBLANK('Raw counts'!L54),"",RANK('3'!L115,'3'!$B115:$U115))</f>
        <v/>
      </c>
      <c r="M53" s="20" t="str">
        <f>IF(ISBLANK('Raw counts'!M54),"",RANK('3'!M115,'3'!$B115:$U115))</f>
        <v/>
      </c>
      <c r="N53" s="20" t="str">
        <f>IF(ISBLANK('Raw counts'!N54),"",RANK('3'!N115,'3'!$B115:$U115))</f>
        <v/>
      </c>
      <c r="O53" s="20" t="str">
        <f>IF(ISBLANK('Raw counts'!O54),"",RANK('3'!O115,'3'!$B115:$U115))</f>
        <v/>
      </c>
      <c r="P53" s="20" t="str">
        <f>IF(ISBLANK('Raw counts'!P54),"",RANK('3'!P115,'3'!$B115:$U115))</f>
        <v/>
      </c>
      <c r="Q53" s="20" t="str">
        <f>IF(ISBLANK('Raw counts'!Q54),"",RANK('3'!Q115,'3'!$B115:$U115))</f>
        <v/>
      </c>
      <c r="R53" s="20" t="str">
        <f>IF(ISBLANK('Raw counts'!R54),"",RANK('3'!R115,'3'!$B115:$U115))</f>
        <v/>
      </c>
      <c r="S53" s="20" t="str">
        <f>IF(ISBLANK('Raw counts'!S54),"",RANK('3'!S115,'3'!$B115:$U115))</f>
        <v/>
      </c>
      <c r="T53" s="20" t="str">
        <f>IF(ISBLANK('Raw counts'!T54),"",RANK('3'!T115,'3'!$B115:$U115))</f>
        <v/>
      </c>
      <c r="U53" s="20" t="str">
        <f>IF(ISBLANK('Raw counts'!U54),"",RANK('3'!U115,'3'!$B115:$U115))</f>
        <v/>
      </c>
    </row>
    <row r="54" spans="1:21" x14ac:dyDescent="0.15">
      <c r="A54" s="18" t="str">
        <f>IF(ISBLANK('Raw counts'!A55),"",'Raw counts'!A55)</f>
        <v>Attr51</v>
      </c>
      <c r="B54" s="20" t="str">
        <f>IF(ISBLANK('Raw counts'!B55),"",RANK('3'!B116,'3'!$B116:$U116))</f>
        <v/>
      </c>
      <c r="C54" s="20" t="str">
        <f>IF(ISBLANK('Raw counts'!C55),"",RANK('3'!C116,'3'!$B116:$U116))</f>
        <v/>
      </c>
      <c r="D54" s="20" t="str">
        <f>IF(ISBLANK('Raw counts'!D55),"",RANK('3'!D116,'3'!$B116:$U116))</f>
        <v/>
      </c>
      <c r="E54" s="20" t="str">
        <f>IF(ISBLANK('Raw counts'!E55),"",RANK('3'!E116,'3'!$B116:$U116))</f>
        <v/>
      </c>
      <c r="F54" s="20" t="str">
        <f>IF(ISBLANK('Raw counts'!F55),"",RANK('3'!F116,'3'!$B116:$U116))</f>
        <v/>
      </c>
      <c r="G54" s="20" t="str">
        <f>IF(ISBLANK('Raw counts'!G55),"",RANK('3'!G116,'3'!$B116:$U116))</f>
        <v/>
      </c>
      <c r="H54" s="20" t="str">
        <f>IF(ISBLANK('Raw counts'!H55),"",RANK('3'!H116,'3'!$B116:$U116))</f>
        <v/>
      </c>
      <c r="I54" s="20" t="str">
        <f>IF(ISBLANK('Raw counts'!I55),"",RANK('3'!I116,'3'!$B116:$U116))</f>
        <v/>
      </c>
      <c r="J54" s="20" t="str">
        <f>IF(ISBLANK('Raw counts'!J55),"",RANK('3'!J116,'3'!$B116:$U116))</f>
        <v/>
      </c>
      <c r="K54" s="20" t="str">
        <f>IF(ISBLANK('Raw counts'!K55),"",RANK('3'!K116,'3'!$B116:$U116))</f>
        <v/>
      </c>
      <c r="L54" s="20" t="str">
        <f>IF(ISBLANK('Raw counts'!L55),"",RANK('3'!L116,'3'!$B116:$U116))</f>
        <v/>
      </c>
      <c r="M54" s="20" t="str">
        <f>IF(ISBLANK('Raw counts'!M55),"",RANK('3'!M116,'3'!$B116:$U116))</f>
        <v/>
      </c>
      <c r="N54" s="20" t="str">
        <f>IF(ISBLANK('Raw counts'!N55),"",RANK('3'!N116,'3'!$B116:$U116))</f>
        <v/>
      </c>
      <c r="O54" s="20" t="str">
        <f>IF(ISBLANK('Raw counts'!O55),"",RANK('3'!O116,'3'!$B116:$U116))</f>
        <v/>
      </c>
      <c r="P54" s="20" t="str">
        <f>IF(ISBLANK('Raw counts'!P55),"",RANK('3'!P116,'3'!$B116:$U116))</f>
        <v/>
      </c>
      <c r="Q54" s="20" t="str">
        <f>IF(ISBLANK('Raw counts'!Q55),"",RANK('3'!Q116,'3'!$B116:$U116))</f>
        <v/>
      </c>
      <c r="R54" s="20" t="str">
        <f>IF(ISBLANK('Raw counts'!R55),"",RANK('3'!R116,'3'!$B116:$U116))</f>
        <v/>
      </c>
      <c r="S54" s="20" t="str">
        <f>IF(ISBLANK('Raw counts'!S55),"",RANK('3'!S116,'3'!$B116:$U116))</f>
        <v/>
      </c>
      <c r="T54" s="20" t="str">
        <f>IF(ISBLANK('Raw counts'!T55),"",RANK('3'!T116,'3'!$B116:$U116))</f>
        <v/>
      </c>
      <c r="U54" s="20" t="str">
        <f>IF(ISBLANK('Raw counts'!U55),"",RANK('3'!U116,'3'!$B116:$U116))</f>
        <v/>
      </c>
    </row>
    <row r="55" spans="1:21" x14ac:dyDescent="0.15">
      <c r="A55" s="18" t="str">
        <f>IF(ISBLANK('Raw counts'!A56),"",'Raw counts'!A56)</f>
        <v>Attr52</v>
      </c>
      <c r="B55" s="20" t="str">
        <f>IF(ISBLANK('Raw counts'!B56),"",RANK('3'!B117,'3'!$B117:$U117))</f>
        <v/>
      </c>
      <c r="C55" s="20" t="str">
        <f>IF(ISBLANK('Raw counts'!C56),"",RANK('3'!C117,'3'!$B117:$U117))</f>
        <v/>
      </c>
      <c r="D55" s="20" t="str">
        <f>IF(ISBLANK('Raw counts'!D56),"",RANK('3'!D117,'3'!$B117:$U117))</f>
        <v/>
      </c>
      <c r="E55" s="20" t="str">
        <f>IF(ISBLANK('Raw counts'!E56),"",RANK('3'!E117,'3'!$B117:$U117))</f>
        <v/>
      </c>
      <c r="F55" s="20" t="str">
        <f>IF(ISBLANK('Raw counts'!F56),"",RANK('3'!F117,'3'!$B117:$U117))</f>
        <v/>
      </c>
      <c r="G55" s="20" t="str">
        <f>IF(ISBLANK('Raw counts'!G56),"",RANK('3'!G117,'3'!$B117:$U117))</f>
        <v/>
      </c>
      <c r="H55" s="20" t="str">
        <f>IF(ISBLANK('Raw counts'!H56),"",RANK('3'!H117,'3'!$B117:$U117))</f>
        <v/>
      </c>
      <c r="I55" s="20" t="str">
        <f>IF(ISBLANK('Raw counts'!I56),"",RANK('3'!I117,'3'!$B117:$U117))</f>
        <v/>
      </c>
      <c r="J55" s="20" t="str">
        <f>IF(ISBLANK('Raw counts'!J56),"",RANK('3'!J117,'3'!$B117:$U117))</f>
        <v/>
      </c>
      <c r="K55" s="20" t="str">
        <f>IF(ISBLANK('Raw counts'!K56),"",RANK('3'!K117,'3'!$B117:$U117))</f>
        <v/>
      </c>
      <c r="L55" s="20" t="str">
        <f>IF(ISBLANK('Raw counts'!L56),"",RANK('3'!L117,'3'!$B117:$U117))</f>
        <v/>
      </c>
      <c r="M55" s="20" t="str">
        <f>IF(ISBLANK('Raw counts'!M56),"",RANK('3'!M117,'3'!$B117:$U117))</f>
        <v/>
      </c>
      <c r="N55" s="20" t="str">
        <f>IF(ISBLANK('Raw counts'!N56),"",RANK('3'!N117,'3'!$B117:$U117))</f>
        <v/>
      </c>
      <c r="O55" s="20" t="str">
        <f>IF(ISBLANK('Raw counts'!O56),"",RANK('3'!O117,'3'!$B117:$U117))</f>
        <v/>
      </c>
      <c r="P55" s="20" t="str">
        <f>IF(ISBLANK('Raw counts'!P56),"",RANK('3'!P117,'3'!$B117:$U117))</f>
        <v/>
      </c>
      <c r="Q55" s="20" t="str">
        <f>IF(ISBLANK('Raw counts'!Q56),"",RANK('3'!Q117,'3'!$B117:$U117))</f>
        <v/>
      </c>
      <c r="R55" s="20" t="str">
        <f>IF(ISBLANK('Raw counts'!R56),"",RANK('3'!R117,'3'!$B117:$U117))</f>
        <v/>
      </c>
      <c r="S55" s="20" t="str">
        <f>IF(ISBLANK('Raw counts'!S56),"",RANK('3'!S117,'3'!$B117:$U117))</f>
        <v/>
      </c>
      <c r="T55" s="20" t="str">
        <f>IF(ISBLANK('Raw counts'!T56),"",RANK('3'!T117,'3'!$B117:$U117))</f>
        <v/>
      </c>
      <c r="U55" s="20" t="str">
        <f>IF(ISBLANK('Raw counts'!U56),"",RANK('3'!U117,'3'!$B117:$U117))</f>
        <v/>
      </c>
    </row>
    <row r="56" spans="1:21" x14ac:dyDescent="0.15">
      <c r="A56" s="18" t="str">
        <f>IF(ISBLANK('Raw counts'!A57),"",'Raw counts'!A57)</f>
        <v>Attr53</v>
      </c>
      <c r="B56" s="20" t="str">
        <f>IF(ISBLANK('Raw counts'!B57),"",RANK('3'!B118,'3'!$B118:$U118))</f>
        <v/>
      </c>
      <c r="C56" s="20" t="str">
        <f>IF(ISBLANK('Raw counts'!C57),"",RANK('3'!C118,'3'!$B118:$U118))</f>
        <v/>
      </c>
      <c r="D56" s="20" t="str">
        <f>IF(ISBLANK('Raw counts'!D57),"",RANK('3'!D118,'3'!$B118:$U118))</f>
        <v/>
      </c>
      <c r="E56" s="20" t="str">
        <f>IF(ISBLANK('Raw counts'!E57),"",RANK('3'!E118,'3'!$B118:$U118))</f>
        <v/>
      </c>
      <c r="F56" s="20" t="str">
        <f>IF(ISBLANK('Raw counts'!F57),"",RANK('3'!F118,'3'!$B118:$U118))</f>
        <v/>
      </c>
      <c r="G56" s="20" t="str">
        <f>IF(ISBLANK('Raw counts'!G57),"",RANK('3'!G118,'3'!$B118:$U118))</f>
        <v/>
      </c>
      <c r="H56" s="20" t="str">
        <f>IF(ISBLANK('Raw counts'!H57),"",RANK('3'!H118,'3'!$B118:$U118))</f>
        <v/>
      </c>
      <c r="I56" s="20" t="str">
        <f>IF(ISBLANK('Raw counts'!I57),"",RANK('3'!I118,'3'!$B118:$U118))</f>
        <v/>
      </c>
      <c r="J56" s="20" t="str">
        <f>IF(ISBLANK('Raw counts'!J57),"",RANK('3'!J118,'3'!$B118:$U118))</f>
        <v/>
      </c>
      <c r="K56" s="20" t="str">
        <f>IF(ISBLANK('Raw counts'!K57),"",RANK('3'!K118,'3'!$B118:$U118))</f>
        <v/>
      </c>
      <c r="L56" s="20" t="str">
        <f>IF(ISBLANK('Raw counts'!L57),"",RANK('3'!L118,'3'!$B118:$U118))</f>
        <v/>
      </c>
      <c r="M56" s="20" t="str">
        <f>IF(ISBLANK('Raw counts'!M57),"",RANK('3'!M118,'3'!$B118:$U118))</f>
        <v/>
      </c>
      <c r="N56" s="20" t="str">
        <f>IF(ISBLANK('Raw counts'!N57),"",RANK('3'!N118,'3'!$B118:$U118))</f>
        <v/>
      </c>
      <c r="O56" s="20" t="str">
        <f>IF(ISBLANK('Raw counts'!O57),"",RANK('3'!O118,'3'!$B118:$U118))</f>
        <v/>
      </c>
      <c r="P56" s="20" t="str">
        <f>IF(ISBLANK('Raw counts'!P57),"",RANK('3'!P118,'3'!$B118:$U118))</f>
        <v/>
      </c>
      <c r="Q56" s="20" t="str">
        <f>IF(ISBLANK('Raw counts'!Q57),"",RANK('3'!Q118,'3'!$B118:$U118))</f>
        <v/>
      </c>
      <c r="R56" s="20" t="str">
        <f>IF(ISBLANK('Raw counts'!R57),"",RANK('3'!R118,'3'!$B118:$U118))</f>
        <v/>
      </c>
      <c r="S56" s="20" t="str">
        <f>IF(ISBLANK('Raw counts'!S57),"",RANK('3'!S118,'3'!$B118:$U118))</f>
        <v/>
      </c>
      <c r="T56" s="20" t="str">
        <f>IF(ISBLANK('Raw counts'!T57),"",RANK('3'!T118,'3'!$B118:$U118))</f>
        <v/>
      </c>
      <c r="U56" s="20" t="str">
        <f>IF(ISBLANK('Raw counts'!U57),"",RANK('3'!U118,'3'!$B118:$U118))</f>
        <v/>
      </c>
    </row>
    <row r="57" spans="1:21" x14ac:dyDescent="0.15">
      <c r="A57" s="18" t="str">
        <f>IF(ISBLANK('Raw counts'!A58),"",'Raw counts'!A58)</f>
        <v>Attr54</v>
      </c>
      <c r="B57" s="20" t="str">
        <f>IF(ISBLANK('Raw counts'!B58),"",RANK('3'!B119,'3'!$B119:$U119))</f>
        <v/>
      </c>
      <c r="C57" s="20" t="str">
        <f>IF(ISBLANK('Raw counts'!C58),"",RANK('3'!C119,'3'!$B119:$U119))</f>
        <v/>
      </c>
      <c r="D57" s="20" t="str">
        <f>IF(ISBLANK('Raw counts'!D58),"",RANK('3'!D119,'3'!$B119:$U119))</f>
        <v/>
      </c>
      <c r="E57" s="20" t="str">
        <f>IF(ISBLANK('Raw counts'!E58),"",RANK('3'!E119,'3'!$B119:$U119))</f>
        <v/>
      </c>
      <c r="F57" s="20" t="str">
        <f>IF(ISBLANK('Raw counts'!F58),"",RANK('3'!F119,'3'!$B119:$U119))</f>
        <v/>
      </c>
      <c r="G57" s="20" t="str">
        <f>IF(ISBLANK('Raw counts'!G58),"",RANK('3'!G119,'3'!$B119:$U119))</f>
        <v/>
      </c>
      <c r="H57" s="20" t="str">
        <f>IF(ISBLANK('Raw counts'!H58),"",RANK('3'!H119,'3'!$B119:$U119))</f>
        <v/>
      </c>
      <c r="I57" s="20" t="str">
        <f>IF(ISBLANK('Raw counts'!I58),"",RANK('3'!I119,'3'!$B119:$U119))</f>
        <v/>
      </c>
      <c r="J57" s="20" t="str">
        <f>IF(ISBLANK('Raw counts'!J58),"",RANK('3'!J119,'3'!$B119:$U119))</f>
        <v/>
      </c>
      <c r="K57" s="20" t="str">
        <f>IF(ISBLANK('Raw counts'!K58),"",RANK('3'!K119,'3'!$B119:$U119))</f>
        <v/>
      </c>
      <c r="L57" s="20" t="str">
        <f>IF(ISBLANK('Raw counts'!L58),"",RANK('3'!L119,'3'!$B119:$U119))</f>
        <v/>
      </c>
      <c r="M57" s="20" t="str">
        <f>IF(ISBLANK('Raw counts'!M58),"",RANK('3'!M119,'3'!$B119:$U119))</f>
        <v/>
      </c>
      <c r="N57" s="20" t="str">
        <f>IF(ISBLANK('Raw counts'!N58),"",RANK('3'!N119,'3'!$B119:$U119))</f>
        <v/>
      </c>
      <c r="O57" s="20" t="str">
        <f>IF(ISBLANK('Raw counts'!O58),"",RANK('3'!O119,'3'!$B119:$U119))</f>
        <v/>
      </c>
      <c r="P57" s="20" t="str">
        <f>IF(ISBLANK('Raw counts'!P58),"",RANK('3'!P119,'3'!$B119:$U119))</f>
        <v/>
      </c>
      <c r="Q57" s="20" t="str">
        <f>IF(ISBLANK('Raw counts'!Q58),"",RANK('3'!Q119,'3'!$B119:$U119))</f>
        <v/>
      </c>
      <c r="R57" s="20" t="str">
        <f>IF(ISBLANK('Raw counts'!R58),"",RANK('3'!R119,'3'!$B119:$U119))</f>
        <v/>
      </c>
      <c r="S57" s="20" t="str">
        <f>IF(ISBLANK('Raw counts'!S58),"",RANK('3'!S119,'3'!$B119:$U119))</f>
        <v/>
      </c>
      <c r="T57" s="20" t="str">
        <f>IF(ISBLANK('Raw counts'!T58),"",RANK('3'!T119,'3'!$B119:$U119))</f>
        <v/>
      </c>
      <c r="U57" s="20" t="str">
        <f>IF(ISBLANK('Raw counts'!U58),"",RANK('3'!U119,'3'!$B119:$U119))</f>
        <v/>
      </c>
    </row>
    <row r="58" spans="1:21" x14ac:dyDescent="0.15">
      <c r="A58" s="18" t="str">
        <f>IF(ISBLANK('Raw counts'!A59),"",'Raw counts'!A59)</f>
        <v>Attr55</v>
      </c>
      <c r="B58" s="20" t="str">
        <f>IF(ISBLANK('Raw counts'!B59),"",RANK('3'!B120,'3'!$B120:$U120))</f>
        <v/>
      </c>
      <c r="C58" s="20" t="str">
        <f>IF(ISBLANK('Raw counts'!C59),"",RANK('3'!C120,'3'!$B120:$U120))</f>
        <v/>
      </c>
      <c r="D58" s="20" t="str">
        <f>IF(ISBLANK('Raw counts'!D59),"",RANK('3'!D120,'3'!$B120:$U120))</f>
        <v/>
      </c>
      <c r="E58" s="20" t="str">
        <f>IF(ISBLANK('Raw counts'!E59),"",RANK('3'!E120,'3'!$B120:$U120))</f>
        <v/>
      </c>
      <c r="F58" s="20" t="str">
        <f>IF(ISBLANK('Raw counts'!F59),"",RANK('3'!F120,'3'!$B120:$U120))</f>
        <v/>
      </c>
      <c r="G58" s="20" t="str">
        <f>IF(ISBLANK('Raw counts'!G59),"",RANK('3'!G120,'3'!$B120:$U120))</f>
        <v/>
      </c>
      <c r="H58" s="20" t="str">
        <f>IF(ISBLANK('Raw counts'!H59),"",RANK('3'!H120,'3'!$B120:$U120))</f>
        <v/>
      </c>
      <c r="I58" s="20" t="str">
        <f>IF(ISBLANK('Raw counts'!I59),"",RANK('3'!I120,'3'!$B120:$U120))</f>
        <v/>
      </c>
      <c r="J58" s="20" t="str">
        <f>IF(ISBLANK('Raw counts'!J59),"",RANK('3'!J120,'3'!$B120:$U120))</f>
        <v/>
      </c>
      <c r="K58" s="20" t="str">
        <f>IF(ISBLANK('Raw counts'!K59),"",RANK('3'!K120,'3'!$B120:$U120))</f>
        <v/>
      </c>
      <c r="L58" s="20" t="str">
        <f>IF(ISBLANK('Raw counts'!L59),"",RANK('3'!L120,'3'!$B120:$U120))</f>
        <v/>
      </c>
      <c r="M58" s="20" t="str">
        <f>IF(ISBLANK('Raw counts'!M59),"",RANK('3'!M120,'3'!$B120:$U120))</f>
        <v/>
      </c>
      <c r="N58" s="20" t="str">
        <f>IF(ISBLANK('Raw counts'!N59),"",RANK('3'!N120,'3'!$B120:$U120))</f>
        <v/>
      </c>
      <c r="O58" s="20" t="str">
        <f>IF(ISBLANK('Raw counts'!O59),"",RANK('3'!O120,'3'!$B120:$U120))</f>
        <v/>
      </c>
      <c r="P58" s="20" t="str">
        <f>IF(ISBLANK('Raw counts'!P59),"",RANK('3'!P120,'3'!$B120:$U120))</f>
        <v/>
      </c>
      <c r="Q58" s="20" t="str">
        <f>IF(ISBLANK('Raw counts'!Q59),"",RANK('3'!Q120,'3'!$B120:$U120))</f>
        <v/>
      </c>
      <c r="R58" s="20" t="str">
        <f>IF(ISBLANK('Raw counts'!R59),"",RANK('3'!R120,'3'!$B120:$U120))</f>
        <v/>
      </c>
      <c r="S58" s="20" t="str">
        <f>IF(ISBLANK('Raw counts'!S59),"",RANK('3'!S120,'3'!$B120:$U120))</f>
        <v/>
      </c>
      <c r="T58" s="20" t="str">
        <f>IF(ISBLANK('Raw counts'!T59),"",RANK('3'!T120,'3'!$B120:$U120))</f>
        <v/>
      </c>
      <c r="U58" s="20" t="str">
        <f>IF(ISBLANK('Raw counts'!U59),"",RANK('3'!U120,'3'!$B120:$U120))</f>
        <v/>
      </c>
    </row>
    <row r="59" spans="1:21" x14ac:dyDescent="0.15">
      <c r="A59" s="18" t="str">
        <f>IF(ISBLANK('Raw counts'!A60),"",'Raw counts'!A60)</f>
        <v>Attr56</v>
      </c>
      <c r="B59" s="20" t="str">
        <f>IF(ISBLANK('Raw counts'!B60),"",RANK('3'!B121,'3'!$B121:$U121))</f>
        <v/>
      </c>
      <c r="C59" s="20" t="str">
        <f>IF(ISBLANK('Raw counts'!C60),"",RANK('3'!C121,'3'!$B121:$U121))</f>
        <v/>
      </c>
      <c r="D59" s="20" t="str">
        <f>IF(ISBLANK('Raw counts'!D60),"",RANK('3'!D121,'3'!$B121:$U121))</f>
        <v/>
      </c>
      <c r="E59" s="20" t="str">
        <f>IF(ISBLANK('Raw counts'!E60),"",RANK('3'!E121,'3'!$B121:$U121))</f>
        <v/>
      </c>
      <c r="F59" s="20" t="str">
        <f>IF(ISBLANK('Raw counts'!F60),"",RANK('3'!F121,'3'!$B121:$U121))</f>
        <v/>
      </c>
      <c r="G59" s="20" t="str">
        <f>IF(ISBLANK('Raw counts'!G60),"",RANK('3'!G121,'3'!$B121:$U121))</f>
        <v/>
      </c>
      <c r="H59" s="20" t="str">
        <f>IF(ISBLANK('Raw counts'!H60),"",RANK('3'!H121,'3'!$B121:$U121))</f>
        <v/>
      </c>
      <c r="I59" s="20" t="str">
        <f>IF(ISBLANK('Raw counts'!I60),"",RANK('3'!I121,'3'!$B121:$U121))</f>
        <v/>
      </c>
      <c r="J59" s="20" t="str">
        <f>IF(ISBLANK('Raw counts'!J60),"",RANK('3'!J121,'3'!$B121:$U121))</f>
        <v/>
      </c>
      <c r="K59" s="20" t="str">
        <f>IF(ISBLANK('Raw counts'!K60),"",RANK('3'!K121,'3'!$B121:$U121))</f>
        <v/>
      </c>
      <c r="L59" s="20" t="str">
        <f>IF(ISBLANK('Raw counts'!L60),"",RANK('3'!L121,'3'!$B121:$U121))</f>
        <v/>
      </c>
      <c r="M59" s="20" t="str">
        <f>IF(ISBLANK('Raw counts'!M60),"",RANK('3'!M121,'3'!$B121:$U121))</f>
        <v/>
      </c>
      <c r="N59" s="20" t="str">
        <f>IF(ISBLANK('Raw counts'!N60),"",RANK('3'!N121,'3'!$B121:$U121))</f>
        <v/>
      </c>
      <c r="O59" s="20" t="str">
        <f>IF(ISBLANK('Raw counts'!O60),"",RANK('3'!O121,'3'!$B121:$U121))</f>
        <v/>
      </c>
      <c r="P59" s="20" t="str">
        <f>IF(ISBLANK('Raw counts'!P60),"",RANK('3'!P121,'3'!$B121:$U121))</f>
        <v/>
      </c>
      <c r="Q59" s="20" t="str">
        <f>IF(ISBLANK('Raw counts'!Q60),"",RANK('3'!Q121,'3'!$B121:$U121))</f>
        <v/>
      </c>
      <c r="R59" s="20" t="str">
        <f>IF(ISBLANK('Raw counts'!R60),"",RANK('3'!R121,'3'!$B121:$U121))</f>
        <v/>
      </c>
      <c r="S59" s="20" t="str">
        <f>IF(ISBLANK('Raw counts'!S60),"",RANK('3'!S121,'3'!$B121:$U121))</f>
        <v/>
      </c>
      <c r="T59" s="20" t="str">
        <f>IF(ISBLANK('Raw counts'!T60),"",RANK('3'!T121,'3'!$B121:$U121))</f>
        <v/>
      </c>
      <c r="U59" s="20" t="str">
        <f>IF(ISBLANK('Raw counts'!U60),"",RANK('3'!U121,'3'!$B121:$U121))</f>
        <v/>
      </c>
    </row>
    <row r="60" spans="1:21" x14ac:dyDescent="0.15">
      <c r="A60" s="18" t="str">
        <f>IF(ISBLANK('Raw counts'!A61),"",'Raw counts'!A61)</f>
        <v>Attr57</v>
      </c>
      <c r="B60" s="20" t="str">
        <f>IF(ISBLANK('Raw counts'!B61),"",RANK('3'!B122,'3'!$B122:$U122))</f>
        <v/>
      </c>
      <c r="C60" s="20" t="str">
        <f>IF(ISBLANK('Raw counts'!C61),"",RANK('3'!C122,'3'!$B122:$U122))</f>
        <v/>
      </c>
      <c r="D60" s="20" t="str">
        <f>IF(ISBLANK('Raw counts'!D61),"",RANK('3'!D122,'3'!$B122:$U122))</f>
        <v/>
      </c>
      <c r="E60" s="20" t="str">
        <f>IF(ISBLANK('Raw counts'!E61),"",RANK('3'!E122,'3'!$B122:$U122))</f>
        <v/>
      </c>
      <c r="F60" s="20" t="str">
        <f>IF(ISBLANK('Raw counts'!F61),"",RANK('3'!F122,'3'!$B122:$U122))</f>
        <v/>
      </c>
      <c r="G60" s="20" t="str">
        <f>IF(ISBLANK('Raw counts'!G61),"",RANK('3'!G122,'3'!$B122:$U122))</f>
        <v/>
      </c>
      <c r="H60" s="20" t="str">
        <f>IF(ISBLANK('Raw counts'!H61),"",RANK('3'!H122,'3'!$B122:$U122))</f>
        <v/>
      </c>
      <c r="I60" s="20" t="str">
        <f>IF(ISBLANK('Raw counts'!I61),"",RANK('3'!I122,'3'!$B122:$U122))</f>
        <v/>
      </c>
      <c r="J60" s="20" t="str">
        <f>IF(ISBLANK('Raw counts'!J61),"",RANK('3'!J122,'3'!$B122:$U122))</f>
        <v/>
      </c>
      <c r="K60" s="20" t="str">
        <f>IF(ISBLANK('Raw counts'!K61),"",RANK('3'!K122,'3'!$B122:$U122))</f>
        <v/>
      </c>
      <c r="L60" s="20" t="str">
        <f>IF(ISBLANK('Raw counts'!L61),"",RANK('3'!L122,'3'!$B122:$U122))</f>
        <v/>
      </c>
      <c r="M60" s="20" t="str">
        <f>IF(ISBLANK('Raw counts'!M61),"",RANK('3'!M122,'3'!$B122:$U122))</f>
        <v/>
      </c>
      <c r="N60" s="20" t="str">
        <f>IF(ISBLANK('Raw counts'!N61),"",RANK('3'!N122,'3'!$B122:$U122))</f>
        <v/>
      </c>
      <c r="O60" s="20" t="str">
        <f>IF(ISBLANK('Raw counts'!O61),"",RANK('3'!O122,'3'!$B122:$U122))</f>
        <v/>
      </c>
      <c r="P60" s="20" t="str">
        <f>IF(ISBLANK('Raw counts'!P61),"",RANK('3'!P122,'3'!$B122:$U122))</f>
        <v/>
      </c>
      <c r="Q60" s="20" t="str">
        <f>IF(ISBLANK('Raw counts'!Q61),"",RANK('3'!Q122,'3'!$B122:$U122))</f>
        <v/>
      </c>
      <c r="R60" s="20" t="str">
        <f>IF(ISBLANK('Raw counts'!R61),"",RANK('3'!R122,'3'!$B122:$U122))</f>
        <v/>
      </c>
      <c r="S60" s="20" t="str">
        <f>IF(ISBLANK('Raw counts'!S61),"",RANK('3'!S122,'3'!$B122:$U122))</f>
        <v/>
      </c>
      <c r="T60" s="20" t="str">
        <f>IF(ISBLANK('Raw counts'!T61),"",RANK('3'!T122,'3'!$B122:$U122))</f>
        <v/>
      </c>
      <c r="U60" s="20" t="str">
        <f>IF(ISBLANK('Raw counts'!U61),"",RANK('3'!U122,'3'!$B122:$U122))</f>
        <v/>
      </c>
    </row>
    <row r="61" spans="1:21" x14ac:dyDescent="0.15">
      <c r="A61" s="18" t="str">
        <f>IF(ISBLANK('Raw counts'!A62),"",'Raw counts'!A62)</f>
        <v>Attr58</v>
      </c>
      <c r="B61" s="20" t="str">
        <f>IF(ISBLANK('Raw counts'!B62),"",RANK('3'!B123,'3'!$B123:$U123))</f>
        <v/>
      </c>
      <c r="C61" s="20" t="str">
        <f>IF(ISBLANK('Raw counts'!C62),"",RANK('3'!C123,'3'!$B123:$U123))</f>
        <v/>
      </c>
      <c r="D61" s="20" t="str">
        <f>IF(ISBLANK('Raw counts'!D62),"",RANK('3'!D123,'3'!$B123:$U123))</f>
        <v/>
      </c>
      <c r="E61" s="20" t="str">
        <f>IF(ISBLANK('Raw counts'!E62),"",RANK('3'!E123,'3'!$B123:$U123))</f>
        <v/>
      </c>
      <c r="F61" s="20" t="str">
        <f>IF(ISBLANK('Raw counts'!F62),"",RANK('3'!F123,'3'!$B123:$U123))</f>
        <v/>
      </c>
      <c r="G61" s="20" t="str">
        <f>IF(ISBLANK('Raw counts'!G62),"",RANK('3'!G123,'3'!$B123:$U123))</f>
        <v/>
      </c>
      <c r="H61" s="20" t="str">
        <f>IF(ISBLANK('Raw counts'!H62),"",RANK('3'!H123,'3'!$B123:$U123))</f>
        <v/>
      </c>
      <c r="I61" s="20" t="str">
        <f>IF(ISBLANK('Raw counts'!I62),"",RANK('3'!I123,'3'!$B123:$U123))</f>
        <v/>
      </c>
      <c r="J61" s="20" t="str">
        <f>IF(ISBLANK('Raw counts'!J62),"",RANK('3'!J123,'3'!$B123:$U123))</f>
        <v/>
      </c>
      <c r="K61" s="20" t="str">
        <f>IF(ISBLANK('Raw counts'!K62),"",RANK('3'!K123,'3'!$B123:$U123))</f>
        <v/>
      </c>
      <c r="L61" s="20" t="str">
        <f>IF(ISBLANK('Raw counts'!L62),"",RANK('3'!L123,'3'!$B123:$U123))</f>
        <v/>
      </c>
      <c r="M61" s="20" t="str">
        <f>IF(ISBLANK('Raw counts'!M62),"",RANK('3'!M123,'3'!$B123:$U123))</f>
        <v/>
      </c>
      <c r="N61" s="20" t="str">
        <f>IF(ISBLANK('Raw counts'!N62),"",RANK('3'!N123,'3'!$B123:$U123))</f>
        <v/>
      </c>
      <c r="O61" s="20" t="str">
        <f>IF(ISBLANK('Raw counts'!O62),"",RANK('3'!O123,'3'!$B123:$U123))</f>
        <v/>
      </c>
      <c r="P61" s="20" t="str">
        <f>IF(ISBLANK('Raw counts'!P62),"",RANK('3'!P123,'3'!$B123:$U123))</f>
        <v/>
      </c>
      <c r="Q61" s="20" t="str">
        <f>IF(ISBLANK('Raw counts'!Q62),"",RANK('3'!Q123,'3'!$B123:$U123))</f>
        <v/>
      </c>
      <c r="R61" s="20" t="str">
        <f>IF(ISBLANK('Raw counts'!R62),"",RANK('3'!R123,'3'!$B123:$U123))</f>
        <v/>
      </c>
      <c r="S61" s="20" t="str">
        <f>IF(ISBLANK('Raw counts'!S62),"",RANK('3'!S123,'3'!$B123:$U123))</f>
        <v/>
      </c>
      <c r="T61" s="20" t="str">
        <f>IF(ISBLANK('Raw counts'!T62),"",RANK('3'!T123,'3'!$B123:$U123))</f>
        <v/>
      </c>
      <c r="U61" s="20" t="str">
        <f>IF(ISBLANK('Raw counts'!U62),"",RANK('3'!U123,'3'!$B123:$U123))</f>
        <v/>
      </c>
    </row>
    <row r="62" spans="1:21" x14ac:dyDescent="0.15">
      <c r="A62" s="18" t="str">
        <f>IF(ISBLANK('Raw counts'!A63),"",'Raw counts'!A63)</f>
        <v>Attr59</v>
      </c>
      <c r="B62" s="20" t="str">
        <f>IF(ISBLANK('Raw counts'!B63),"",RANK('3'!B124,'3'!$B124:$U124))</f>
        <v/>
      </c>
      <c r="C62" s="20" t="str">
        <f>IF(ISBLANK('Raw counts'!C63),"",RANK('3'!C124,'3'!$B124:$U124))</f>
        <v/>
      </c>
      <c r="D62" s="20" t="str">
        <f>IF(ISBLANK('Raw counts'!D63),"",RANK('3'!D124,'3'!$B124:$U124))</f>
        <v/>
      </c>
      <c r="E62" s="20" t="str">
        <f>IF(ISBLANK('Raw counts'!E63),"",RANK('3'!E124,'3'!$B124:$U124))</f>
        <v/>
      </c>
      <c r="F62" s="20" t="str">
        <f>IF(ISBLANK('Raw counts'!F63),"",RANK('3'!F124,'3'!$B124:$U124))</f>
        <v/>
      </c>
      <c r="G62" s="20" t="str">
        <f>IF(ISBLANK('Raw counts'!G63),"",RANK('3'!G124,'3'!$B124:$U124))</f>
        <v/>
      </c>
      <c r="H62" s="20" t="str">
        <f>IF(ISBLANK('Raw counts'!H63),"",RANK('3'!H124,'3'!$B124:$U124))</f>
        <v/>
      </c>
      <c r="I62" s="20" t="str">
        <f>IF(ISBLANK('Raw counts'!I63),"",RANK('3'!I124,'3'!$B124:$U124))</f>
        <v/>
      </c>
      <c r="J62" s="20" t="str">
        <f>IF(ISBLANK('Raw counts'!J63),"",RANK('3'!J124,'3'!$B124:$U124))</f>
        <v/>
      </c>
      <c r="K62" s="20" t="str">
        <f>IF(ISBLANK('Raw counts'!K63),"",RANK('3'!K124,'3'!$B124:$U124))</f>
        <v/>
      </c>
      <c r="L62" s="20" t="str">
        <f>IF(ISBLANK('Raw counts'!L63),"",RANK('3'!L124,'3'!$B124:$U124))</f>
        <v/>
      </c>
      <c r="M62" s="20" t="str">
        <f>IF(ISBLANK('Raw counts'!M63),"",RANK('3'!M124,'3'!$B124:$U124))</f>
        <v/>
      </c>
      <c r="N62" s="20" t="str">
        <f>IF(ISBLANK('Raw counts'!N63),"",RANK('3'!N124,'3'!$B124:$U124))</f>
        <v/>
      </c>
      <c r="O62" s="20" t="str">
        <f>IF(ISBLANK('Raw counts'!O63),"",RANK('3'!O124,'3'!$B124:$U124))</f>
        <v/>
      </c>
      <c r="P62" s="20" t="str">
        <f>IF(ISBLANK('Raw counts'!P63),"",RANK('3'!P124,'3'!$B124:$U124))</f>
        <v/>
      </c>
      <c r="Q62" s="20" t="str">
        <f>IF(ISBLANK('Raw counts'!Q63),"",RANK('3'!Q124,'3'!$B124:$U124))</f>
        <v/>
      </c>
      <c r="R62" s="20" t="str">
        <f>IF(ISBLANK('Raw counts'!R63),"",RANK('3'!R124,'3'!$B124:$U124))</f>
        <v/>
      </c>
      <c r="S62" s="20" t="str">
        <f>IF(ISBLANK('Raw counts'!S63),"",RANK('3'!S124,'3'!$B124:$U124))</f>
        <v/>
      </c>
      <c r="T62" s="20" t="str">
        <f>IF(ISBLANK('Raw counts'!T63),"",RANK('3'!T124,'3'!$B124:$U124))</f>
        <v/>
      </c>
      <c r="U62" s="20" t="str">
        <f>IF(ISBLANK('Raw counts'!U63),"",RANK('3'!U124,'3'!$B124:$U124))</f>
        <v/>
      </c>
    </row>
    <row r="63" spans="1:21" x14ac:dyDescent="0.15">
      <c r="A63" s="18" t="str">
        <f>IF(ISBLANK('Raw counts'!A64),"",'Raw counts'!A64)</f>
        <v>Attr60</v>
      </c>
      <c r="B63" s="20" t="str">
        <f>IF(ISBLANK('Raw counts'!B64),"",RANK('3'!B125,'3'!$B125:$U125))</f>
        <v/>
      </c>
      <c r="C63" s="20" t="str">
        <f>IF(ISBLANK('Raw counts'!C64),"",RANK('3'!C125,'3'!$B125:$U125))</f>
        <v/>
      </c>
      <c r="D63" s="20" t="str">
        <f>IF(ISBLANK('Raw counts'!D64),"",RANK('3'!D125,'3'!$B125:$U125))</f>
        <v/>
      </c>
      <c r="E63" s="20" t="str">
        <f>IF(ISBLANK('Raw counts'!E64),"",RANK('3'!E125,'3'!$B125:$U125))</f>
        <v/>
      </c>
      <c r="F63" s="20" t="str">
        <f>IF(ISBLANK('Raw counts'!F64),"",RANK('3'!F125,'3'!$B125:$U125))</f>
        <v/>
      </c>
      <c r="G63" s="20" t="str">
        <f>IF(ISBLANK('Raw counts'!G64),"",RANK('3'!G125,'3'!$B125:$U125))</f>
        <v/>
      </c>
      <c r="H63" s="20" t="str">
        <f>IF(ISBLANK('Raw counts'!H64),"",RANK('3'!H125,'3'!$B125:$U125))</f>
        <v/>
      </c>
      <c r="I63" s="20" t="str">
        <f>IF(ISBLANK('Raw counts'!I64),"",RANK('3'!I125,'3'!$B125:$U125))</f>
        <v/>
      </c>
      <c r="J63" s="20" t="str">
        <f>IF(ISBLANK('Raw counts'!J64),"",RANK('3'!J125,'3'!$B125:$U125))</f>
        <v/>
      </c>
      <c r="K63" s="20" t="str">
        <f>IF(ISBLANK('Raw counts'!K64),"",RANK('3'!K125,'3'!$B125:$U125))</f>
        <v/>
      </c>
      <c r="L63" s="20" t="str">
        <f>IF(ISBLANK('Raw counts'!L64),"",RANK('3'!L125,'3'!$B125:$U125))</f>
        <v/>
      </c>
      <c r="M63" s="20" t="str">
        <f>IF(ISBLANK('Raw counts'!M64),"",RANK('3'!M125,'3'!$B125:$U125))</f>
        <v/>
      </c>
      <c r="N63" s="20" t="str">
        <f>IF(ISBLANK('Raw counts'!N64),"",RANK('3'!N125,'3'!$B125:$U125))</f>
        <v/>
      </c>
      <c r="O63" s="20" t="str">
        <f>IF(ISBLANK('Raw counts'!O64),"",RANK('3'!O125,'3'!$B125:$U125))</f>
        <v/>
      </c>
      <c r="P63" s="20" t="str">
        <f>IF(ISBLANK('Raw counts'!P64),"",RANK('3'!P125,'3'!$B125:$U125))</f>
        <v/>
      </c>
      <c r="Q63" s="20" t="str">
        <f>IF(ISBLANK('Raw counts'!Q64),"",RANK('3'!Q125,'3'!$B125:$U125))</f>
        <v/>
      </c>
      <c r="R63" s="20" t="str">
        <f>IF(ISBLANK('Raw counts'!R64),"",RANK('3'!R125,'3'!$B125:$U125))</f>
        <v/>
      </c>
      <c r="S63" s="20" t="str">
        <f>IF(ISBLANK('Raw counts'!S64),"",RANK('3'!S125,'3'!$B125:$U125))</f>
        <v/>
      </c>
      <c r="T63" s="20" t="str">
        <f>IF(ISBLANK('Raw counts'!T64),"",RANK('3'!T125,'3'!$B125:$U125))</f>
        <v/>
      </c>
      <c r="U63" s="20" t="str">
        <f>IF(ISBLANK('Raw counts'!U64),"",RANK('3'!U125,'3'!$B125:$U125))</f>
        <v/>
      </c>
    </row>
    <row r="64" spans="1:21" x14ac:dyDescent="0.15">
      <c r="M64" s="9"/>
      <c r="N64" s="9"/>
      <c r="O64" s="9"/>
    </row>
    <row r="65" spans="1:22" ht="25.5" x14ac:dyDescent="0.15">
      <c r="A65" s="21" t="s">
        <v>52</v>
      </c>
      <c r="B65" s="16" t="str">
        <f>IF(ISBLANK('Raw counts'!C2),"",'Raw counts'!B2)</f>
        <v>Braun</v>
      </c>
      <c r="C65" s="16" t="str">
        <f>IF(ISBLANK('Raw counts'!D2),"",'Raw counts'!C2)</f>
        <v>Colgate</v>
      </c>
      <c r="D65" s="16" t="str">
        <f>IF(ISBLANK('Raw counts'!E2),"",'Raw counts'!D2)</f>
        <v>Lansung</v>
      </c>
      <c r="E65" s="16" t="str">
        <f>IF(ISBLANK('Raw counts'!F2),"",'Raw counts'!E2)</f>
        <v>Lebond</v>
      </c>
      <c r="F65" s="16" t="str">
        <f>IF(ISBLANK('Raw counts'!G2),"",'Raw counts'!F2)</f>
        <v>Oral-B</v>
      </c>
      <c r="G65" s="16" t="str">
        <f>IF(ISBLANK('Raw counts'!H2),"",'Raw counts'!G2)</f>
        <v>Panasonic</v>
      </c>
      <c r="H65" s="16" t="str">
        <f>IF(ISBLANK('Raw counts'!I2),"",'Raw counts'!H2)</f>
        <v>Phillips</v>
      </c>
      <c r="I65" s="16" t="str">
        <f>IF(ISBLANK('Raw counts'!J2),"",'Raw counts'!I2)</f>
        <v>Prooral</v>
      </c>
      <c r="J65" s="16" t="str">
        <f>IF(ISBLANK('Raw counts'!K2),"",'Raw counts'!J2)</f>
        <v>Qianbeimei</v>
      </c>
      <c r="K65" s="16" t="str">
        <f>IF(ISBLANK('Raw counts'!L2),"",'Raw counts'!K2)</f>
        <v>Saky</v>
      </c>
      <c r="L65" s="16" t="str">
        <f>IF(ISBLANK('Raw counts'!M2),"",'Raw counts'!L2)</f>
        <v>Wavebetter</v>
      </c>
      <c r="M65" s="16" t="str">
        <f>IF(ISBLANK('Raw counts'!N2),"",'Raw counts'!M2)</f>
        <v>Brd12</v>
      </c>
      <c r="N65" s="16" t="str">
        <f>IF(ISBLANK('Raw counts'!O2),"",'Raw counts'!N2)</f>
        <v>Brd13</v>
      </c>
      <c r="O65" s="16" t="str">
        <f>IF(ISBLANK('Raw counts'!P2),"",'Raw counts'!O2)</f>
        <v>Brd14</v>
      </c>
      <c r="P65" s="16" t="str">
        <f>IF(ISBLANK('Raw counts'!Q2),"",'Raw counts'!P2)</f>
        <v>Brd15</v>
      </c>
      <c r="Q65" s="16" t="str">
        <f>IF(ISBLANK('Raw counts'!R2),"",'Raw counts'!Q2)</f>
        <v>Brd16</v>
      </c>
      <c r="R65" s="16" t="str">
        <f>IF(ISBLANK('Raw counts'!S2),"",'Raw counts'!R2)</f>
        <v>Brd17</v>
      </c>
      <c r="S65" s="16" t="str">
        <f>IF(ISBLANK('Raw counts'!T2),"",'Raw counts'!S2)</f>
        <v>Brd18</v>
      </c>
      <c r="T65" s="16" t="str">
        <f>IF(ISBLANK('Raw counts'!U2),"",'Raw counts'!T2)</f>
        <v>Brd19</v>
      </c>
      <c r="U65" s="16" t="str">
        <f>IF(ISBLANK('Raw counts'!V2),"",'Raw counts'!U2)</f>
        <v/>
      </c>
      <c r="V65" s="3"/>
    </row>
    <row r="66" spans="1:22" x14ac:dyDescent="0.15">
      <c r="A66" s="22" t="str">
        <f>IF(ISBLANK('Raw counts'!A5),"",'Raw counts'!A5)</f>
        <v xml:space="preserve">Doesn't offer version I want                                                </v>
      </c>
      <c r="B66" s="20">
        <f>IF(ISBLANK('Raw counts'!B5),"",'Raw counts'!B5-'2'!B4)</f>
        <v>-1.5762004175365263</v>
      </c>
      <c r="C66" s="20">
        <f>IF(ISBLANK('Raw counts'!C5),"",'Raw counts'!C5-'2'!C4)</f>
        <v>5.1878914405010406</v>
      </c>
      <c r="D66" s="20">
        <f>IF(ISBLANK('Raw counts'!D5),"",'Raw counts'!D5-'2'!D4)</f>
        <v>1.0438413361169019E-2</v>
      </c>
      <c r="E66" s="20">
        <f>IF(ISBLANK('Raw counts'!E5),"",'Raw counts'!E5-'2'!E4)</f>
        <v>-0.37160751565762062</v>
      </c>
      <c r="F66" s="20">
        <f>IF(ISBLANK('Raw counts'!F5),"",'Raw counts'!F5-'2'!F4)</f>
        <v>1.233820459290186</v>
      </c>
      <c r="G66" s="20">
        <f>IF(ISBLANK('Raw counts'!G5),"",'Raw counts'!G5-'2'!G4)</f>
        <v>-0.31106471816283943</v>
      </c>
      <c r="H66" s="20">
        <f>IF(ISBLANK('Raw counts'!H5),"",'Raw counts'!H5-'2'!H4)</f>
        <v>1.4070981210855962</v>
      </c>
      <c r="I66" s="20">
        <f>IF(ISBLANK('Raw counts'!I5),"",'Raw counts'!I5-'2'!I4)</f>
        <v>-0.77035490605427981</v>
      </c>
      <c r="J66" s="20">
        <f>IF(ISBLANK('Raw counts'!J5),"",'Raw counts'!J5-'2'!J4)</f>
        <v>0.50730688935281876</v>
      </c>
      <c r="K66" s="20">
        <f>IF(ISBLANK('Raw counts'!K5),"",'Raw counts'!K5-'2'!K4)</f>
        <v>-3.853862212943632</v>
      </c>
      <c r="L66" s="20">
        <f>IF(ISBLANK('Raw counts'!L5),"",'Raw counts'!L5-'2'!L4)</f>
        <v>-1.463465553235908</v>
      </c>
      <c r="M66" s="20" t="str">
        <f>IF(ISBLANK('Raw counts'!M5),"",'Raw counts'!M5-'2'!M4)</f>
        <v/>
      </c>
      <c r="N66" s="20" t="str">
        <f>IF(ISBLANK('Raw counts'!N5),"",'Raw counts'!N5-'2'!N4)</f>
        <v/>
      </c>
      <c r="O66" s="20" t="str">
        <f>IF(ISBLANK('Raw counts'!O5),"",'Raw counts'!O5-'2'!O4)</f>
        <v/>
      </c>
      <c r="P66" s="20" t="str">
        <f>IF(ISBLANK('Raw counts'!P5),"",'Raw counts'!P5-'2'!P4)</f>
        <v/>
      </c>
      <c r="Q66" s="20" t="str">
        <f>IF(ISBLANK('Raw counts'!Q5),"",'Raw counts'!Q5-'2'!Q4)</f>
        <v/>
      </c>
      <c r="R66" s="20" t="str">
        <f>IF(ISBLANK('Raw counts'!R5),"",'Raw counts'!R5-'2'!R4)</f>
        <v/>
      </c>
      <c r="S66" s="20" t="str">
        <f>IF(ISBLANK('Raw counts'!S5),"",'Raw counts'!S5-'2'!S4)</f>
        <v/>
      </c>
      <c r="T66" s="20" t="str">
        <f>IF(ISBLANK('Raw counts'!T5),"",'Raw counts'!T5-'2'!T4)</f>
        <v/>
      </c>
      <c r="U66" s="20" t="str">
        <f>IF(ISBLANK('Raw counts'!U5),"",'Raw counts'!U5-'2'!U4)</f>
        <v/>
      </c>
    </row>
    <row r="67" spans="1:22" ht="38.25" x14ac:dyDescent="0.15">
      <c r="A67" s="22" t="str">
        <f>IF(ISBLANK('Raw counts'!A6),"",'Raw counts'!A6)</f>
        <v xml:space="preserve">Doesn't offer enough variety or versions in the store/online                </v>
      </c>
      <c r="B67" s="20">
        <f>IF(ISBLANK('Raw counts'!B6),"",'Raw counts'!B6-'2'!B5)</f>
        <v>2.2846840007591638</v>
      </c>
      <c r="C67" s="20">
        <f>IF(ISBLANK('Raw counts'!C6),"",'Raw counts'!C6-'2'!C5)</f>
        <v>-2.1639779844372811</v>
      </c>
      <c r="D67" s="20">
        <f>IF(ISBLANK('Raw counts'!D6),"",'Raw counts'!D6-'2'!D5)</f>
        <v>-4.7363826152970203</v>
      </c>
      <c r="E67" s="20">
        <f>IF(ISBLANK('Raw counts'!E6),"",'Raw counts'!E6-'2'!E5)</f>
        <v>-1.5120516226988041</v>
      </c>
      <c r="F67" s="20">
        <f>IF(ISBLANK('Raw counts'!F6),"",'Raw counts'!F6-'2'!F5)</f>
        <v>6.2323021446194673</v>
      </c>
      <c r="G67" s="20">
        <f>IF(ISBLANK('Raw counts'!G6),"",'Raw counts'!G6-'2'!G5)</f>
        <v>12.398747390396665</v>
      </c>
      <c r="H67" s="20">
        <f>IF(ISBLANK('Raw counts'!H6),"",'Raw counts'!H6-'2'!H5)</f>
        <v>-6.9916492693110683</v>
      </c>
      <c r="I67" s="20">
        <f>IF(ISBLANK('Raw counts'!I6),"",'Raw counts'!I6-'2'!I5)</f>
        <v>-1.8599354716265282E-2</v>
      </c>
      <c r="J67" s="20">
        <f>IF(ISBLANK('Raw counts'!J6),"",'Raw counts'!J6-'2'!J5)</f>
        <v>-1.9700132852533683</v>
      </c>
      <c r="K67" s="20">
        <f>IF(ISBLANK('Raw counts'!K6),"",'Raw counts'!K6-'2'!K5)</f>
        <v>-0.2184475232491927</v>
      </c>
      <c r="L67" s="20">
        <f>IF(ISBLANK('Raw counts'!L6),"",'Raw counts'!L6-'2'!L5)</f>
        <v>-3.3046118808122982</v>
      </c>
      <c r="M67" s="20" t="str">
        <f>IF(ISBLANK('Raw counts'!M6),"",'Raw counts'!M6-'2'!M5)</f>
        <v/>
      </c>
      <c r="N67" s="20" t="str">
        <f>IF(ISBLANK('Raw counts'!N6),"",'Raw counts'!N6-'2'!N5)</f>
        <v/>
      </c>
      <c r="O67" s="20" t="str">
        <f>IF(ISBLANK('Raw counts'!O6),"",'Raw counts'!O6-'2'!O5)</f>
        <v/>
      </c>
      <c r="P67" s="20" t="str">
        <f>IF(ISBLANK('Raw counts'!P6),"",'Raw counts'!P6-'2'!P5)</f>
        <v/>
      </c>
      <c r="Q67" s="20" t="str">
        <f>IF(ISBLANK('Raw counts'!Q6),"",'Raw counts'!Q6-'2'!Q5)</f>
        <v/>
      </c>
      <c r="R67" s="20" t="str">
        <f>IF(ISBLANK('Raw counts'!R6),"",'Raw counts'!R6-'2'!R5)</f>
        <v/>
      </c>
      <c r="S67" s="20" t="str">
        <f>IF(ISBLANK('Raw counts'!S6),"",'Raw counts'!S6-'2'!S5)</f>
        <v/>
      </c>
      <c r="T67" s="20" t="str">
        <f>IF(ISBLANK('Raw counts'!T6),"",'Raw counts'!T6-'2'!T5)</f>
        <v/>
      </c>
      <c r="U67" s="20" t="str">
        <f>IF(ISBLANK('Raw counts'!U6),"",'Raw counts'!U6-'2'!U5)</f>
        <v/>
      </c>
    </row>
    <row r="68" spans="1:22" ht="25.5" x14ac:dyDescent="0.15">
      <c r="A68" s="22" t="str">
        <f>IF(ISBLANK('Raw counts'!A7),"",'Raw counts'!A7)</f>
        <v xml:space="preserve">Doesn't offer newest/latest products                                        </v>
      </c>
      <c r="B68" s="20">
        <f>IF(ISBLANK('Raw counts'!B7),"",'Raw counts'!B7-'2'!B6)</f>
        <v>-1.0668058455114817</v>
      </c>
      <c r="C68" s="20">
        <f>IF(ISBLANK('Raw counts'!C7),"",'Raw counts'!C7-'2'!C6)</f>
        <v>1.6304801670146105</v>
      </c>
      <c r="D68" s="20">
        <f>IF(ISBLANK('Raw counts'!D7),"",'Raw counts'!D7-'2'!D6)</f>
        <v>-1.8538622129436328</v>
      </c>
      <c r="E68" s="20">
        <f>IF(ISBLANK('Raw counts'!E7),"",'Raw counts'!E7-'2'!E6)</f>
        <v>0.79749478079331926</v>
      </c>
      <c r="F68" s="20">
        <f>IF(ISBLANK('Raw counts'!F7),"",'Raw counts'!F7-'2'!F6)</f>
        <v>5.2734864300626327</v>
      </c>
      <c r="G68" s="20">
        <f>IF(ISBLANK('Raw counts'!G7),"",'Raw counts'!G7-'2'!G6)</f>
        <v>0.64509394572025514</v>
      </c>
      <c r="H68" s="20">
        <f>IF(ISBLANK('Raw counts'!H7),"",'Raw counts'!H7-'2'!H6)</f>
        <v>-8.3006263048016677</v>
      </c>
      <c r="I68" s="20">
        <f>IF(ISBLANK('Raw counts'!I7),"",'Raw counts'!I7-'2'!I6)</f>
        <v>1.2150313152400827</v>
      </c>
      <c r="J68" s="20">
        <f>IF(ISBLANK('Raw counts'!J7),"",'Raw counts'!J7-'2'!J6)</f>
        <v>3.1022964509394573</v>
      </c>
      <c r="K68" s="20">
        <f>IF(ISBLANK('Raw counts'!K7),"",'Raw counts'!K7-'2'!K6)</f>
        <v>1.0459290187891455</v>
      </c>
      <c r="L68" s="20">
        <f>IF(ISBLANK('Raw counts'!L7),"",'Raw counts'!L7-'2'!L6)</f>
        <v>-2.4885177453027136</v>
      </c>
      <c r="M68" s="20" t="str">
        <f>IF(ISBLANK('Raw counts'!M7),"",'Raw counts'!M7-'2'!M6)</f>
        <v/>
      </c>
      <c r="N68" s="20" t="str">
        <f>IF(ISBLANK('Raw counts'!N7),"",'Raw counts'!N7-'2'!N6)</f>
        <v/>
      </c>
      <c r="O68" s="20" t="str">
        <f>IF(ISBLANK('Raw counts'!O7),"",'Raw counts'!O7-'2'!O6)</f>
        <v/>
      </c>
      <c r="P68" s="20" t="str">
        <f>IF(ISBLANK('Raw counts'!P7),"",'Raw counts'!P7-'2'!P6)</f>
        <v/>
      </c>
      <c r="Q68" s="20" t="str">
        <f>IF(ISBLANK('Raw counts'!Q7),"",'Raw counts'!Q7-'2'!Q6)</f>
        <v/>
      </c>
      <c r="R68" s="20" t="str">
        <f>IF(ISBLANK('Raw counts'!R7),"",'Raw counts'!R7-'2'!R6)</f>
        <v/>
      </c>
      <c r="S68" s="20" t="str">
        <f>IF(ISBLANK('Raw counts'!S7),"",'Raw counts'!S7-'2'!S6)</f>
        <v/>
      </c>
      <c r="T68" s="20" t="str">
        <f>IF(ISBLANK('Raw counts'!T7),"",'Raw counts'!T7-'2'!T6)</f>
        <v/>
      </c>
      <c r="U68" s="20" t="str">
        <f>IF(ISBLANK('Raw counts'!U7),"",'Raw counts'!U7-'2'!U6)</f>
        <v/>
      </c>
    </row>
    <row r="69" spans="1:22" ht="25.5" x14ac:dyDescent="0.15">
      <c r="A69" s="22" t="str">
        <f>IF(ISBLANK('Raw counts'!A8),"",'Raw counts'!A8)</f>
        <v xml:space="preserve">Brand not carried in the store/online                                       </v>
      </c>
      <c r="B69" s="20">
        <f>IF(ISBLANK('Raw counts'!B8),"",'Raw counts'!B8-'2'!B7)</f>
        <v>0.17973049914595407</v>
      </c>
      <c r="C69" s="20">
        <f>IF(ISBLANK('Raw counts'!C8),"",'Raw counts'!C8-'2'!C7)</f>
        <v>3.1844752324919341</v>
      </c>
      <c r="D69" s="20">
        <f>IF(ISBLANK('Raw counts'!D8),"",'Raw counts'!D8-'2'!D7)</f>
        <v>2.8284304422091475</v>
      </c>
      <c r="E69" s="20">
        <f>IF(ISBLANK('Raw counts'!E8),"",'Raw counts'!E8-'2'!E7)</f>
        <v>2.3260580755361548</v>
      </c>
      <c r="F69" s="20">
        <f>IF(ISBLANK('Raw counts'!F8),"",'Raw counts'!F8-'2'!F7)</f>
        <v>-4.2613399126969114</v>
      </c>
      <c r="G69" s="20">
        <f>IF(ISBLANK('Raw counts'!G8),"",'Raw counts'!G8-'2'!G7)</f>
        <v>5.6764091858037631</v>
      </c>
      <c r="H69" s="20">
        <f>IF(ISBLANK('Raw counts'!H8),"",'Raw counts'!H8-'2'!H7)</f>
        <v>-15.509394572025045</v>
      </c>
      <c r="I69" s="20">
        <f>IF(ISBLANK('Raw counts'!I8),"",'Raw counts'!I8-'2'!I7)</f>
        <v>2.7709242740557976</v>
      </c>
      <c r="J69" s="20">
        <f>IF(ISBLANK('Raw counts'!J8),"",'Raw counts'!J8-'2'!J7)</f>
        <v>0.71626494591003986</v>
      </c>
      <c r="K69" s="20">
        <f>IF(ISBLANK('Raw counts'!K8),"",'Raw counts'!K8-'2'!K7)</f>
        <v>-1.129246536344656</v>
      </c>
      <c r="L69" s="20">
        <f>IF(ISBLANK('Raw counts'!L8),"",'Raw counts'!L8-'2'!L7)</f>
        <v>3.217688365913836</v>
      </c>
      <c r="M69" s="20" t="str">
        <f>IF(ISBLANK('Raw counts'!M8),"",'Raw counts'!M8-'2'!M7)</f>
        <v/>
      </c>
      <c r="N69" s="20" t="str">
        <f>IF(ISBLANK('Raw counts'!N8),"",'Raw counts'!N8-'2'!N7)</f>
        <v/>
      </c>
      <c r="O69" s="20" t="str">
        <f>IF(ISBLANK('Raw counts'!O8),"",'Raw counts'!O8-'2'!O7)</f>
        <v/>
      </c>
      <c r="P69" s="20" t="str">
        <f>IF(ISBLANK('Raw counts'!P8),"",'Raw counts'!P8-'2'!P7)</f>
        <v/>
      </c>
      <c r="Q69" s="20" t="str">
        <f>IF(ISBLANK('Raw counts'!Q8),"",'Raw counts'!Q8-'2'!Q7)</f>
        <v/>
      </c>
      <c r="R69" s="20" t="str">
        <f>IF(ISBLANK('Raw counts'!R8),"",'Raw counts'!R8-'2'!R7)</f>
        <v/>
      </c>
      <c r="S69" s="20" t="str">
        <f>IF(ISBLANK('Raw counts'!S8),"",'Raw counts'!S8-'2'!S7)</f>
        <v/>
      </c>
      <c r="T69" s="20" t="str">
        <f>IF(ISBLANK('Raw counts'!T8),"",'Raw counts'!T8-'2'!T7)</f>
        <v/>
      </c>
      <c r="U69" s="20" t="str">
        <f>IF(ISBLANK('Raw counts'!U8),"",'Raw counts'!U8-'2'!U7)</f>
        <v/>
      </c>
    </row>
    <row r="70" spans="1:22" x14ac:dyDescent="0.15">
      <c r="A70" s="22" t="str">
        <f>IF(ISBLANK('Raw counts'!A9),"",'Raw counts'!A9)</f>
        <v xml:space="preserve">Often out of stock                                                          </v>
      </c>
      <c r="B70" s="20">
        <f>IF(ISBLANK('Raw counts'!B9),"",'Raw counts'!B9-'2'!B8)</f>
        <v>3.8147656101727989E-2</v>
      </c>
      <c r="C70" s="20">
        <f>IF(ISBLANK('Raw counts'!C9),"",'Raw counts'!C9-'2'!C8)</f>
        <v>-3.7179730499145975</v>
      </c>
      <c r="D70" s="20">
        <f>IF(ISBLANK('Raw counts'!D9),"",'Raw counts'!D9-'2'!D8)</f>
        <v>-1.4186752704498007</v>
      </c>
      <c r="E70" s="20">
        <f>IF(ISBLANK('Raw counts'!E9),"",'Raw counts'!E9-'2'!E8)</f>
        <v>1.9593850825583612</v>
      </c>
      <c r="F70" s="20">
        <f>IF(ISBLANK('Raw counts'!F9),"",'Raw counts'!F9-'2'!F8)</f>
        <v>-4.2328715126209886</v>
      </c>
      <c r="G70" s="20">
        <f>IF(ISBLANK('Raw counts'!G9),"",'Raw counts'!G9-'2'!G8)</f>
        <v>-1.6325678496868434</v>
      </c>
      <c r="H70" s="20">
        <f>IF(ISBLANK('Raw counts'!H9),"",'Raw counts'!H9-'2'!H8)</f>
        <v>2.2171189979123227</v>
      </c>
      <c r="I70" s="20">
        <f>IF(ISBLANK('Raw counts'!I9),"",'Raw counts'!I9-'2'!I8)</f>
        <v>7.4255076864680198</v>
      </c>
      <c r="J70" s="20">
        <f>IF(ISBLANK('Raw counts'!J9),"",'Raw counts'!J9-'2'!J8)</f>
        <v>-1.5839817802239509</v>
      </c>
      <c r="K70" s="20">
        <f>IF(ISBLANK('Raw counts'!K9),"",'Raw counts'!K9-'2'!K8)</f>
        <v>-1.0432719681153912</v>
      </c>
      <c r="L70" s="20">
        <f>IF(ISBLANK('Raw counts'!L9),"",'Raw counts'!L9-'2'!L8)</f>
        <v>1.9891820079711522</v>
      </c>
      <c r="M70" s="20" t="str">
        <f>IF(ISBLANK('Raw counts'!M9),"",'Raw counts'!M9-'2'!M8)</f>
        <v/>
      </c>
      <c r="N70" s="20" t="str">
        <f>IF(ISBLANK('Raw counts'!N9),"",'Raw counts'!N9-'2'!N8)</f>
        <v/>
      </c>
      <c r="O70" s="20" t="str">
        <f>IF(ISBLANK('Raw counts'!O9),"",'Raw counts'!O9-'2'!O8)</f>
        <v/>
      </c>
      <c r="P70" s="20" t="str">
        <f>IF(ISBLANK('Raw counts'!P9),"",'Raw counts'!P9-'2'!P8)</f>
        <v/>
      </c>
      <c r="Q70" s="20" t="str">
        <f>IF(ISBLANK('Raw counts'!Q9),"",'Raw counts'!Q9-'2'!Q8)</f>
        <v/>
      </c>
      <c r="R70" s="20" t="str">
        <f>IF(ISBLANK('Raw counts'!R9),"",'Raw counts'!R9-'2'!R8)</f>
        <v/>
      </c>
      <c r="S70" s="20" t="str">
        <f>IF(ISBLANK('Raw counts'!S9),"",'Raw counts'!S9-'2'!S8)</f>
        <v/>
      </c>
      <c r="T70" s="20" t="str">
        <f>IF(ISBLANK('Raw counts'!T9),"",'Raw counts'!T9-'2'!T8)</f>
        <v/>
      </c>
      <c r="U70" s="20" t="str">
        <f>IF(ISBLANK('Raw counts'!U9),"",'Raw counts'!U9-'2'!U8)</f>
        <v/>
      </c>
    </row>
    <row r="71" spans="1:22" ht="25.5" x14ac:dyDescent="0.15">
      <c r="A71" s="22" t="str">
        <f>IF(ISBLANK('Raw counts'!A10),"",'Raw counts'!A10)</f>
        <v xml:space="preserve">Hard to find the brand in the store                                         </v>
      </c>
      <c r="B71" s="20">
        <f>IF(ISBLANK('Raw counts'!B10),"",'Raw counts'!B10-'2'!B9)</f>
        <v>-4.8796735623457934</v>
      </c>
      <c r="C71" s="20">
        <f>IF(ISBLANK('Raw counts'!C10),"",'Raw counts'!C10-'2'!C9)</f>
        <v>1.4666919719111746</v>
      </c>
      <c r="D71" s="20">
        <f>IF(ISBLANK('Raw counts'!D10),"",'Raw counts'!D10-'2'!D9)</f>
        <v>1.4754222812677922</v>
      </c>
      <c r="E71" s="20">
        <f>IF(ISBLANK('Raw counts'!E10),"",'Raw counts'!E10-'2'!E9)</f>
        <v>2.8022395141393055</v>
      </c>
      <c r="F71" s="20">
        <f>IF(ISBLANK('Raw counts'!F10),"",'Raw counts'!F10-'2'!F9)</f>
        <v>-1.0778136268741747</v>
      </c>
      <c r="G71" s="20">
        <f>IF(ISBLANK('Raw counts'!G10),"",'Raw counts'!G10-'2'!G9)</f>
        <v>4.3778705636743283</v>
      </c>
      <c r="H71" s="20">
        <f>IF(ISBLANK('Raw counts'!H10),"",'Raw counts'!H10-'2'!H9)</f>
        <v>-8.1858037578288076</v>
      </c>
      <c r="I71" s="20">
        <f>IF(ISBLANK('Raw counts'!I10),"",'Raw counts'!I10-'2'!I9)</f>
        <v>0.27747200607325784</v>
      </c>
      <c r="J71" s="20">
        <f>IF(ISBLANK('Raw counts'!J10),"",'Raw counts'!J10-'2'!J9)</f>
        <v>0.28734105143291</v>
      </c>
      <c r="K71" s="20">
        <f>IF(ISBLANK('Raw counts'!K10),"",'Raw counts'!K10-'2'!K9)</f>
        <v>3.5650028468400095</v>
      </c>
      <c r="L71" s="20">
        <f>IF(ISBLANK('Raw counts'!L10),"",'Raw counts'!L10-'2'!L9)</f>
        <v>-0.10874928828999764</v>
      </c>
      <c r="M71" s="20" t="str">
        <f>IF(ISBLANK('Raw counts'!M10),"",'Raw counts'!M10-'2'!M9)</f>
        <v/>
      </c>
      <c r="N71" s="20" t="str">
        <f>IF(ISBLANK('Raw counts'!N10),"",'Raw counts'!N10-'2'!N9)</f>
        <v/>
      </c>
      <c r="O71" s="20" t="str">
        <f>IF(ISBLANK('Raw counts'!O10),"",'Raw counts'!O10-'2'!O9)</f>
        <v/>
      </c>
      <c r="P71" s="20" t="str">
        <f>IF(ISBLANK('Raw counts'!P10),"",'Raw counts'!P10-'2'!P9)</f>
        <v/>
      </c>
      <c r="Q71" s="20" t="str">
        <f>IF(ISBLANK('Raw counts'!Q10),"",'Raw counts'!Q10-'2'!Q9)</f>
        <v/>
      </c>
      <c r="R71" s="20" t="str">
        <f>IF(ISBLANK('Raw counts'!R10),"",'Raw counts'!R10-'2'!R9)</f>
        <v/>
      </c>
      <c r="S71" s="20" t="str">
        <f>IF(ISBLANK('Raw counts'!S10),"",'Raw counts'!S10-'2'!S9)</f>
        <v/>
      </c>
      <c r="T71" s="20" t="str">
        <f>IF(ISBLANK('Raw counts'!T10),"",'Raw counts'!T10-'2'!T9)</f>
        <v/>
      </c>
      <c r="U71" s="20" t="str">
        <f>IF(ISBLANK('Raw counts'!U10),"",'Raw counts'!U10-'2'!U9)</f>
        <v/>
      </c>
    </row>
    <row r="72" spans="1:22" ht="25.5" x14ac:dyDescent="0.15">
      <c r="A72" s="22" t="str">
        <f>IF(ISBLANK('Raw counts'!A11),"",'Raw counts'!A11)</f>
        <v xml:space="preserve">Hard to find the brand online                                               </v>
      </c>
      <c r="B72" s="20">
        <f>IF(ISBLANK('Raw counts'!B11),"",'Raw counts'!B11-'2'!B10)</f>
        <v>2.2985386221294419</v>
      </c>
      <c r="C72" s="20">
        <f>IF(ISBLANK('Raw counts'!C11),"",'Raw counts'!C11-'2'!C10)</f>
        <v>5.6200417536534388</v>
      </c>
      <c r="D72" s="20">
        <f>IF(ISBLANK('Raw counts'!D11),"",'Raw counts'!D11-'2'!D10)</f>
        <v>1.5344467640918582</v>
      </c>
      <c r="E72" s="20">
        <f>IF(ISBLANK('Raw counts'!E11),"",'Raw counts'!E11-'2'!E10)</f>
        <v>-0.62630480167014557</v>
      </c>
      <c r="F72" s="20">
        <f>IF(ISBLANK('Raw counts'!F11),"",'Raw counts'!F11-'2'!F10)</f>
        <v>-13.628392484342385</v>
      </c>
      <c r="G72" s="20">
        <f>IF(ISBLANK('Raw counts'!G11),"",'Raw counts'!G11-'2'!G10)</f>
        <v>-1.7265135699373673</v>
      </c>
      <c r="H72" s="20">
        <f>IF(ISBLANK('Raw counts'!H11),"",'Raw counts'!H11-'2'!H10)</f>
        <v>0.84342379958246738</v>
      </c>
      <c r="I72" s="20">
        <f>IF(ISBLANK('Raw counts'!I11),"",'Raw counts'!I11-'2'!I10)</f>
        <v>2.7578288100208761</v>
      </c>
      <c r="J72" s="20">
        <f>IF(ISBLANK('Raw counts'!J11),"",'Raw counts'!J11-'2'!J10)</f>
        <v>1.5741127348643005</v>
      </c>
      <c r="K72" s="20">
        <f>IF(ISBLANK('Raw counts'!K11),"",'Raw counts'!K11-'2'!K10)</f>
        <v>1.4822546972860131</v>
      </c>
      <c r="L72" s="20">
        <f>IF(ISBLANK('Raw counts'!L11),"",'Raw counts'!L11-'2'!L10)</f>
        <v>-0.12943632567849672</v>
      </c>
      <c r="M72" s="20" t="str">
        <f>IF(ISBLANK('Raw counts'!M11),"",'Raw counts'!M11-'2'!M10)</f>
        <v/>
      </c>
      <c r="N72" s="20" t="str">
        <f>IF(ISBLANK('Raw counts'!N11),"",'Raw counts'!N11-'2'!N10)</f>
        <v/>
      </c>
      <c r="O72" s="20" t="str">
        <f>IF(ISBLANK('Raw counts'!O11),"",'Raw counts'!O11-'2'!O10)</f>
        <v/>
      </c>
      <c r="P72" s="20" t="str">
        <f>IF(ISBLANK('Raw counts'!P11),"",'Raw counts'!P11-'2'!P10)</f>
        <v/>
      </c>
      <c r="Q72" s="20" t="str">
        <f>IF(ISBLANK('Raw counts'!Q11),"",'Raw counts'!Q11-'2'!Q10)</f>
        <v/>
      </c>
      <c r="R72" s="20" t="str">
        <f>IF(ISBLANK('Raw counts'!R11),"",'Raw counts'!R11-'2'!R10)</f>
        <v/>
      </c>
      <c r="S72" s="20" t="str">
        <f>IF(ISBLANK('Raw counts'!S11),"",'Raw counts'!S11-'2'!S10)</f>
        <v/>
      </c>
      <c r="T72" s="20" t="str">
        <f>IF(ISBLANK('Raw counts'!T11),"",'Raw counts'!T11-'2'!T10)</f>
        <v/>
      </c>
      <c r="U72" s="20" t="str">
        <f>IF(ISBLANK('Raw counts'!U11),"",'Raw counts'!U11-'2'!U10)</f>
        <v/>
      </c>
    </row>
    <row r="73" spans="1:22" ht="25.5" x14ac:dyDescent="0.15">
      <c r="A73" s="22" t="str">
        <f>IF(ISBLANK('Raw counts'!A12),"",'Raw counts'!A12)</f>
        <v xml:space="preserve">Difficult to determine which product is right for me                        </v>
      </c>
      <c r="B73" s="20">
        <f>IF(ISBLANK('Raw counts'!B12),"",'Raw counts'!B12-'2'!B11)</f>
        <v>-1.2677927500474411</v>
      </c>
      <c r="C73" s="20">
        <f>IF(ISBLANK('Raw counts'!C12),"",'Raw counts'!C12-'2'!C11)</f>
        <v>-2.9897513759726735</v>
      </c>
      <c r="D73" s="20">
        <f>IF(ISBLANK('Raw counts'!D12),"",'Raw counts'!D12-'2'!D11)</f>
        <v>-2.4539760865439364</v>
      </c>
      <c r="E73" s="20">
        <f>IF(ISBLANK('Raw counts'!E12),"",'Raw counts'!E12-'2'!E11)</f>
        <v>2.9070032264186754</v>
      </c>
      <c r="F73" s="20">
        <f>IF(ISBLANK('Raw counts'!F12),"",'Raw counts'!F12-'2'!F11)</f>
        <v>9.485481115961278</v>
      </c>
      <c r="G73" s="20">
        <f>IF(ISBLANK('Raw counts'!G12),"",'Raw counts'!G12-'2'!G11)</f>
        <v>3.0375782881002138</v>
      </c>
      <c r="H73" s="20">
        <f>IF(ISBLANK('Raw counts'!H12),"",'Raw counts'!H12-'2'!H11)</f>
        <v>-13.250521920668049</v>
      </c>
      <c r="I73" s="20">
        <f>IF(ISBLANK('Raw counts'!I12),"",'Raw counts'!I12-'2'!I11)</f>
        <v>0.37616245966976614</v>
      </c>
      <c r="J73" s="20">
        <f>IF(ISBLANK('Raw counts'!J12),"",'Raw counts'!J12-'2'!J11)</f>
        <v>1.3731258303283358</v>
      </c>
      <c r="K73" s="20">
        <f>IF(ISBLANK('Raw counts'!K12),"",'Raw counts'!K12-'2'!K11)</f>
        <v>1.8261529702030757</v>
      </c>
      <c r="L73" s="20">
        <f>IF(ISBLANK('Raw counts'!L12),"",'Raw counts'!L12-'2'!L11)</f>
        <v>0.95653824255076891</v>
      </c>
      <c r="M73" s="20" t="str">
        <f>IF(ISBLANK('Raw counts'!M12),"",'Raw counts'!M12-'2'!M11)</f>
        <v/>
      </c>
      <c r="N73" s="20" t="str">
        <f>IF(ISBLANK('Raw counts'!N12),"",'Raw counts'!N12-'2'!N11)</f>
        <v/>
      </c>
      <c r="O73" s="20" t="str">
        <f>IF(ISBLANK('Raw counts'!O12),"",'Raw counts'!O12-'2'!O11)</f>
        <v/>
      </c>
      <c r="P73" s="20" t="str">
        <f>IF(ISBLANK('Raw counts'!P12),"",'Raw counts'!P12-'2'!P11)</f>
        <v/>
      </c>
      <c r="Q73" s="20" t="str">
        <f>IF(ISBLANK('Raw counts'!Q12),"",'Raw counts'!Q12-'2'!Q11)</f>
        <v/>
      </c>
      <c r="R73" s="20" t="str">
        <f>IF(ISBLANK('Raw counts'!R12),"",'Raw counts'!R12-'2'!R11)</f>
        <v/>
      </c>
      <c r="S73" s="20" t="str">
        <f>IF(ISBLANK('Raw counts'!S12),"",'Raw counts'!S12-'2'!S11)</f>
        <v/>
      </c>
      <c r="T73" s="20" t="str">
        <f>IF(ISBLANK('Raw counts'!T12),"",'Raw counts'!T12-'2'!T11)</f>
        <v/>
      </c>
      <c r="U73" s="20" t="str">
        <f>IF(ISBLANK('Raw counts'!U12),"",'Raw counts'!U12-'2'!U11)</f>
        <v/>
      </c>
    </row>
    <row r="74" spans="1:22" ht="25.5" x14ac:dyDescent="0.15">
      <c r="A74" s="22" t="str">
        <f>IF(ISBLANK('Raw counts'!A13),"",'Raw counts'!A13)</f>
        <v xml:space="preserve">Costs more than other brands                                                </v>
      </c>
      <c r="B74" s="20">
        <f>IF(ISBLANK('Raw counts'!B13),"",'Raw counts'!B13-'2'!B12)</f>
        <v>4.8257733915353995</v>
      </c>
      <c r="C74" s="20">
        <f>IF(ISBLANK('Raw counts'!C13),"",'Raw counts'!C13-'2'!C12)</f>
        <v>-13.571645473524391</v>
      </c>
      <c r="D74" s="20">
        <f>IF(ISBLANK('Raw counts'!D13),"",'Raw counts'!D13-'2'!D12)</f>
        <v>-0.78933383943822388</v>
      </c>
      <c r="E74" s="20">
        <f>IF(ISBLANK('Raw counts'!E13),"",'Raw counts'!E13-'2'!E12)</f>
        <v>-2.5906244069083311</v>
      </c>
      <c r="F74" s="20">
        <f>IF(ISBLANK('Raw counts'!F13),"",'Raw counts'!F13-'2'!F12)</f>
        <v>-6.1901689125071186</v>
      </c>
      <c r="G74" s="20">
        <f>IF(ISBLANK('Raw counts'!G13),"",'Raw counts'!G13-'2'!G12)</f>
        <v>1.9039665970772504</v>
      </c>
      <c r="H74" s="20">
        <f>IF(ISBLANK('Raw counts'!H13),"",'Raw counts'!H13-'2'!H12)</f>
        <v>32.306889352818374</v>
      </c>
      <c r="I74" s="20">
        <f>IF(ISBLANK('Raw counts'!I13),"",'Raw counts'!I13-'2'!I12)</f>
        <v>-2.0926171949136467</v>
      </c>
      <c r="J74" s="20">
        <f>IF(ISBLANK('Raw counts'!J13),"",'Raw counts'!J13-'2'!J12)</f>
        <v>-3.0343518694249383</v>
      </c>
      <c r="K74" s="20">
        <f>IF(ISBLANK('Raw counts'!K13),"",'Raw counts'!K13-'2'!K12)</f>
        <v>-9.4143101157714923</v>
      </c>
      <c r="L74" s="20">
        <f>IF(ISBLANK('Raw counts'!L13),"",'Raw counts'!L13-'2'!L12)</f>
        <v>-1.3535775289428731</v>
      </c>
      <c r="M74" s="20" t="str">
        <f>IF(ISBLANK('Raw counts'!M13),"",'Raw counts'!M13-'2'!M12)</f>
        <v/>
      </c>
      <c r="N74" s="20" t="str">
        <f>IF(ISBLANK('Raw counts'!N13),"",'Raw counts'!N13-'2'!N12)</f>
        <v/>
      </c>
      <c r="O74" s="20" t="str">
        <f>IF(ISBLANK('Raw counts'!O13),"",'Raw counts'!O13-'2'!O12)</f>
        <v/>
      </c>
      <c r="P74" s="20" t="str">
        <f>IF(ISBLANK('Raw counts'!P13),"",'Raw counts'!P13-'2'!P12)</f>
        <v/>
      </c>
      <c r="Q74" s="20" t="str">
        <f>IF(ISBLANK('Raw counts'!Q13),"",'Raw counts'!Q13-'2'!Q12)</f>
        <v/>
      </c>
      <c r="R74" s="20" t="str">
        <f>IF(ISBLANK('Raw counts'!R13),"",'Raw counts'!R13-'2'!R12)</f>
        <v/>
      </c>
      <c r="S74" s="20" t="str">
        <f>IF(ISBLANK('Raw counts'!S13),"",'Raw counts'!S13-'2'!S12)</f>
        <v/>
      </c>
      <c r="T74" s="20" t="str">
        <f>IF(ISBLANK('Raw counts'!T13),"",'Raw counts'!T13-'2'!T12)</f>
        <v/>
      </c>
      <c r="U74" s="20" t="str">
        <f>IF(ISBLANK('Raw counts'!U13),"",'Raw counts'!U13-'2'!U12)</f>
        <v/>
      </c>
    </row>
    <row r="75" spans="1:22" ht="25.5" x14ac:dyDescent="0.15">
      <c r="A75" s="22" t="str">
        <f>IF(ISBLANK('Raw counts'!A14),"",'Raw counts'!A14)</f>
        <v xml:space="preserve">Costs more than I'm willing to pay                                          </v>
      </c>
      <c r="B75" s="20">
        <f>IF(ISBLANK('Raw counts'!B14),"",'Raw counts'!B14-'2'!B13)</f>
        <v>0.47428354526476113</v>
      </c>
      <c r="C75" s="20">
        <f>IF(ISBLANK('Raw counts'!C14),"",'Raw counts'!C14-'2'!C13)</f>
        <v>-2.7771873220724999</v>
      </c>
      <c r="D75" s="20">
        <f>IF(ISBLANK('Raw counts'!D14),"",'Raw counts'!D14-'2'!D13)</f>
        <v>2.0931865629151636</v>
      </c>
      <c r="E75" s="20">
        <f>IF(ISBLANK('Raw counts'!E14),"",'Raw counts'!E14-'2'!E13)</f>
        <v>-3.2810780034162077</v>
      </c>
      <c r="F75" s="20">
        <f>IF(ISBLANK('Raw counts'!F14),"",'Raw counts'!F14-'2'!F13)</f>
        <v>5.8510153729360397</v>
      </c>
      <c r="G75" s="20">
        <f>IF(ISBLANK('Raw counts'!G14),"",'Raw counts'!G14-'2'!G13)</f>
        <v>-4.849686847599159</v>
      </c>
      <c r="H75" s="20">
        <f>IF(ISBLANK('Raw counts'!H14),"",'Raw counts'!H14-'2'!H13)</f>
        <v>4.9979123173277742</v>
      </c>
      <c r="I75" s="20">
        <f>IF(ISBLANK('Raw counts'!I14),"",'Raw counts'!I14-'2'!I13)</f>
        <v>-4.8589865249572979</v>
      </c>
      <c r="J75" s="20">
        <f>IF(ISBLANK('Raw counts'!J14),"",'Raw counts'!J14-'2'!J13)</f>
        <v>1.0379578667678881</v>
      </c>
      <c r="K75" s="20">
        <f>IF(ISBLANK('Raw counts'!K14),"",'Raw counts'!K14-'2'!K13)</f>
        <v>-1.1499335737331542</v>
      </c>
      <c r="L75" s="20">
        <f>IF(ISBLANK('Raw counts'!L14),"",'Raw counts'!L14-'2'!L13)</f>
        <v>2.4625166065667115</v>
      </c>
      <c r="M75" s="20" t="str">
        <f>IF(ISBLANK('Raw counts'!M14),"",'Raw counts'!M14-'2'!M13)</f>
        <v/>
      </c>
      <c r="N75" s="20" t="str">
        <f>IF(ISBLANK('Raw counts'!N14),"",'Raw counts'!N14-'2'!N13)</f>
        <v/>
      </c>
      <c r="O75" s="20" t="str">
        <f>IF(ISBLANK('Raw counts'!O14),"",'Raw counts'!O14-'2'!O13)</f>
        <v/>
      </c>
      <c r="P75" s="20" t="str">
        <f>IF(ISBLANK('Raw counts'!P14),"",'Raw counts'!P14-'2'!P13)</f>
        <v/>
      </c>
      <c r="Q75" s="20" t="str">
        <f>IF(ISBLANK('Raw counts'!Q14),"",'Raw counts'!Q14-'2'!Q13)</f>
        <v/>
      </c>
      <c r="R75" s="20" t="str">
        <f>IF(ISBLANK('Raw counts'!R14),"",'Raw counts'!R14-'2'!R13)</f>
        <v/>
      </c>
      <c r="S75" s="20" t="str">
        <f>IF(ISBLANK('Raw counts'!S14),"",'Raw counts'!S14-'2'!S13)</f>
        <v/>
      </c>
      <c r="T75" s="20" t="str">
        <f>IF(ISBLANK('Raw counts'!T14),"",'Raw counts'!T14-'2'!T13)</f>
        <v/>
      </c>
      <c r="U75" s="20" t="str">
        <f>IF(ISBLANK('Raw counts'!U14),"",'Raw counts'!U14-'2'!U13)</f>
        <v/>
      </c>
    </row>
    <row r="76" spans="1:22" ht="25.5" x14ac:dyDescent="0.15">
      <c r="A76" s="22" t="str">
        <f>IF(ISBLANK('Raw counts'!A15),"",'Raw counts'!A15)</f>
        <v xml:space="preserve">Not enough promotions, discounts or coupons                                 </v>
      </c>
      <c r="B76" s="20">
        <f>IF(ISBLANK('Raw counts'!B15),"",'Raw counts'!B15-'2'!B14)</f>
        <v>4.3871702410324644</v>
      </c>
      <c r="C76" s="20">
        <f>IF(ISBLANK('Raw counts'!C15),"",'Raw counts'!C15-'2'!C14)</f>
        <v>-13.063010058834699</v>
      </c>
      <c r="D76" s="20">
        <f>IF(ISBLANK('Raw counts'!D15),"",'Raw counts'!D15-'2'!D14)</f>
        <v>-1.8014803568039479</v>
      </c>
      <c r="E76" s="20">
        <f>IF(ISBLANK('Raw counts'!E15),"",'Raw counts'!E15-'2'!E14)</f>
        <v>-2.5763902068703732</v>
      </c>
      <c r="F76" s="20">
        <f>IF(ISBLANK('Raw counts'!F15),"",'Raw counts'!F15-'2'!F14)</f>
        <v>3.7559309166824804</v>
      </c>
      <c r="G76" s="20">
        <f>IF(ISBLANK('Raw counts'!G15),"",'Raw counts'!G15-'2'!G14)</f>
        <v>6.1022964509394626</v>
      </c>
      <c r="H76" s="20">
        <f>IF(ISBLANK('Raw counts'!H15),"",'Raw counts'!H15-'2'!H14)</f>
        <v>11.651356993736954</v>
      </c>
      <c r="I76" s="20">
        <f>IF(ISBLANK('Raw counts'!I15),"",'Raw counts'!I15-'2'!I14)</f>
        <v>-1.9052951224141204</v>
      </c>
      <c r="J76" s="20">
        <f>IF(ISBLANK('Raw counts'!J15),"",'Raw counts'!J15-'2'!J14)</f>
        <v>-0.47921806794458099</v>
      </c>
      <c r="K76" s="20">
        <f>IF(ISBLANK('Raw counts'!K15),"",'Raw counts'!K15-'2'!K14)</f>
        <v>-5.8570886316189004</v>
      </c>
      <c r="L76" s="20">
        <f>IF(ISBLANK('Raw counts'!L15),"",'Raw counts'!L15-'2'!L14)</f>
        <v>-0.21427215790472509</v>
      </c>
      <c r="M76" s="20" t="str">
        <f>IF(ISBLANK('Raw counts'!M15),"",'Raw counts'!M15-'2'!M14)</f>
        <v/>
      </c>
      <c r="N76" s="20" t="str">
        <f>IF(ISBLANK('Raw counts'!N15),"",'Raw counts'!N15-'2'!N14)</f>
        <v/>
      </c>
      <c r="O76" s="20" t="str">
        <f>IF(ISBLANK('Raw counts'!O15),"",'Raw counts'!O15-'2'!O14)</f>
        <v/>
      </c>
      <c r="P76" s="20" t="str">
        <f>IF(ISBLANK('Raw counts'!P15),"",'Raw counts'!P15-'2'!P14)</f>
        <v/>
      </c>
      <c r="Q76" s="20" t="str">
        <f>IF(ISBLANK('Raw counts'!Q15),"",'Raw counts'!Q15-'2'!Q14)</f>
        <v/>
      </c>
      <c r="R76" s="20" t="str">
        <f>IF(ISBLANK('Raw counts'!R15),"",'Raw counts'!R15-'2'!R14)</f>
        <v/>
      </c>
      <c r="S76" s="20" t="str">
        <f>IF(ISBLANK('Raw counts'!S15),"",'Raw counts'!S15-'2'!S14)</f>
        <v/>
      </c>
      <c r="T76" s="20" t="str">
        <f>IF(ISBLANK('Raw counts'!T15),"",'Raw counts'!T15-'2'!T14)</f>
        <v/>
      </c>
      <c r="U76" s="20" t="str">
        <f>IF(ISBLANK('Raw counts'!U15),"",'Raw counts'!U15-'2'!U14)</f>
        <v/>
      </c>
    </row>
    <row r="77" spans="1:22" ht="38.25" x14ac:dyDescent="0.15">
      <c r="A77" s="22" t="str">
        <f>IF(ISBLANK('Raw counts'!A16),"",'Raw counts'!A16)</f>
        <v xml:space="preserve">Other brands offer more promotions, discounts or coupons                    </v>
      </c>
      <c r="B77" s="20">
        <f>IF(ISBLANK('Raw counts'!B16),"",'Raw counts'!B16-'2'!B15)</f>
        <v>4.0495350161320971</v>
      </c>
      <c r="C77" s="20">
        <f>IF(ISBLANK('Raw counts'!C16),"",'Raw counts'!C16-'2'!C15)</f>
        <v>10.515467830707912</v>
      </c>
      <c r="D77" s="20">
        <f>IF(ISBLANK('Raw counts'!D16),"",'Raw counts'!D16-'2'!D15)</f>
        <v>-0.64813057506168192</v>
      </c>
      <c r="E77" s="20">
        <f>IF(ISBLANK('Raw counts'!E16),"",'Raw counts'!E16-'2'!E15)</f>
        <v>-4.3810969823495913</v>
      </c>
      <c r="F77" s="20">
        <f>IF(ISBLANK('Raw counts'!F16),"",'Raw counts'!F16-'2'!F15)</f>
        <v>0.93642057316378668</v>
      </c>
      <c r="G77" s="20">
        <f>IF(ISBLANK('Raw counts'!G16),"",'Raw counts'!G16-'2'!G15)</f>
        <v>-3.7766179540709786</v>
      </c>
      <c r="H77" s="20">
        <f>IF(ISBLANK('Raw counts'!H16),"",'Raw counts'!H16-'2'!H15)</f>
        <v>-3.822546972860124</v>
      </c>
      <c r="I77" s="20">
        <f>IF(ISBLANK('Raw counts'!I16),"",'Raw counts'!I16-'2'!I15)</f>
        <v>1.1047637122793699</v>
      </c>
      <c r="J77" s="20">
        <f>IF(ISBLANK('Raw counts'!J16),"",'Raw counts'!J16-'2'!J15)</f>
        <v>-2.8627823116340858</v>
      </c>
      <c r="K77" s="20">
        <f>IF(ISBLANK('Raw counts'!K16),"",'Raw counts'!K16-'2'!K15)</f>
        <v>-0.89200986904535995</v>
      </c>
      <c r="L77" s="20">
        <f>IF(ISBLANK('Raw counts'!L16),"",'Raw counts'!L16-'2'!L15)</f>
        <v>-0.22300246726133999</v>
      </c>
      <c r="M77" s="20" t="str">
        <f>IF(ISBLANK('Raw counts'!M16),"",'Raw counts'!M16-'2'!M15)</f>
        <v/>
      </c>
      <c r="N77" s="20" t="str">
        <f>IF(ISBLANK('Raw counts'!N16),"",'Raw counts'!N16-'2'!N15)</f>
        <v/>
      </c>
      <c r="O77" s="20" t="str">
        <f>IF(ISBLANK('Raw counts'!O16),"",'Raw counts'!O16-'2'!O15)</f>
        <v/>
      </c>
      <c r="P77" s="20" t="str">
        <f>IF(ISBLANK('Raw counts'!P16),"",'Raw counts'!P16-'2'!P15)</f>
        <v/>
      </c>
      <c r="Q77" s="20" t="str">
        <f>IF(ISBLANK('Raw counts'!Q16),"",'Raw counts'!Q16-'2'!Q15)</f>
        <v/>
      </c>
      <c r="R77" s="20" t="str">
        <f>IF(ISBLANK('Raw counts'!R16),"",'Raw counts'!R16-'2'!R15)</f>
        <v/>
      </c>
      <c r="S77" s="20" t="str">
        <f>IF(ISBLANK('Raw counts'!S16),"",'Raw counts'!S16-'2'!S15)</f>
        <v/>
      </c>
      <c r="T77" s="20" t="str">
        <f>IF(ISBLANK('Raw counts'!T16),"",'Raw counts'!T16-'2'!T15)</f>
        <v/>
      </c>
      <c r="U77" s="20" t="str">
        <f>IF(ISBLANK('Raw counts'!U16),"",'Raw counts'!U16-'2'!U15)</f>
        <v/>
      </c>
    </row>
    <row r="78" spans="1:22" ht="38.25" x14ac:dyDescent="0.15">
      <c r="A78" s="22" t="str">
        <f>IF(ISBLANK('Raw counts'!A17),"",'Raw counts'!A17)</f>
        <v xml:space="preserve">Other brands have more shopper or loyalty card offers                       </v>
      </c>
      <c r="B78" s="20">
        <f>IF(ISBLANK('Raw counts'!B17),"",'Raw counts'!B17-'2'!B16)</f>
        <v>2.9445815145188874</v>
      </c>
      <c r="C78" s="20">
        <f>IF(ISBLANK('Raw counts'!C17),"",'Raw counts'!C17-'2'!C16)</f>
        <v>-3.1360789523628796</v>
      </c>
      <c r="D78" s="20">
        <f>IF(ISBLANK('Raw counts'!D17),"",'Raw counts'!D17-'2'!D16)</f>
        <v>1.9166824824444868</v>
      </c>
      <c r="E78" s="20">
        <f>IF(ISBLANK('Raw counts'!E17),"",'Raw counts'!E17-'2'!E16)</f>
        <v>-0.54298728411463237</v>
      </c>
      <c r="F78" s="20">
        <f>IF(ISBLANK('Raw counts'!F17),"",'Raw counts'!F17-'2'!F16)</f>
        <v>3.442778515847408</v>
      </c>
      <c r="G78" s="20">
        <f>IF(ISBLANK('Raw counts'!G17),"",'Raw counts'!G17-'2'!G16)</f>
        <v>-7.49895615866388</v>
      </c>
      <c r="H78" s="20">
        <f>IF(ISBLANK('Raw counts'!H17),"",'Raw counts'!H17-'2'!H16)</f>
        <v>4.6597077244258855</v>
      </c>
      <c r="I78" s="20">
        <f>IF(ISBLANK('Raw counts'!I17),"",'Raw counts'!I17-'2'!I16)</f>
        <v>-3.1057126589485673</v>
      </c>
      <c r="J78" s="20">
        <f>IF(ISBLANK('Raw counts'!J17),"",'Raw counts'!J17-'2'!J16)</f>
        <v>-4.1765040804706768</v>
      </c>
      <c r="K78" s="20">
        <f>IF(ISBLANK('Raw counts'!K17),"",'Raw counts'!K17-'2'!K16)</f>
        <v>6.1971911178591768</v>
      </c>
      <c r="L78" s="20">
        <f>IF(ISBLANK('Raw counts'!L17),"",'Raw counts'!L17-'2'!L16)</f>
        <v>-0.70070222053520581</v>
      </c>
      <c r="M78" s="20" t="str">
        <f>IF(ISBLANK('Raw counts'!M17),"",'Raw counts'!M17-'2'!M16)</f>
        <v/>
      </c>
      <c r="N78" s="20" t="str">
        <f>IF(ISBLANK('Raw counts'!N17),"",'Raw counts'!N17-'2'!N16)</f>
        <v/>
      </c>
      <c r="O78" s="20" t="str">
        <f>IF(ISBLANK('Raw counts'!O17),"",'Raw counts'!O17-'2'!O16)</f>
        <v/>
      </c>
      <c r="P78" s="20" t="str">
        <f>IF(ISBLANK('Raw counts'!P17),"",'Raw counts'!P17-'2'!P16)</f>
        <v/>
      </c>
      <c r="Q78" s="20" t="str">
        <f>IF(ISBLANK('Raw counts'!Q17),"",'Raw counts'!Q17-'2'!Q16)</f>
        <v/>
      </c>
      <c r="R78" s="20" t="str">
        <f>IF(ISBLANK('Raw counts'!R17),"",'Raw counts'!R17-'2'!R16)</f>
        <v/>
      </c>
      <c r="S78" s="20" t="str">
        <f>IF(ISBLANK('Raw counts'!S17),"",'Raw counts'!S17-'2'!S16)</f>
        <v/>
      </c>
      <c r="T78" s="20" t="str">
        <f>IF(ISBLANK('Raw counts'!T17),"",'Raw counts'!T17-'2'!T16)</f>
        <v/>
      </c>
      <c r="U78" s="20" t="str">
        <f>IF(ISBLANK('Raw counts'!U17),"",'Raw counts'!U17-'2'!U16)</f>
        <v/>
      </c>
    </row>
    <row r="79" spans="1:22" ht="38.25" x14ac:dyDescent="0.15">
      <c r="A79" s="22" t="str">
        <f>IF(ISBLANK('Raw counts'!A18),"",'Raw counts'!A18)</f>
        <v xml:space="preserve">Recommended another brand by others(i.e. family members/peers or iWOM)      </v>
      </c>
      <c r="B79" s="20">
        <f>IF(ISBLANK('Raw counts'!B18),"",'Raw counts'!B18-'2'!B17)</f>
        <v>-7.973239703928634</v>
      </c>
      <c r="C79" s="20">
        <f>IF(ISBLANK('Raw counts'!C18),"",'Raw counts'!C18-'2'!C17)</f>
        <v>7.0485860694628926</v>
      </c>
      <c r="D79" s="20">
        <f>IF(ISBLANK('Raw counts'!D18),"",'Raw counts'!D18-'2'!D17)</f>
        <v>-3.1892199658379203</v>
      </c>
      <c r="E79" s="20">
        <f>IF(ISBLANK('Raw counts'!E18),"",'Raw counts'!E18-'2'!E17)</f>
        <v>2.2998671474663128</v>
      </c>
      <c r="F79" s="20">
        <f>IF(ISBLANK('Raw counts'!F18),"",'Raw counts'!F18-'2'!F17)</f>
        <v>-2.402163598405771</v>
      </c>
      <c r="G79" s="20">
        <f>IF(ISBLANK('Raw counts'!G18),"",'Raw counts'!G18-'2'!G17)</f>
        <v>1.5114822546972917</v>
      </c>
      <c r="H79" s="20">
        <f>IF(ISBLANK('Raw counts'!H18),"",'Raw counts'!H18-'2'!H17)</f>
        <v>2.2567849686847694</v>
      </c>
      <c r="I79" s="20">
        <f>IF(ISBLANK('Raw counts'!I18),"",'Raw counts'!I18-'2'!I17)</f>
        <v>1.7462516606566707</v>
      </c>
      <c r="J79" s="20">
        <f>IF(ISBLANK('Raw counts'!J18),"",'Raw counts'!J18-'2'!J17)</f>
        <v>-0.30518124881381592</v>
      </c>
      <c r="K79" s="20">
        <f>IF(ISBLANK('Raw counts'!K18),"",'Raw counts'!K18-'2'!K17)</f>
        <v>0.80546593281457746</v>
      </c>
      <c r="L79" s="20">
        <f>IF(ISBLANK('Raw counts'!L18),"",'Raw counts'!L18-'2'!L17)</f>
        <v>-1.7986335167963556</v>
      </c>
      <c r="M79" s="20" t="str">
        <f>IF(ISBLANK('Raw counts'!M18),"",'Raw counts'!M18-'2'!M17)</f>
        <v/>
      </c>
      <c r="N79" s="20" t="str">
        <f>IF(ISBLANK('Raw counts'!N18),"",'Raw counts'!N18-'2'!N17)</f>
        <v/>
      </c>
      <c r="O79" s="20" t="str">
        <f>IF(ISBLANK('Raw counts'!O18),"",'Raw counts'!O18-'2'!O17)</f>
        <v/>
      </c>
      <c r="P79" s="20" t="str">
        <f>IF(ISBLANK('Raw counts'!P18),"",'Raw counts'!P18-'2'!P17)</f>
        <v/>
      </c>
      <c r="Q79" s="20" t="str">
        <f>IF(ISBLANK('Raw counts'!Q18),"",'Raw counts'!Q18-'2'!Q17)</f>
        <v/>
      </c>
      <c r="R79" s="20" t="str">
        <f>IF(ISBLANK('Raw counts'!R18),"",'Raw counts'!R18-'2'!R17)</f>
        <v/>
      </c>
      <c r="S79" s="20" t="str">
        <f>IF(ISBLANK('Raw counts'!S18),"",'Raw counts'!S18-'2'!S17)</f>
        <v/>
      </c>
      <c r="T79" s="20" t="str">
        <f>IF(ISBLANK('Raw counts'!T18),"",'Raw counts'!T18-'2'!T17)</f>
        <v/>
      </c>
      <c r="U79" s="20" t="str">
        <f>IF(ISBLANK('Raw counts'!U18),"",'Raw counts'!U18-'2'!U17)</f>
        <v/>
      </c>
    </row>
    <row r="80" spans="1:22" ht="38.25" x14ac:dyDescent="0.15">
      <c r="A80" s="22" t="str">
        <f>IF(ISBLANK('Raw counts'!A19),"",'Raw counts'!A19)</f>
        <v xml:space="preserve">In-store salesperson or advisor recommended another brand                   </v>
      </c>
      <c r="B80" s="20">
        <f>IF(ISBLANK('Raw counts'!B19),"",'Raw counts'!B19-'2'!B18)</f>
        <v>0.7916113114442993</v>
      </c>
      <c r="C80" s="20">
        <f>IF(ISBLANK('Raw counts'!C19),"",'Raw counts'!C19-'2'!C18)</f>
        <v>-7.2719681153919211</v>
      </c>
      <c r="D80" s="20">
        <f>IF(ISBLANK('Raw counts'!D19),"",'Raw counts'!D19-'2'!D18)</f>
        <v>0.89903207439741895</v>
      </c>
      <c r="E80" s="20">
        <f>IF(ISBLANK('Raw counts'!E19),"",'Raw counts'!E19-'2'!E18)</f>
        <v>3.4308217878155247</v>
      </c>
      <c r="F80" s="20">
        <f>IF(ISBLANK('Raw counts'!F19),"",'Raw counts'!F19-'2'!F18)</f>
        <v>-1.6980451698614587</v>
      </c>
      <c r="G80" s="20">
        <f>IF(ISBLANK('Raw counts'!G19),"",'Raw counts'!G19-'2'!G18)</f>
        <v>-2.6638830897703514</v>
      </c>
      <c r="H80" s="20">
        <f>IF(ISBLANK('Raw counts'!H19),"",'Raw counts'!H19-'2'!H18)</f>
        <v>-1.5741127348643005</v>
      </c>
      <c r="I80" s="20">
        <f>IF(ISBLANK('Raw counts'!I19),"",'Raw counts'!I19-'2'!I18)</f>
        <v>2.8696147276523059</v>
      </c>
      <c r="J80" s="20">
        <f>IF(ISBLANK('Raw counts'!J19),"",'Raw counts'!J19-'2'!J18)</f>
        <v>-0.19795027519453345</v>
      </c>
      <c r="K80" s="20">
        <f>IF(ISBLANK('Raw counts'!K19),"",'Raw counts'!K19-'2'!K18)</f>
        <v>5.1319035870184102</v>
      </c>
      <c r="L80" s="20">
        <f>IF(ISBLANK('Raw counts'!L19),"",'Raw counts'!L19-'2'!L18)</f>
        <v>0.28297589675460255</v>
      </c>
      <c r="M80" s="20" t="str">
        <f>IF(ISBLANK('Raw counts'!M19),"",'Raw counts'!M19-'2'!M18)</f>
        <v/>
      </c>
      <c r="N80" s="20" t="str">
        <f>IF(ISBLANK('Raw counts'!N19),"",'Raw counts'!N19-'2'!N18)</f>
        <v/>
      </c>
      <c r="O80" s="20" t="str">
        <f>IF(ISBLANK('Raw counts'!O19),"",'Raw counts'!O19-'2'!O18)</f>
        <v/>
      </c>
      <c r="P80" s="20" t="str">
        <f>IF(ISBLANK('Raw counts'!P19),"",'Raw counts'!P19-'2'!P18)</f>
        <v/>
      </c>
      <c r="Q80" s="20" t="str">
        <f>IF(ISBLANK('Raw counts'!Q19),"",'Raw counts'!Q19-'2'!Q18)</f>
        <v/>
      </c>
      <c r="R80" s="20" t="str">
        <f>IF(ISBLANK('Raw counts'!R19),"",'Raw counts'!R19-'2'!R18)</f>
        <v/>
      </c>
      <c r="S80" s="20" t="str">
        <f>IF(ISBLANK('Raw counts'!S19),"",'Raw counts'!S19-'2'!S18)</f>
        <v/>
      </c>
      <c r="T80" s="20" t="str">
        <f>IF(ISBLANK('Raw counts'!T19),"",'Raw counts'!T19-'2'!T18)</f>
        <v/>
      </c>
      <c r="U80" s="20" t="str">
        <f>IF(ISBLANK('Raw counts'!U19),"",'Raw counts'!U19-'2'!U18)</f>
        <v/>
      </c>
    </row>
    <row r="81" spans="1:21" ht="51" x14ac:dyDescent="0.15">
      <c r="A81" s="22" t="str">
        <f>IF(ISBLANK('Raw counts'!A20),"",'Raw counts'!A20)</f>
        <v xml:space="preserve">Researched online while shopping and found negative reviews of the product  </v>
      </c>
      <c r="B81" s="20">
        <f>IF(ISBLANK('Raw counts'!B20),"",'Raw counts'!B20-'2'!B19)</f>
        <v>1.3099259821598039</v>
      </c>
      <c r="C81" s="20">
        <f>IF(ISBLANK('Raw counts'!C20),"",'Raw counts'!C20-'2'!C19)</f>
        <v>6.8534826342759487</v>
      </c>
      <c r="D81" s="20">
        <f>IF(ISBLANK('Raw counts'!D20),"",'Raw counts'!D20-'2'!D19)</f>
        <v>2.304991459479977</v>
      </c>
      <c r="E81" s="20">
        <f>IF(ISBLANK('Raw counts'!E20),"",'Raw counts'!E20-'2'!E19)</f>
        <v>3.3213133421901908E-2</v>
      </c>
      <c r="F81" s="20">
        <f>IF(ISBLANK('Raw counts'!F20),"",'Raw counts'!F20-'2'!F19)</f>
        <v>-0.45910039855760232</v>
      </c>
      <c r="G81" s="20">
        <f>IF(ISBLANK('Raw counts'!G20),"",'Raw counts'!G20-'2'!G19)</f>
        <v>-4.8705636743215024</v>
      </c>
      <c r="H81" s="20">
        <f>IF(ISBLANK('Raw counts'!H20),"",'Raw counts'!H20-'2'!H19)</f>
        <v>-5.1962421711899793</v>
      </c>
      <c r="I81" s="20">
        <f>IF(ISBLANK('Raw counts'!I20),"",'Raw counts'!I20-'2'!I19)</f>
        <v>-3.5629151641677739</v>
      </c>
      <c r="J81" s="20">
        <f>IF(ISBLANK('Raw counts'!J20),"",'Raw counts'!J20-'2'!J19)</f>
        <v>3.2953122034541664</v>
      </c>
      <c r="K81" s="20">
        <f>IF(ISBLANK('Raw counts'!K20),"",'Raw counts'!K20-'2'!K19)</f>
        <v>0.63351679635604441</v>
      </c>
      <c r="L81" s="20">
        <f>IF(ISBLANK('Raw counts'!L20),"",'Raw counts'!L20-'2'!L19)</f>
        <v>-0.3416208009109889</v>
      </c>
      <c r="M81" s="20" t="str">
        <f>IF(ISBLANK('Raw counts'!M20),"",'Raw counts'!M20-'2'!M19)</f>
        <v/>
      </c>
      <c r="N81" s="20" t="str">
        <f>IF(ISBLANK('Raw counts'!N20),"",'Raw counts'!N20-'2'!N19)</f>
        <v/>
      </c>
      <c r="O81" s="20" t="str">
        <f>IF(ISBLANK('Raw counts'!O20),"",'Raw counts'!O20-'2'!O19)</f>
        <v/>
      </c>
      <c r="P81" s="20" t="str">
        <f>IF(ISBLANK('Raw counts'!P20),"",'Raw counts'!P20-'2'!P19)</f>
        <v/>
      </c>
      <c r="Q81" s="20" t="str">
        <f>IF(ISBLANK('Raw counts'!Q20),"",'Raw counts'!Q20-'2'!Q19)</f>
        <v/>
      </c>
      <c r="R81" s="20" t="str">
        <f>IF(ISBLANK('Raw counts'!R20),"",'Raw counts'!R20-'2'!R19)</f>
        <v/>
      </c>
      <c r="S81" s="20" t="str">
        <f>IF(ISBLANK('Raw counts'!S20),"",'Raw counts'!S20-'2'!S19)</f>
        <v/>
      </c>
      <c r="T81" s="20" t="str">
        <f>IF(ISBLANK('Raw counts'!T20),"",'Raw counts'!T20-'2'!T19)</f>
        <v/>
      </c>
      <c r="U81" s="20" t="str">
        <f>IF(ISBLANK('Raw counts'!U20),"",'Raw counts'!U20-'2'!U19)</f>
        <v/>
      </c>
    </row>
    <row r="82" spans="1:21" ht="25.5" x14ac:dyDescent="0.15">
      <c r="A82" s="22" t="str">
        <f>IF(ISBLANK('Raw counts'!A21),"",'Raw counts'!A21)</f>
        <v xml:space="preserve">Dentist recommended another brand                                           </v>
      </c>
      <c r="B82" s="20">
        <f>IF(ISBLANK('Raw counts'!B21),"",'Raw counts'!B21-'2'!B20)</f>
        <v>-6.537103814765608</v>
      </c>
      <c r="C82" s="20">
        <f>IF(ISBLANK('Raw counts'!C21),"",'Raw counts'!C21-'2'!C20)</f>
        <v>5.9893717973049903</v>
      </c>
      <c r="D82" s="20">
        <f>IF(ISBLANK('Raw counts'!D21),"",'Raw counts'!D21-'2'!D20)</f>
        <v>3.3226418675270448</v>
      </c>
      <c r="E82" s="20">
        <f>IF(ISBLANK('Raw counts'!E21),"",'Raw counts'!E21-'2'!E20)</f>
        <v>-0.94059593850825607</v>
      </c>
      <c r="F82" s="20">
        <f>IF(ISBLANK('Raw counts'!F21),"",'Raw counts'!F21-'2'!F20)</f>
        <v>-1.3182767128487427</v>
      </c>
      <c r="G82" s="20">
        <f>IF(ISBLANK('Raw counts'!G21),"",'Raw counts'!G21-'2'!G20)</f>
        <v>-8.705636743215031</v>
      </c>
      <c r="H82" s="20">
        <f>IF(ISBLANK('Raw counts'!H21),"",'Raw counts'!H21-'2'!H20)</f>
        <v>6.0375782881002138</v>
      </c>
      <c r="I82" s="20">
        <f>IF(ISBLANK('Raw counts'!I21),"",'Raw counts'!I21-'2'!I20)</f>
        <v>-4.538242550768647</v>
      </c>
      <c r="J82" s="20">
        <f>IF(ISBLANK('Raw counts'!J21),"",'Raw counts'!J21-'2'!J20)</f>
        <v>1.3167583981780231</v>
      </c>
      <c r="K82" s="20">
        <f>IF(ISBLANK('Raw counts'!K21),"",'Raw counts'!K21-'2'!K20)</f>
        <v>2.6988043271968145</v>
      </c>
      <c r="L82" s="20">
        <f>IF(ISBLANK('Raw counts'!L21),"",'Raw counts'!L21-'2'!L20)</f>
        <v>2.6747010817992036</v>
      </c>
      <c r="M82" s="20" t="str">
        <f>IF(ISBLANK('Raw counts'!M21),"",'Raw counts'!M21-'2'!M20)</f>
        <v/>
      </c>
      <c r="N82" s="20" t="str">
        <f>IF(ISBLANK('Raw counts'!N21),"",'Raw counts'!N21-'2'!N20)</f>
        <v/>
      </c>
      <c r="O82" s="20" t="str">
        <f>IF(ISBLANK('Raw counts'!O21),"",'Raw counts'!O21-'2'!O20)</f>
        <v/>
      </c>
      <c r="P82" s="20" t="str">
        <f>IF(ISBLANK('Raw counts'!P21),"",'Raw counts'!P21-'2'!P20)</f>
        <v/>
      </c>
      <c r="Q82" s="20" t="str">
        <f>IF(ISBLANK('Raw counts'!Q21),"",'Raw counts'!Q21-'2'!Q20)</f>
        <v/>
      </c>
      <c r="R82" s="20" t="str">
        <f>IF(ISBLANK('Raw counts'!R21),"",'Raw counts'!R21-'2'!R20)</f>
        <v/>
      </c>
      <c r="S82" s="20" t="str">
        <f>IF(ISBLANK('Raw counts'!S21),"",'Raw counts'!S21-'2'!S20)</f>
        <v/>
      </c>
      <c r="T82" s="20" t="str">
        <f>IF(ISBLANK('Raw counts'!T21),"",'Raw counts'!T21-'2'!T20)</f>
        <v/>
      </c>
      <c r="U82" s="20" t="str">
        <f>IF(ISBLANK('Raw counts'!U21),"",'Raw counts'!U21-'2'!U20)</f>
        <v/>
      </c>
    </row>
    <row r="83" spans="1:21" x14ac:dyDescent="0.15">
      <c r="A83" s="22" t="str">
        <f>IF(ISBLANK('Raw counts'!A22),"",'Raw counts'!A22)</f>
        <v xml:space="preserve">Some other reason                                                           </v>
      </c>
      <c r="B83" s="20">
        <f>IF(ISBLANK('Raw counts'!B22),"",'Raw counts'!B22-'2'!B21)</f>
        <v>-0.2831656860884415</v>
      </c>
      <c r="C83" s="20">
        <f>IF(ISBLANK('Raw counts'!C22),"",'Raw counts'!C22-'2'!C21)</f>
        <v>1.1951034351869421</v>
      </c>
      <c r="D83" s="20">
        <f>IF(ISBLANK('Raw counts'!D22),"",'Raw counts'!D22-'2'!D21)</f>
        <v>0.50578857468210292</v>
      </c>
      <c r="E83" s="20">
        <f>IF(ISBLANK('Raw counts'!E22),"",'Raw counts'!E22-'2'!E21)</f>
        <v>0.26665401404441069</v>
      </c>
      <c r="F83" s="20">
        <f>IF(ISBLANK('Raw counts'!F22),"",'Raw counts'!F22-'2'!F21)</f>
        <v>-0.94306319984816867</v>
      </c>
      <c r="G83" s="20">
        <f>IF(ISBLANK('Raw counts'!G22),"",'Raw counts'!G22-'2'!G21)</f>
        <v>0.38204592901878964</v>
      </c>
      <c r="H83" s="20">
        <f>IF(ISBLANK('Raw counts'!H22),"",'Raw counts'!H22-'2'!H21)</f>
        <v>-3.546972860125261</v>
      </c>
      <c r="I83" s="20">
        <f>IF(ISBLANK('Raw counts'!I22),"",'Raw counts'!I22-'2'!I21)</f>
        <v>0.3091668248244448</v>
      </c>
      <c r="J83" s="20">
        <f>IF(ISBLANK('Raw counts'!J22),"",'Raw counts'!J22-'2'!J21)</f>
        <v>1.3995065477320174</v>
      </c>
      <c r="K83" s="20">
        <f>IF(ISBLANK('Raw counts'!K22),"",'Raw counts'!K22-'2'!K21)</f>
        <v>0.17194913645853127</v>
      </c>
      <c r="L83" s="20">
        <f>IF(ISBLANK('Raw counts'!L22),"",'Raw counts'!L22-'2'!L21)</f>
        <v>0.54298728411463282</v>
      </c>
      <c r="M83" s="20" t="str">
        <f>IF(ISBLANK('Raw counts'!M22),"",'Raw counts'!M22-'2'!M21)</f>
        <v/>
      </c>
      <c r="N83" s="20" t="str">
        <f>IF(ISBLANK('Raw counts'!N22),"",'Raw counts'!N22-'2'!N21)</f>
        <v/>
      </c>
      <c r="O83" s="20" t="str">
        <f>IF(ISBLANK('Raw counts'!O22),"",'Raw counts'!O22-'2'!O21)</f>
        <v/>
      </c>
      <c r="P83" s="20" t="str">
        <f>IF(ISBLANK('Raw counts'!P22),"",'Raw counts'!P22-'2'!P21)</f>
        <v/>
      </c>
      <c r="Q83" s="20" t="str">
        <f>IF(ISBLANK('Raw counts'!Q22),"",'Raw counts'!Q22-'2'!Q21)</f>
        <v/>
      </c>
      <c r="R83" s="20" t="str">
        <f>IF(ISBLANK('Raw counts'!R22),"",'Raw counts'!R22-'2'!R21)</f>
        <v/>
      </c>
      <c r="S83" s="20" t="str">
        <f>IF(ISBLANK('Raw counts'!S22),"",'Raw counts'!S22-'2'!S21)</f>
        <v/>
      </c>
      <c r="T83" s="20" t="str">
        <f>IF(ISBLANK('Raw counts'!T22),"",'Raw counts'!T22-'2'!T21)</f>
        <v/>
      </c>
      <c r="U83" s="20" t="str">
        <f>IF(ISBLANK('Raw counts'!U22),"",'Raw counts'!U22-'2'!U21)</f>
        <v/>
      </c>
    </row>
    <row r="84" spans="1:21" x14ac:dyDescent="0.15">
      <c r="A84" s="22" t="str">
        <f>IF(ISBLANK('Raw counts'!A23),"",'Raw counts'!A23)</f>
        <v/>
      </c>
      <c r="B84" s="20" t="str">
        <f>IF(ISBLANK('Raw counts'!B23),"",'Raw counts'!B23-'2'!B22)</f>
        <v/>
      </c>
      <c r="C84" s="20" t="str">
        <f>IF(ISBLANK('Raw counts'!C23),"",'Raw counts'!C23-'2'!C22)</f>
        <v/>
      </c>
      <c r="D84" s="20" t="str">
        <f>IF(ISBLANK('Raw counts'!D23),"",'Raw counts'!D23-'2'!D22)</f>
        <v/>
      </c>
      <c r="E84" s="20" t="str">
        <f>IF(ISBLANK('Raw counts'!E23),"",'Raw counts'!E23-'2'!E22)</f>
        <v/>
      </c>
      <c r="F84" s="20" t="str">
        <f>IF(ISBLANK('Raw counts'!F23),"",'Raw counts'!F23-'2'!F22)</f>
        <v/>
      </c>
      <c r="G84" s="20" t="str">
        <f>IF(ISBLANK('Raw counts'!G23),"",'Raw counts'!G23-'2'!G22)</f>
        <v/>
      </c>
      <c r="H84" s="20" t="str">
        <f>IF(ISBLANK('Raw counts'!H23),"",'Raw counts'!H23-'2'!H22)</f>
        <v/>
      </c>
      <c r="I84" s="20" t="str">
        <f>IF(ISBLANK('Raw counts'!I23),"",'Raw counts'!I23-'2'!I22)</f>
        <v/>
      </c>
      <c r="J84" s="20" t="str">
        <f>IF(ISBLANK('Raw counts'!J23),"",'Raw counts'!J23-'2'!J22)</f>
        <v/>
      </c>
      <c r="K84" s="20" t="str">
        <f>IF(ISBLANK('Raw counts'!K23),"",'Raw counts'!K23-'2'!K22)</f>
        <v/>
      </c>
      <c r="L84" s="20" t="str">
        <f>IF(ISBLANK('Raw counts'!L23),"",'Raw counts'!L23-'2'!L22)</f>
        <v/>
      </c>
      <c r="M84" s="20" t="str">
        <f>IF(ISBLANK('Raw counts'!M23),"",'Raw counts'!M23-'2'!M22)</f>
        <v/>
      </c>
      <c r="N84" s="20" t="str">
        <f>IF(ISBLANK('Raw counts'!N23),"",'Raw counts'!N23-'2'!N22)</f>
        <v/>
      </c>
      <c r="O84" s="20" t="str">
        <f>IF(ISBLANK('Raw counts'!O23),"",'Raw counts'!O23-'2'!O22)</f>
        <v/>
      </c>
      <c r="P84" s="20" t="str">
        <f>IF(ISBLANK('Raw counts'!P23),"",'Raw counts'!P23-'2'!P22)</f>
        <v/>
      </c>
      <c r="Q84" s="20" t="str">
        <f>IF(ISBLANK('Raw counts'!Q23),"",'Raw counts'!Q23-'2'!Q22)</f>
        <v/>
      </c>
      <c r="R84" s="20" t="str">
        <f>IF(ISBLANK('Raw counts'!R23),"",'Raw counts'!R23-'2'!R22)</f>
        <v/>
      </c>
      <c r="S84" s="20" t="str">
        <f>IF(ISBLANK('Raw counts'!S23),"",'Raw counts'!S23-'2'!S22)</f>
        <v/>
      </c>
      <c r="T84" s="20" t="str">
        <f>IF(ISBLANK('Raw counts'!T23),"",'Raw counts'!T23-'2'!T22)</f>
        <v/>
      </c>
      <c r="U84" s="20" t="str">
        <f>IF(ISBLANK('Raw counts'!U23),"",'Raw counts'!U23-'2'!U22)</f>
        <v/>
      </c>
    </row>
    <row r="85" spans="1:21" x14ac:dyDescent="0.15">
      <c r="A85" s="22" t="str">
        <f>IF(ISBLANK('Raw counts'!A24),"",'Raw counts'!A24)</f>
        <v/>
      </c>
      <c r="B85" s="20" t="str">
        <f>IF(ISBLANK('Raw counts'!B24),"",'Raw counts'!B24-'2'!B23)</f>
        <v/>
      </c>
      <c r="C85" s="20" t="str">
        <f>IF(ISBLANK('Raw counts'!C24),"",'Raw counts'!C24-'2'!C23)</f>
        <v/>
      </c>
      <c r="D85" s="20" t="str">
        <f>IF(ISBLANK('Raw counts'!D24),"",'Raw counts'!D24-'2'!D23)</f>
        <v/>
      </c>
      <c r="E85" s="20" t="str">
        <f>IF(ISBLANK('Raw counts'!E24),"",'Raw counts'!E24-'2'!E23)</f>
        <v/>
      </c>
      <c r="F85" s="20" t="str">
        <f>IF(ISBLANK('Raw counts'!F24),"",'Raw counts'!F24-'2'!F23)</f>
        <v/>
      </c>
      <c r="G85" s="20" t="str">
        <f>IF(ISBLANK('Raw counts'!G24),"",'Raw counts'!G24-'2'!G23)</f>
        <v/>
      </c>
      <c r="H85" s="20" t="str">
        <f>IF(ISBLANK('Raw counts'!H24),"",'Raw counts'!H24-'2'!H23)</f>
        <v/>
      </c>
      <c r="I85" s="20" t="str">
        <f>IF(ISBLANK('Raw counts'!I24),"",'Raw counts'!I24-'2'!I23)</f>
        <v/>
      </c>
      <c r="J85" s="20" t="str">
        <f>IF(ISBLANK('Raw counts'!J24),"",'Raw counts'!J24-'2'!J23)</f>
        <v/>
      </c>
      <c r="K85" s="20" t="str">
        <f>IF(ISBLANK('Raw counts'!K24),"",'Raw counts'!K24-'2'!K23)</f>
        <v/>
      </c>
      <c r="L85" s="20" t="str">
        <f>IF(ISBLANK('Raw counts'!L24),"",'Raw counts'!L24-'2'!L23)</f>
        <v/>
      </c>
      <c r="M85" s="20" t="str">
        <f>IF(ISBLANK('Raw counts'!M24),"",'Raw counts'!M24-'2'!M23)</f>
        <v/>
      </c>
      <c r="N85" s="20" t="str">
        <f>IF(ISBLANK('Raw counts'!N24),"",'Raw counts'!N24-'2'!N23)</f>
        <v/>
      </c>
      <c r="O85" s="20" t="str">
        <f>IF(ISBLANK('Raw counts'!O24),"",'Raw counts'!O24-'2'!O23)</f>
        <v/>
      </c>
      <c r="P85" s="20" t="str">
        <f>IF(ISBLANK('Raw counts'!P24),"",'Raw counts'!P24-'2'!P23)</f>
        <v/>
      </c>
      <c r="Q85" s="20" t="str">
        <f>IF(ISBLANK('Raw counts'!Q24),"",'Raw counts'!Q24-'2'!Q23)</f>
        <v/>
      </c>
      <c r="R85" s="20" t="str">
        <f>IF(ISBLANK('Raw counts'!R24),"",'Raw counts'!R24-'2'!R23)</f>
        <v/>
      </c>
      <c r="S85" s="20" t="str">
        <f>IF(ISBLANK('Raw counts'!S24),"",'Raw counts'!S24-'2'!S23)</f>
        <v/>
      </c>
      <c r="T85" s="20" t="str">
        <f>IF(ISBLANK('Raw counts'!T24),"",'Raw counts'!T24-'2'!T23)</f>
        <v/>
      </c>
      <c r="U85" s="20" t="str">
        <f>IF(ISBLANK('Raw counts'!U24),"",'Raw counts'!U24-'2'!U23)</f>
        <v/>
      </c>
    </row>
    <row r="86" spans="1:21" x14ac:dyDescent="0.15">
      <c r="A86" s="22" t="str">
        <f>IF(ISBLANK('Raw counts'!A25),"",'Raw counts'!A25)</f>
        <v/>
      </c>
      <c r="B86" s="20" t="str">
        <f>IF(ISBLANK('Raw counts'!B25),"",'Raw counts'!B25-'2'!B24)</f>
        <v/>
      </c>
      <c r="C86" s="20" t="str">
        <f>IF(ISBLANK('Raw counts'!C25),"",'Raw counts'!C25-'2'!C24)</f>
        <v/>
      </c>
      <c r="D86" s="20" t="str">
        <f>IF(ISBLANK('Raw counts'!D25),"",'Raw counts'!D25-'2'!D24)</f>
        <v/>
      </c>
      <c r="E86" s="20" t="str">
        <f>IF(ISBLANK('Raw counts'!E25),"",'Raw counts'!E25-'2'!E24)</f>
        <v/>
      </c>
      <c r="F86" s="20" t="str">
        <f>IF(ISBLANK('Raw counts'!F25),"",'Raw counts'!F25-'2'!F24)</f>
        <v/>
      </c>
      <c r="G86" s="20" t="str">
        <f>IF(ISBLANK('Raw counts'!G25),"",'Raw counts'!G25-'2'!G24)</f>
        <v/>
      </c>
      <c r="H86" s="20" t="str">
        <f>IF(ISBLANK('Raw counts'!H25),"",'Raw counts'!H25-'2'!H24)</f>
        <v/>
      </c>
      <c r="I86" s="20" t="str">
        <f>IF(ISBLANK('Raw counts'!I25),"",'Raw counts'!I25-'2'!I24)</f>
        <v/>
      </c>
      <c r="J86" s="20" t="str">
        <f>IF(ISBLANK('Raw counts'!J25),"",'Raw counts'!J25-'2'!J24)</f>
        <v/>
      </c>
      <c r="K86" s="20" t="str">
        <f>IF(ISBLANK('Raw counts'!K25),"",'Raw counts'!K25-'2'!K24)</f>
        <v/>
      </c>
      <c r="L86" s="20" t="str">
        <f>IF(ISBLANK('Raw counts'!L25),"",'Raw counts'!L25-'2'!L24)</f>
        <v/>
      </c>
      <c r="M86" s="20" t="str">
        <f>IF(ISBLANK('Raw counts'!M25),"",'Raw counts'!M25-'2'!M24)</f>
        <v/>
      </c>
      <c r="N86" s="20" t="str">
        <f>IF(ISBLANK('Raw counts'!N25),"",'Raw counts'!N25-'2'!N24)</f>
        <v/>
      </c>
      <c r="O86" s="20" t="str">
        <f>IF(ISBLANK('Raw counts'!O25),"",'Raw counts'!O25-'2'!O24)</f>
        <v/>
      </c>
      <c r="P86" s="20" t="str">
        <f>IF(ISBLANK('Raw counts'!P25),"",'Raw counts'!P25-'2'!P24)</f>
        <v/>
      </c>
      <c r="Q86" s="20" t="str">
        <f>IF(ISBLANK('Raw counts'!Q25),"",'Raw counts'!Q25-'2'!Q24)</f>
        <v/>
      </c>
      <c r="R86" s="20" t="str">
        <f>IF(ISBLANK('Raw counts'!R25),"",'Raw counts'!R25-'2'!R24)</f>
        <v/>
      </c>
      <c r="S86" s="20" t="str">
        <f>IF(ISBLANK('Raw counts'!S25),"",'Raw counts'!S25-'2'!S24)</f>
        <v/>
      </c>
      <c r="T86" s="20" t="str">
        <f>IF(ISBLANK('Raw counts'!T25),"",'Raw counts'!T25-'2'!T24)</f>
        <v/>
      </c>
      <c r="U86" s="20" t="str">
        <f>IF(ISBLANK('Raw counts'!U25),"",'Raw counts'!U25-'2'!U24)</f>
        <v/>
      </c>
    </row>
    <row r="87" spans="1:21" x14ac:dyDescent="0.15">
      <c r="A87" s="22" t="str">
        <f>IF(ISBLANK('Raw counts'!A26),"",'Raw counts'!A26)</f>
        <v/>
      </c>
      <c r="B87" s="20" t="str">
        <f>IF(ISBLANK('Raw counts'!B26),"",'Raw counts'!B26-'2'!B25)</f>
        <v/>
      </c>
      <c r="C87" s="20" t="str">
        <f>IF(ISBLANK('Raw counts'!C26),"",'Raw counts'!C26-'2'!C25)</f>
        <v/>
      </c>
      <c r="D87" s="20" t="str">
        <f>IF(ISBLANK('Raw counts'!D26),"",'Raw counts'!D26-'2'!D25)</f>
        <v/>
      </c>
      <c r="E87" s="20" t="str">
        <f>IF(ISBLANK('Raw counts'!E26),"",'Raw counts'!E26-'2'!E25)</f>
        <v/>
      </c>
      <c r="F87" s="20" t="str">
        <f>IF(ISBLANK('Raw counts'!F26),"",'Raw counts'!F26-'2'!F25)</f>
        <v/>
      </c>
      <c r="G87" s="20" t="str">
        <f>IF(ISBLANK('Raw counts'!G26),"",'Raw counts'!G26-'2'!G25)</f>
        <v/>
      </c>
      <c r="H87" s="20" t="str">
        <f>IF(ISBLANK('Raw counts'!H26),"",'Raw counts'!H26-'2'!H25)</f>
        <v/>
      </c>
      <c r="I87" s="20" t="str">
        <f>IF(ISBLANK('Raw counts'!I26),"",'Raw counts'!I26-'2'!I25)</f>
        <v/>
      </c>
      <c r="J87" s="20" t="str">
        <f>IF(ISBLANK('Raw counts'!J26),"",'Raw counts'!J26-'2'!J25)</f>
        <v/>
      </c>
      <c r="K87" s="20" t="str">
        <f>IF(ISBLANK('Raw counts'!K26),"",'Raw counts'!K26-'2'!K25)</f>
        <v/>
      </c>
      <c r="L87" s="20" t="str">
        <f>IF(ISBLANK('Raw counts'!L26),"",'Raw counts'!L26-'2'!L25)</f>
        <v/>
      </c>
      <c r="M87" s="20" t="str">
        <f>IF(ISBLANK('Raw counts'!M26),"",'Raw counts'!M26-'2'!M25)</f>
        <v/>
      </c>
      <c r="N87" s="20" t="str">
        <f>IF(ISBLANK('Raw counts'!N26),"",'Raw counts'!N26-'2'!N25)</f>
        <v/>
      </c>
      <c r="O87" s="20" t="str">
        <f>IF(ISBLANK('Raw counts'!O26),"",'Raw counts'!O26-'2'!O25)</f>
        <v/>
      </c>
      <c r="P87" s="20" t="str">
        <f>IF(ISBLANK('Raw counts'!P26),"",'Raw counts'!P26-'2'!P25)</f>
        <v/>
      </c>
      <c r="Q87" s="20" t="str">
        <f>IF(ISBLANK('Raw counts'!Q26),"",'Raw counts'!Q26-'2'!Q25)</f>
        <v/>
      </c>
      <c r="R87" s="20" t="str">
        <f>IF(ISBLANK('Raw counts'!R26),"",'Raw counts'!R26-'2'!R25)</f>
        <v/>
      </c>
      <c r="S87" s="20" t="str">
        <f>IF(ISBLANK('Raw counts'!S26),"",'Raw counts'!S26-'2'!S25)</f>
        <v/>
      </c>
      <c r="T87" s="20" t="str">
        <f>IF(ISBLANK('Raw counts'!T26),"",'Raw counts'!T26-'2'!T25)</f>
        <v/>
      </c>
      <c r="U87" s="20" t="str">
        <f>IF(ISBLANK('Raw counts'!U26),"",'Raw counts'!U26-'2'!U25)</f>
        <v/>
      </c>
    </row>
    <row r="88" spans="1:21" x14ac:dyDescent="0.15">
      <c r="A88" s="22" t="str">
        <f>IF(ISBLANK('Raw counts'!A27),"",'Raw counts'!A27)</f>
        <v/>
      </c>
      <c r="B88" s="20" t="str">
        <f>IF(ISBLANK('Raw counts'!B27),"",'Raw counts'!B27-'2'!B26)</f>
        <v/>
      </c>
      <c r="C88" s="20" t="str">
        <f>IF(ISBLANK('Raw counts'!C27),"",'Raw counts'!C27-'2'!C26)</f>
        <v/>
      </c>
      <c r="D88" s="20" t="str">
        <f>IF(ISBLANK('Raw counts'!D27),"",'Raw counts'!D27-'2'!D26)</f>
        <v/>
      </c>
      <c r="E88" s="20" t="str">
        <f>IF(ISBLANK('Raw counts'!E27),"",'Raw counts'!E27-'2'!E26)</f>
        <v/>
      </c>
      <c r="F88" s="20" t="str">
        <f>IF(ISBLANK('Raw counts'!F27),"",'Raw counts'!F27-'2'!F26)</f>
        <v/>
      </c>
      <c r="G88" s="20" t="str">
        <f>IF(ISBLANK('Raw counts'!G27),"",'Raw counts'!G27-'2'!G26)</f>
        <v/>
      </c>
      <c r="H88" s="20" t="str">
        <f>IF(ISBLANK('Raw counts'!H27),"",'Raw counts'!H27-'2'!H26)</f>
        <v/>
      </c>
      <c r="I88" s="20" t="str">
        <f>IF(ISBLANK('Raw counts'!I27),"",'Raw counts'!I27-'2'!I26)</f>
        <v/>
      </c>
      <c r="J88" s="20" t="str">
        <f>IF(ISBLANK('Raw counts'!J27),"",'Raw counts'!J27-'2'!J26)</f>
        <v/>
      </c>
      <c r="K88" s="20" t="str">
        <f>IF(ISBLANK('Raw counts'!K27),"",'Raw counts'!K27-'2'!K26)</f>
        <v/>
      </c>
      <c r="L88" s="20" t="str">
        <f>IF(ISBLANK('Raw counts'!L27),"",'Raw counts'!L27-'2'!L26)</f>
        <v/>
      </c>
      <c r="M88" s="20" t="str">
        <f>IF(ISBLANK('Raw counts'!M27),"",'Raw counts'!M27-'2'!M26)</f>
        <v/>
      </c>
      <c r="N88" s="20" t="str">
        <f>IF(ISBLANK('Raw counts'!N27),"",'Raw counts'!N27-'2'!N26)</f>
        <v/>
      </c>
      <c r="O88" s="20" t="str">
        <f>IF(ISBLANK('Raw counts'!O27),"",'Raw counts'!O27-'2'!O26)</f>
        <v/>
      </c>
      <c r="P88" s="20" t="str">
        <f>IF(ISBLANK('Raw counts'!P27),"",'Raw counts'!P27-'2'!P26)</f>
        <v/>
      </c>
      <c r="Q88" s="20" t="str">
        <f>IF(ISBLANK('Raw counts'!Q27),"",'Raw counts'!Q27-'2'!Q26)</f>
        <v/>
      </c>
      <c r="R88" s="20" t="str">
        <f>IF(ISBLANK('Raw counts'!R27),"",'Raw counts'!R27-'2'!R26)</f>
        <v/>
      </c>
      <c r="S88" s="20" t="str">
        <f>IF(ISBLANK('Raw counts'!S27),"",'Raw counts'!S27-'2'!S26)</f>
        <v/>
      </c>
      <c r="T88" s="20" t="str">
        <f>IF(ISBLANK('Raw counts'!T27),"",'Raw counts'!T27-'2'!T26)</f>
        <v/>
      </c>
      <c r="U88" s="20" t="str">
        <f>IF(ISBLANK('Raw counts'!U27),"",'Raw counts'!U27-'2'!U26)</f>
        <v/>
      </c>
    </row>
    <row r="89" spans="1:21" x14ac:dyDescent="0.15">
      <c r="A89" s="22" t="str">
        <f>IF(ISBLANK('Raw counts'!A28),"",'Raw counts'!A28)</f>
        <v>Attr24</v>
      </c>
      <c r="B89" s="20" t="str">
        <f>IF(ISBLANK('Raw counts'!B28),"",'Raw counts'!B28-'2'!B27)</f>
        <v/>
      </c>
      <c r="C89" s="20" t="str">
        <f>IF(ISBLANK('Raw counts'!C28),"",'Raw counts'!C28-'2'!C27)</f>
        <v/>
      </c>
      <c r="D89" s="20" t="str">
        <f>IF(ISBLANK('Raw counts'!D28),"",'Raw counts'!D28-'2'!D27)</f>
        <v/>
      </c>
      <c r="E89" s="20" t="str">
        <f>IF(ISBLANK('Raw counts'!E28),"",'Raw counts'!E28-'2'!E27)</f>
        <v/>
      </c>
      <c r="F89" s="20" t="str">
        <f>IF(ISBLANK('Raw counts'!F28),"",'Raw counts'!F28-'2'!F27)</f>
        <v/>
      </c>
      <c r="G89" s="20" t="str">
        <f>IF(ISBLANK('Raw counts'!G28),"",'Raw counts'!G28-'2'!G27)</f>
        <v/>
      </c>
      <c r="H89" s="20" t="str">
        <f>IF(ISBLANK('Raw counts'!H28),"",'Raw counts'!H28-'2'!H27)</f>
        <v/>
      </c>
      <c r="I89" s="20" t="str">
        <f>IF(ISBLANK('Raw counts'!I28),"",'Raw counts'!I28-'2'!I27)</f>
        <v/>
      </c>
      <c r="J89" s="20" t="str">
        <f>IF(ISBLANK('Raw counts'!J28),"",'Raw counts'!J28-'2'!J27)</f>
        <v/>
      </c>
      <c r="K89" s="20" t="str">
        <f>IF(ISBLANK('Raw counts'!K28),"",'Raw counts'!K28-'2'!K27)</f>
        <v/>
      </c>
      <c r="L89" s="20" t="str">
        <f>IF(ISBLANK('Raw counts'!L28),"",'Raw counts'!L28-'2'!L27)</f>
        <v/>
      </c>
      <c r="M89" s="20" t="str">
        <f>IF(ISBLANK('Raw counts'!M28),"",'Raw counts'!M28-'2'!M27)</f>
        <v/>
      </c>
      <c r="N89" s="20" t="str">
        <f>IF(ISBLANK('Raw counts'!N28),"",'Raw counts'!N28-'2'!N27)</f>
        <v/>
      </c>
      <c r="O89" s="20" t="str">
        <f>IF(ISBLANK('Raw counts'!O28),"",'Raw counts'!O28-'2'!O27)</f>
        <v/>
      </c>
      <c r="P89" s="20" t="str">
        <f>IF(ISBLANK('Raw counts'!P28),"",'Raw counts'!P28-'2'!P27)</f>
        <v/>
      </c>
      <c r="Q89" s="20" t="str">
        <f>IF(ISBLANK('Raw counts'!Q28),"",'Raw counts'!Q28-'2'!Q27)</f>
        <v/>
      </c>
      <c r="R89" s="20" t="str">
        <f>IF(ISBLANK('Raw counts'!R28),"",'Raw counts'!R28-'2'!R27)</f>
        <v/>
      </c>
      <c r="S89" s="20" t="str">
        <f>IF(ISBLANK('Raw counts'!S28),"",'Raw counts'!S28-'2'!S27)</f>
        <v/>
      </c>
      <c r="T89" s="20" t="str">
        <f>IF(ISBLANK('Raw counts'!T28),"",'Raw counts'!T28-'2'!T27)</f>
        <v/>
      </c>
      <c r="U89" s="20" t="str">
        <f>IF(ISBLANK('Raw counts'!U28),"",'Raw counts'!U28-'2'!U27)</f>
        <v/>
      </c>
    </row>
    <row r="90" spans="1:21" x14ac:dyDescent="0.15">
      <c r="A90" s="22" t="str">
        <f>IF(ISBLANK('Raw counts'!A29),"",'Raw counts'!A29)</f>
        <v>Attr25</v>
      </c>
      <c r="B90" s="20" t="str">
        <f>IF(ISBLANK('Raw counts'!B29),"",'Raw counts'!B29-'2'!B28)</f>
        <v/>
      </c>
      <c r="C90" s="20" t="str">
        <f>IF(ISBLANK('Raw counts'!C29),"",'Raw counts'!C29-'2'!C28)</f>
        <v/>
      </c>
      <c r="D90" s="20" t="str">
        <f>IF(ISBLANK('Raw counts'!D29),"",'Raw counts'!D29-'2'!D28)</f>
        <v/>
      </c>
      <c r="E90" s="20" t="str">
        <f>IF(ISBLANK('Raw counts'!E29),"",'Raw counts'!E29-'2'!E28)</f>
        <v/>
      </c>
      <c r="F90" s="20" t="str">
        <f>IF(ISBLANK('Raw counts'!F29),"",'Raw counts'!F29-'2'!F28)</f>
        <v/>
      </c>
      <c r="G90" s="20" t="str">
        <f>IF(ISBLANK('Raw counts'!G29),"",'Raw counts'!G29-'2'!G28)</f>
        <v/>
      </c>
      <c r="H90" s="20" t="str">
        <f>IF(ISBLANK('Raw counts'!H29),"",'Raw counts'!H29-'2'!H28)</f>
        <v/>
      </c>
      <c r="I90" s="20" t="str">
        <f>IF(ISBLANK('Raw counts'!I29),"",'Raw counts'!I29-'2'!I28)</f>
        <v/>
      </c>
      <c r="J90" s="20" t="str">
        <f>IF(ISBLANK('Raw counts'!J29),"",'Raw counts'!J29-'2'!J28)</f>
        <v/>
      </c>
      <c r="K90" s="20" t="str">
        <f>IF(ISBLANK('Raw counts'!K29),"",'Raw counts'!K29-'2'!K28)</f>
        <v/>
      </c>
      <c r="L90" s="20" t="str">
        <f>IF(ISBLANK('Raw counts'!L29),"",'Raw counts'!L29-'2'!L28)</f>
        <v/>
      </c>
      <c r="M90" s="20" t="str">
        <f>IF(ISBLANK('Raw counts'!M29),"",'Raw counts'!M29-'2'!M28)</f>
        <v/>
      </c>
      <c r="N90" s="20" t="str">
        <f>IF(ISBLANK('Raw counts'!N29),"",'Raw counts'!N29-'2'!N28)</f>
        <v/>
      </c>
      <c r="O90" s="20" t="str">
        <f>IF(ISBLANK('Raw counts'!O29),"",'Raw counts'!O29-'2'!O28)</f>
        <v/>
      </c>
      <c r="P90" s="20" t="str">
        <f>IF(ISBLANK('Raw counts'!P29),"",'Raw counts'!P29-'2'!P28)</f>
        <v/>
      </c>
      <c r="Q90" s="20" t="str">
        <f>IF(ISBLANK('Raw counts'!Q29),"",'Raw counts'!Q29-'2'!Q28)</f>
        <v/>
      </c>
      <c r="R90" s="20" t="str">
        <f>IF(ISBLANK('Raw counts'!R29),"",'Raw counts'!R29-'2'!R28)</f>
        <v/>
      </c>
      <c r="S90" s="20" t="str">
        <f>IF(ISBLANK('Raw counts'!S29),"",'Raw counts'!S29-'2'!S28)</f>
        <v/>
      </c>
      <c r="T90" s="20" t="str">
        <f>IF(ISBLANK('Raw counts'!T29),"",'Raw counts'!T29-'2'!T28)</f>
        <v/>
      </c>
      <c r="U90" s="20" t="str">
        <f>IF(ISBLANK('Raw counts'!U29),"",'Raw counts'!U29-'2'!U28)</f>
        <v/>
      </c>
    </row>
    <row r="91" spans="1:21" x14ac:dyDescent="0.15">
      <c r="A91" s="22" t="str">
        <f>IF(ISBLANK('Raw counts'!A30),"",'Raw counts'!A30)</f>
        <v>Attr26</v>
      </c>
      <c r="B91" s="20" t="str">
        <f>IF(ISBLANK('Raw counts'!B30),"",'Raw counts'!B30-'2'!B29)</f>
        <v/>
      </c>
      <c r="C91" s="20" t="str">
        <f>IF(ISBLANK('Raw counts'!C30),"",'Raw counts'!C30-'2'!C29)</f>
        <v/>
      </c>
      <c r="D91" s="20" t="str">
        <f>IF(ISBLANK('Raw counts'!D30),"",'Raw counts'!D30-'2'!D29)</f>
        <v/>
      </c>
      <c r="E91" s="20" t="str">
        <f>IF(ISBLANK('Raw counts'!E30),"",'Raw counts'!E30-'2'!E29)</f>
        <v/>
      </c>
      <c r="F91" s="20" t="str">
        <f>IF(ISBLANK('Raw counts'!F30),"",'Raw counts'!F30-'2'!F29)</f>
        <v/>
      </c>
      <c r="G91" s="20" t="str">
        <f>IF(ISBLANK('Raw counts'!G30),"",'Raw counts'!G30-'2'!G29)</f>
        <v/>
      </c>
      <c r="H91" s="20" t="str">
        <f>IF(ISBLANK('Raw counts'!H30),"",'Raw counts'!H30-'2'!H29)</f>
        <v/>
      </c>
      <c r="I91" s="20" t="str">
        <f>IF(ISBLANK('Raw counts'!I30),"",'Raw counts'!I30-'2'!I29)</f>
        <v/>
      </c>
      <c r="J91" s="20" t="str">
        <f>IF(ISBLANK('Raw counts'!J30),"",'Raw counts'!J30-'2'!J29)</f>
        <v/>
      </c>
      <c r="K91" s="20" t="str">
        <f>IF(ISBLANK('Raw counts'!K30),"",'Raw counts'!K30-'2'!K29)</f>
        <v/>
      </c>
      <c r="L91" s="20" t="str">
        <f>IF(ISBLANK('Raw counts'!L30),"",'Raw counts'!L30-'2'!L29)</f>
        <v/>
      </c>
      <c r="M91" s="20" t="str">
        <f>IF(ISBLANK('Raw counts'!M30),"",'Raw counts'!M30-'2'!M29)</f>
        <v/>
      </c>
      <c r="N91" s="20" t="str">
        <f>IF(ISBLANK('Raw counts'!N30),"",'Raw counts'!N30-'2'!N29)</f>
        <v/>
      </c>
      <c r="O91" s="20" t="str">
        <f>IF(ISBLANK('Raw counts'!O30),"",'Raw counts'!O30-'2'!O29)</f>
        <v/>
      </c>
      <c r="P91" s="20" t="str">
        <f>IF(ISBLANK('Raw counts'!P30),"",'Raw counts'!P30-'2'!P29)</f>
        <v/>
      </c>
      <c r="Q91" s="20" t="str">
        <f>IF(ISBLANK('Raw counts'!Q30),"",'Raw counts'!Q30-'2'!Q29)</f>
        <v/>
      </c>
      <c r="R91" s="20" t="str">
        <f>IF(ISBLANK('Raw counts'!R30),"",'Raw counts'!R30-'2'!R29)</f>
        <v/>
      </c>
      <c r="S91" s="20" t="str">
        <f>IF(ISBLANK('Raw counts'!S30),"",'Raw counts'!S30-'2'!S29)</f>
        <v/>
      </c>
      <c r="T91" s="20" t="str">
        <f>IF(ISBLANK('Raw counts'!T30),"",'Raw counts'!T30-'2'!T29)</f>
        <v/>
      </c>
      <c r="U91" s="20" t="str">
        <f>IF(ISBLANK('Raw counts'!U30),"",'Raw counts'!U30-'2'!U29)</f>
        <v/>
      </c>
    </row>
    <row r="92" spans="1:21" x14ac:dyDescent="0.15">
      <c r="A92" s="22" t="str">
        <f>IF(ISBLANK('Raw counts'!A31),"",'Raw counts'!A31)</f>
        <v>Attr27</v>
      </c>
      <c r="B92" s="20" t="str">
        <f>IF(ISBLANK('Raw counts'!B31),"",'Raw counts'!B31-'2'!B30)</f>
        <v/>
      </c>
      <c r="C92" s="20" t="str">
        <f>IF(ISBLANK('Raw counts'!C31),"",'Raw counts'!C31-'2'!C30)</f>
        <v/>
      </c>
      <c r="D92" s="20" t="str">
        <f>IF(ISBLANK('Raw counts'!D31),"",'Raw counts'!D31-'2'!D30)</f>
        <v/>
      </c>
      <c r="E92" s="20" t="str">
        <f>IF(ISBLANK('Raw counts'!E31),"",'Raw counts'!E31-'2'!E30)</f>
        <v/>
      </c>
      <c r="F92" s="20" t="str">
        <f>IF(ISBLANK('Raw counts'!F31),"",'Raw counts'!F31-'2'!F30)</f>
        <v/>
      </c>
      <c r="G92" s="20" t="str">
        <f>IF(ISBLANK('Raw counts'!G31),"",'Raw counts'!G31-'2'!G30)</f>
        <v/>
      </c>
      <c r="H92" s="20" t="str">
        <f>IF(ISBLANK('Raw counts'!H31),"",'Raw counts'!H31-'2'!H30)</f>
        <v/>
      </c>
      <c r="I92" s="20" t="str">
        <f>IF(ISBLANK('Raw counts'!I31),"",'Raw counts'!I31-'2'!I30)</f>
        <v/>
      </c>
      <c r="J92" s="20" t="str">
        <f>IF(ISBLANK('Raw counts'!J31),"",'Raw counts'!J31-'2'!J30)</f>
        <v/>
      </c>
      <c r="K92" s="20" t="str">
        <f>IF(ISBLANK('Raw counts'!K31),"",'Raw counts'!K31-'2'!K30)</f>
        <v/>
      </c>
      <c r="L92" s="20" t="str">
        <f>IF(ISBLANK('Raw counts'!L31),"",'Raw counts'!L31-'2'!L30)</f>
        <v/>
      </c>
      <c r="M92" s="20" t="str">
        <f>IF(ISBLANK('Raw counts'!M31),"",'Raw counts'!M31-'2'!M30)</f>
        <v/>
      </c>
      <c r="N92" s="20" t="str">
        <f>IF(ISBLANK('Raw counts'!N31),"",'Raw counts'!N31-'2'!N30)</f>
        <v/>
      </c>
      <c r="O92" s="20" t="str">
        <f>IF(ISBLANK('Raw counts'!O31),"",'Raw counts'!O31-'2'!O30)</f>
        <v/>
      </c>
      <c r="P92" s="20" t="str">
        <f>IF(ISBLANK('Raw counts'!P31),"",'Raw counts'!P31-'2'!P30)</f>
        <v/>
      </c>
      <c r="Q92" s="20" t="str">
        <f>IF(ISBLANK('Raw counts'!Q31),"",'Raw counts'!Q31-'2'!Q30)</f>
        <v/>
      </c>
      <c r="R92" s="20" t="str">
        <f>IF(ISBLANK('Raw counts'!R31),"",'Raw counts'!R31-'2'!R30)</f>
        <v/>
      </c>
      <c r="S92" s="20" t="str">
        <f>IF(ISBLANK('Raw counts'!S31),"",'Raw counts'!S31-'2'!S30)</f>
        <v/>
      </c>
      <c r="T92" s="20" t="str">
        <f>IF(ISBLANK('Raw counts'!T31),"",'Raw counts'!T31-'2'!T30)</f>
        <v/>
      </c>
      <c r="U92" s="20" t="str">
        <f>IF(ISBLANK('Raw counts'!U31),"",'Raw counts'!U31-'2'!U30)</f>
        <v/>
      </c>
    </row>
    <row r="93" spans="1:21" x14ac:dyDescent="0.15">
      <c r="A93" s="22" t="str">
        <f>IF(ISBLANK('Raw counts'!A32),"",'Raw counts'!A32)</f>
        <v>Attr28</v>
      </c>
      <c r="B93" s="20" t="str">
        <f>IF(ISBLANK('Raw counts'!B32),"",'Raw counts'!B32-'2'!B31)</f>
        <v/>
      </c>
      <c r="C93" s="20" t="str">
        <f>IF(ISBLANK('Raw counts'!C32),"",'Raw counts'!C32-'2'!C31)</f>
        <v/>
      </c>
      <c r="D93" s="20" t="str">
        <f>IF(ISBLANK('Raw counts'!D32),"",'Raw counts'!D32-'2'!D31)</f>
        <v/>
      </c>
      <c r="E93" s="20" t="str">
        <f>IF(ISBLANK('Raw counts'!E32),"",'Raw counts'!E32-'2'!E31)</f>
        <v/>
      </c>
      <c r="F93" s="20" t="str">
        <f>IF(ISBLANK('Raw counts'!F32),"",'Raw counts'!F32-'2'!F31)</f>
        <v/>
      </c>
      <c r="G93" s="20" t="str">
        <f>IF(ISBLANK('Raw counts'!G32),"",'Raw counts'!G32-'2'!G31)</f>
        <v/>
      </c>
      <c r="H93" s="20" t="str">
        <f>IF(ISBLANK('Raw counts'!H32),"",'Raw counts'!H32-'2'!H31)</f>
        <v/>
      </c>
      <c r="I93" s="20" t="str">
        <f>IF(ISBLANK('Raw counts'!I32),"",'Raw counts'!I32-'2'!I31)</f>
        <v/>
      </c>
      <c r="J93" s="20" t="str">
        <f>IF(ISBLANK('Raw counts'!J32),"",'Raw counts'!J32-'2'!J31)</f>
        <v/>
      </c>
      <c r="K93" s="20" t="str">
        <f>IF(ISBLANK('Raw counts'!K32),"",'Raw counts'!K32-'2'!K31)</f>
        <v/>
      </c>
      <c r="L93" s="20" t="str">
        <f>IF(ISBLANK('Raw counts'!L32),"",'Raw counts'!L32-'2'!L31)</f>
        <v/>
      </c>
      <c r="M93" s="20" t="str">
        <f>IF(ISBLANK('Raw counts'!M32),"",'Raw counts'!M32-'2'!M31)</f>
        <v/>
      </c>
      <c r="N93" s="20" t="str">
        <f>IF(ISBLANK('Raw counts'!N32),"",'Raw counts'!N32-'2'!N31)</f>
        <v/>
      </c>
      <c r="O93" s="20" t="str">
        <f>IF(ISBLANK('Raw counts'!O32),"",'Raw counts'!O32-'2'!O31)</f>
        <v/>
      </c>
      <c r="P93" s="20" t="str">
        <f>IF(ISBLANK('Raw counts'!P32),"",'Raw counts'!P32-'2'!P31)</f>
        <v/>
      </c>
      <c r="Q93" s="20" t="str">
        <f>IF(ISBLANK('Raw counts'!Q32),"",'Raw counts'!Q32-'2'!Q31)</f>
        <v/>
      </c>
      <c r="R93" s="20" t="str">
        <f>IF(ISBLANK('Raw counts'!R32),"",'Raw counts'!R32-'2'!R31)</f>
        <v/>
      </c>
      <c r="S93" s="20" t="str">
        <f>IF(ISBLANK('Raw counts'!S32),"",'Raw counts'!S32-'2'!S31)</f>
        <v/>
      </c>
      <c r="T93" s="20" t="str">
        <f>IF(ISBLANK('Raw counts'!T32),"",'Raw counts'!T32-'2'!T31)</f>
        <v/>
      </c>
      <c r="U93" s="20" t="str">
        <f>IF(ISBLANK('Raw counts'!U32),"",'Raw counts'!U32-'2'!U31)</f>
        <v/>
      </c>
    </row>
    <row r="94" spans="1:21" x14ac:dyDescent="0.15">
      <c r="A94" s="22" t="str">
        <f>IF(ISBLANK('Raw counts'!A33),"",'Raw counts'!A33)</f>
        <v>Attr29</v>
      </c>
      <c r="B94" s="20" t="str">
        <f>IF(ISBLANK('Raw counts'!B33),"",'Raw counts'!B33-'2'!B32)</f>
        <v/>
      </c>
      <c r="C94" s="20" t="str">
        <f>IF(ISBLANK('Raw counts'!C33),"",'Raw counts'!C33-'2'!C32)</f>
        <v/>
      </c>
      <c r="D94" s="20" t="str">
        <f>IF(ISBLANK('Raw counts'!D33),"",'Raw counts'!D33-'2'!D32)</f>
        <v/>
      </c>
      <c r="E94" s="20" t="str">
        <f>IF(ISBLANK('Raw counts'!E33),"",'Raw counts'!E33-'2'!E32)</f>
        <v/>
      </c>
      <c r="F94" s="20" t="str">
        <f>IF(ISBLANK('Raw counts'!F33),"",'Raw counts'!F33-'2'!F32)</f>
        <v/>
      </c>
      <c r="G94" s="20" t="str">
        <f>IF(ISBLANK('Raw counts'!G33),"",'Raw counts'!G33-'2'!G32)</f>
        <v/>
      </c>
      <c r="H94" s="20" t="str">
        <f>IF(ISBLANK('Raw counts'!H33),"",'Raw counts'!H33-'2'!H32)</f>
        <v/>
      </c>
      <c r="I94" s="20" t="str">
        <f>IF(ISBLANK('Raw counts'!I33),"",'Raw counts'!I33-'2'!I32)</f>
        <v/>
      </c>
      <c r="J94" s="20" t="str">
        <f>IF(ISBLANK('Raw counts'!J33),"",'Raw counts'!J33-'2'!J32)</f>
        <v/>
      </c>
      <c r="K94" s="20" t="str">
        <f>IF(ISBLANK('Raw counts'!K33),"",'Raw counts'!K33-'2'!K32)</f>
        <v/>
      </c>
      <c r="L94" s="20" t="str">
        <f>IF(ISBLANK('Raw counts'!L33),"",'Raw counts'!L33-'2'!L32)</f>
        <v/>
      </c>
      <c r="M94" s="20" t="str">
        <f>IF(ISBLANK('Raw counts'!M33),"",'Raw counts'!M33-'2'!M32)</f>
        <v/>
      </c>
      <c r="N94" s="20" t="str">
        <f>IF(ISBLANK('Raw counts'!N33),"",'Raw counts'!N33-'2'!N32)</f>
        <v/>
      </c>
      <c r="O94" s="20" t="str">
        <f>IF(ISBLANK('Raw counts'!O33),"",'Raw counts'!O33-'2'!O32)</f>
        <v/>
      </c>
      <c r="P94" s="20" t="str">
        <f>IF(ISBLANK('Raw counts'!P33),"",'Raw counts'!P33-'2'!P32)</f>
        <v/>
      </c>
      <c r="Q94" s="20" t="str">
        <f>IF(ISBLANK('Raw counts'!Q33),"",'Raw counts'!Q33-'2'!Q32)</f>
        <v/>
      </c>
      <c r="R94" s="20" t="str">
        <f>IF(ISBLANK('Raw counts'!R33),"",'Raw counts'!R33-'2'!R32)</f>
        <v/>
      </c>
      <c r="S94" s="20" t="str">
        <f>IF(ISBLANK('Raw counts'!S33),"",'Raw counts'!S33-'2'!S32)</f>
        <v/>
      </c>
      <c r="T94" s="20" t="str">
        <f>IF(ISBLANK('Raw counts'!T33),"",'Raw counts'!T33-'2'!T32)</f>
        <v/>
      </c>
      <c r="U94" s="20" t="str">
        <f>IF(ISBLANK('Raw counts'!U33),"",'Raw counts'!U33-'2'!U32)</f>
        <v/>
      </c>
    </row>
    <row r="95" spans="1:21" x14ac:dyDescent="0.15">
      <c r="A95" s="22" t="str">
        <f>IF(ISBLANK('Raw counts'!A34),"",'Raw counts'!A34)</f>
        <v>Attr30</v>
      </c>
      <c r="B95" s="20" t="str">
        <f>IF(ISBLANK('Raw counts'!B34),"",'Raw counts'!B34-'2'!B33)</f>
        <v/>
      </c>
      <c r="C95" s="20" t="str">
        <f>IF(ISBLANK('Raw counts'!C34),"",'Raw counts'!C34-'2'!C33)</f>
        <v/>
      </c>
      <c r="D95" s="20" t="str">
        <f>IF(ISBLANK('Raw counts'!D34),"",'Raw counts'!D34-'2'!D33)</f>
        <v/>
      </c>
      <c r="E95" s="20" t="str">
        <f>IF(ISBLANK('Raw counts'!E34),"",'Raw counts'!E34-'2'!E33)</f>
        <v/>
      </c>
      <c r="F95" s="20" t="str">
        <f>IF(ISBLANK('Raw counts'!F34),"",'Raw counts'!F34-'2'!F33)</f>
        <v/>
      </c>
      <c r="G95" s="20" t="str">
        <f>IF(ISBLANK('Raw counts'!G34),"",'Raw counts'!G34-'2'!G33)</f>
        <v/>
      </c>
      <c r="H95" s="20" t="str">
        <f>IF(ISBLANK('Raw counts'!H34),"",'Raw counts'!H34-'2'!H33)</f>
        <v/>
      </c>
      <c r="I95" s="20" t="str">
        <f>IF(ISBLANK('Raw counts'!I34),"",'Raw counts'!I34-'2'!I33)</f>
        <v/>
      </c>
      <c r="J95" s="20" t="str">
        <f>IF(ISBLANK('Raw counts'!J34),"",'Raw counts'!J34-'2'!J33)</f>
        <v/>
      </c>
      <c r="K95" s="20" t="str">
        <f>IF(ISBLANK('Raw counts'!K34),"",'Raw counts'!K34-'2'!K33)</f>
        <v/>
      </c>
      <c r="L95" s="20" t="str">
        <f>IF(ISBLANK('Raw counts'!L34),"",'Raw counts'!L34-'2'!L33)</f>
        <v/>
      </c>
      <c r="M95" s="20" t="str">
        <f>IF(ISBLANK('Raw counts'!M34),"",'Raw counts'!M34-'2'!M33)</f>
        <v/>
      </c>
      <c r="N95" s="20" t="str">
        <f>IF(ISBLANK('Raw counts'!N34),"",'Raw counts'!N34-'2'!N33)</f>
        <v/>
      </c>
      <c r="O95" s="20" t="str">
        <f>IF(ISBLANK('Raw counts'!O34),"",'Raw counts'!O34-'2'!O33)</f>
        <v/>
      </c>
      <c r="P95" s="20" t="str">
        <f>IF(ISBLANK('Raw counts'!P34),"",'Raw counts'!P34-'2'!P33)</f>
        <v/>
      </c>
      <c r="Q95" s="20" t="str">
        <f>IF(ISBLANK('Raw counts'!Q34),"",'Raw counts'!Q34-'2'!Q33)</f>
        <v/>
      </c>
      <c r="R95" s="20" t="str">
        <f>IF(ISBLANK('Raw counts'!R34),"",'Raw counts'!R34-'2'!R33)</f>
        <v/>
      </c>
      <c r="S95" s="20" t="str">
        <f>IF(ISBLANK('Raw counts'!S34),"",'Raw counts'!S34-'2'!S33)</f>
        <v/>
      </c>
      <c r="T95" s="20" t="str">
        <f>IF(ISBLANK('Raw counts'!T34),"",'Raw counts'!T34-'2'!T33)</f>
        <v/>
      </c>
      <c r="U95" s="20" t="str">
        <f>IF(ISBLANK('Raw counts'!U34),"",'Raw counts'!U34-'2'!U33)</f>
        <v/>
      </c>
    </row>
    <row r="96" spans="1:21" x14ac:dyDescent="0.15">
      <c r="A96" s="22" t="str">
        <f>IF(ISBLANK('Raw counts'!A35),"",'Raw counts'!A35)</f>
        <v>Attr31</v>
      </c>
      <c r="B96" s="20" t="str">
        <f>IF(ISBLANK('Raw counts'!B35),"",'Raw counts'!B35-'2'!B34)</f>
        <v/>
      </c>
      <c r="C96" s="20" t="str">
        <f>IF(ISBLANK('Raw counts'!C35),"",'Raw counts'!C35-'2'!C34)</f>
        <v/>
      </c>
      <c r="D96" s="20" t="str">
        <f>IF(ISBLANK('Raw counts'!D35),"",'Raw counts'!D35-'2'!D34)</f>
        <v/>
      </c>
      <c r="E96" s="20" t="str">
        <f>IF(ISBLANK('Raw counts'!E35),"",'Raw counts'!E35-'2'!E34)</f>
        <v/>
      </c>
      <c r="F96" s="20" t="str">
        <f>IF(ISBLANK('Raw counts'!F35),"",'Raw counts'!F35-'2'!F34)</f>
        <v/>
      </c>
      <c r="G96" s="20" t="str">
        <f>IF(ISBLANK('Raw counts'!G35),"",'Raw counts'!G35-'2'!G34)</f>
        <v/>
      </c>
      <c r="H96" s="20" t="str">
        <f>IF(ISBLANK('Raw counts'!H35),"",'Raw counts'!H35-'2'!H34)</f>
        <v/>
      </c>
      <c r="I96" s="20" t="str">
        <f>IF(ISBLANK('Raw counts'!I35),"",'Raw counts'!I35-'2'!I34)</f>
        <v/>
      </c>
      <c r="J96" s="20" t="str">
        <f>IF(ISBLANK('Raw counts'!J35),"",'Raw counts'!J35-'2'!J34)</f>
        <v/>
      </c>
      <c r="K96" s="20" t="str">
        <f>IF(ISBLANK('Raw counts'!K35),"",'Raw counts'!K35-'2'!K34)</f>
        <v/>
      </c>
      <c r="L96" s="20" t="str">
        <f>IF(ISBLANK('Raw counts'!L35),"",'Raw counts'!L35-'2'!L34)</f>
        <v/>
      </c>
      <c r="M96" s="20" t="str">
        <f>IF(ISBLANK('Raw counts'!M35),"",'Raw counts'!M35-'2'!M34)</f>
        <v/>
      </c>
      <c r="N96" s="20" t="str">
        <f>IF(ISBLANK('Raw counts'!N35),"",'Raw counts'!N35-'2'!N34)</f>
        <v/>
      </c>
      <c r="O96" s="20" t="str">
        <f>IF(ISBLANK('Raw counts'!O35),"",'Raw counts'!O35-'2'!O34)</f>
        <v/>
      </c>
      <c r="P96" s="20" t="str">
        <f>IF(ISBLANK('Raw counts'!P35),"",'Raw counts'!P35-'2'!P34)</f>
        <v/>
      </c>
      <c r="Q96" s="20" t="str">
        <f>IF(ISBLANK('Raw counts'!Q35),"",'Raw counts'!Q35-'2'!Q34)</f>
        <v/>
      </c>
      <c r="R96" s="20" t="str">
        <f>IF(ISBLANK('Raw counts'!R35),"",'Raw counts'!R35-'2'!R34)</f>
        <v/>
      </c>
      <c r="S96" s="20" t="str">
        <f>IF(ISBLANK('Raw counts'!S35),"",'Raw counts'!S35-'2'!S34)</f>
        <v/>
      </c>
      <c r="T96" s="20" t="str">
        <f>IF(ISBLANK('Raw counts'!T35),"",'Raw counts'!T35-'2'!T34)</f>
        <v/>
      </c>
      <c r="U96" s="20" t="str">
        <f>IF(ISBLANK('Raw counts'!U35),"",'Raw counts'!U35-'2'!U34)</f>
        <v/>
      </c>
    </row>
    <row r="97" spans="1:21" x14ac:dyDescent="0.15">
      <c r="A97" s="22" t="str">
        <f>IF(ISBLANK('Raw counts'!A36),"",'Raw counts'!A36)</f>
        <v>Attr32</v>
      </c>
      <c r="B97" s="20" t="str">
        <f>IF(ISBLANK('Raw counts'!B36),"",'Raw counts'!B36-'2'!B35)</f>
        <v/>
      </c>
      <c r="C97" s="20" t="str">
        <f>IF(ISBLANK('Raw counts'!C36),"",'Raw counts'!C36-'2'!C35)</f>
        <v/>
      </c>
      <c r="D97" s="20" t="str">
        <f>IF(ISBLANK('Raw counts'!D36),"",'Raw counts'!D36-'2'!D35)</f>
        <v/>
      </c>
      <c r="E97" s="20" t="str">
        <f>IF(ISBLANK('Raw counts'!E36),"",'Raw counts'!E36-'2'!E35)</f>
        <v/>
      </c>
      <c r="F97" s="20" t="str">
        <f>IF(ISBLANK('Raw counts'!F36),"",'Raw counts'!F36-'2'!F35)</f>
        <v/>
      </c>
      <c r="G97" s="20" t="str">
        <f>IF(ISBLANK('Raw counts'!G36),"",'Raw counts'!G36-'2'!G35)</f>
        <v/>
      </c>
      <c r="H97" s="20" t="str">
        <f>IF(ISBLANK('Raw counts'!H36),"",'Raw counts'!H36-'2'!H35)</f>
        <v/>
      </c>
      <c r="I97" s="20" t="str">
        <f>IF(ISBLANK('Raw counts'!I36),"",'Raw counts'!I36-'2'!I35)</f>
        <v/>
      </c>
      <c r="J97" s="20" t="str">
        <f>IF(ISBLANK('Raw counts'!J36),"",'Raw counts'!J36-'2'!J35)</f>
        <v/>
      </c>
      <c r="K97" s="20" t="str">
        <f>IF(ISBLANK('Raw counts'!K36),"",'Raw counts'!K36-'2'!K35)</f>
        <v/>
      </c>
      <c r="L97" s="20" t="str">
        <f>IF(ISBLANK('Raw counts'!L36),"",'Raw counts'!L36-'2'!L35)</f>
        <v/>
      </c>
      <c r="M97" s="20" t="str">
        <f>IF(ISBLANK('Raw counts'!M36),"",'Raw counts'!M36-'2'!M35)</f>
        <v/>
      </c>
      <c r="N97" s="20" t="str">
        <f>IF(ISBLANK('Raw counts'!N36),"",'Raw counts'!N36-'2'!N35)</f>
        <v/>
      </c>
      <c r="O97" s="20" t="str">
        <f>IF(ISBLANK('Raw counts'!O36),"",'Raw counts'!O36-'2'!O35)</f>
        <v/>
      </c>
      <c r="P97" s="20" t="str">
        <f>IF(ISBLANK('Raw counts'!P36),"",'Raw counts'!P36-'2'!P35)</f>
        <v/>
      </c>
      <c r="Q97" s="20" t="str">
        <f>IF(ISBLANK('Raw counts'!Q36),"",'Raw counts'!Q36-'2'!Q35)</f>
        <v/>
      </c>
      <c r="R97" s="20" t="str">
        <f>IF(ISBLANK('Raw counts'!R36),"",'Raw counts'!R36-'2'!R35)</f>
        <v/>
      </c>
      <c r="S97" s="20" t="str">
        <f>IF(ISBLANK('Raw counts'!S36),"",'Raw counts'!S36-'2'!S35)</f>
        <v/>
      </c>
      <c r="T97" s="20" t="str">
        <f>IF(ISBLANK('Raw counts'!T36),"",'Raw counts'!T36-'2'!T35)</f>
        <v/>
      </c>
      <c r="U97" s="20" t="str">
        <f>IF(ISBLANK('Raw counts'!U36),"",'Raw counts'!U36-'2'!U35)</f>
        <v/>
      </c>
    </row>
    <row r="98" spans="1:21" x14ac:dyDescent="0.15">
      <c r="A98" s="22" t="str">
        <f>IF(ISBLANK('Raw counts'!A37),"",'Raw counts'!A37)</f>
        <v>Attr33</v>
      </c>
      <c r="B98" s="20" t="str">
        <f>IF(ISBLANK('Raw counts'!B37),"",'Raw counts'!B37-'2'!B36)</f>
        <v/>
      </c>
      <c r="C98" s="20" t="str">
        <f>IF(ISBLANK('Raw counts'!C37),"",'Raw counts'!C37-'2'!C36)</f>
        <v/>
      </c>
      <c r="D98" s="20" t="str">
        <f>IF(ISBLANK('Raw counts'!D37),"",'Raw counts'!D37-'2'!D36)</f>
        <v/>
      </c>
      <c r="E98" s="20" t="str">
        <f>IF(ISBLANK('Raw counts'!E37),"",'Raw counts'!E37-'2'!E36)</f>
        <v/>
      </c>
      <c r="F98" s="20" t="str">
        <f>IF(ISBLANK('Raw counts'!F37),"",'Raw counts'!F37-'2'!F36)</f>
        <v/>
      </c>
      <c r="G98" s="20" t="str">
        <f>IF(ISBLANK('Raw counts'!G37),"",'Raw counts'!G37-'2'!G36)</f>
        <v/>
      </c>
      <c r="H98" s="20" t="str">
        <f>IF(ISBLANK('Raw counts'!H37),"",'Raw counts'!H37-'2'!H36)</f>
        <v/>
      </c>
      <c r="I98" s="20" t="str">
        <f>IF(ISBLANK('Raw counts'!I37),"",'Raw counts'!I37-'2'!I36)</f>
        <v/>
      </c>
      <c r="J98" s="20" t="str">
        <f>IF(ISBLANK('Raw counts'!J37),"",'Raw counts'!J37-'2'!J36)</f>
        <v/>
      </c>
      <c r="K98" s="20" t="str">
        <f>IF(ISBLANK('Raw counts'!K37),"",'Raw counts'!K37-'2'!K36)</f>
        <v/>
      </c>
      <c r="L98" s="20" t="str">
        <f>IF(ISBLANK('Raw counts'!L37),"",'Raw counts'!L37-'2'!L36)</f>
        <v/>
      </c>
      <c r="M98" s="20" t="str">
        <f>IF(ISBLANK('Raw counts'!M37),"",'Raw counts'!M37-'2'!M36)</f>
        <v/>
      </c>
      <c r="N98" s="20" t="str">
        <f>IF(ISBLANK('Raw counts'!N37),"",'Raw counts'!N37-'2'!N36)</f>
        <v/>
      </c>
      <c r="O98" s="20" t="str">
        <f>IF(ISBLANK('Raw counts'!O37),"",'Raw counts'!O37-'2'!O36)</f>
        <v/>
      </c>
      <c r="P98" s="20" t="str">
        <f>IF(ISBLANK('Raw counts'!P37),"",'Raw counts'!P37-'2'!P36)</f>
        <v/>
      </c>
      <c r="Q98" s="20" t="str">
        <f>IF(ISBLANK('Raw counts'!Q37),"",'Raw counts'!Q37-'2'!Q36)</f>
        <v/>
      </c>
      <c r="R98" s="20" t="str">
        <f>IF(ISBLANK('Raw counts'!R37),"",'Raw counts'!R37-'2'!R36)</f>
        <v/>
      </c>
      <c r="S98" s="20" t="str">
        <f>IF(ISBLANK('Raw counts'!S37),"",'Raw counts'!S37-'2'!S36)</f>
        <v/>
      </c>
      <c r="T98" s="20" t="str">
        <f>IF(ISBLANK('Raw counts'!T37),"",'Raw counts'!T37-'2'!T36)</f>
        <v/>
      </c>
      <c r="U98" s="20" t="str">
        <f>IF(ISBLANK('Raw counts'!U37),"",'Raw counts'!U37-'2'!U36)</f>
        <v/>
      </c>
    </row>
    <row r="99" spans="1:21" x14ac:dyDescent="0.15">
      <c r="A99" s="22" t="str">
        <f>IF(ISBLANK('Raw counts'!A38),"",'Raw counts'!A38)</f>
        <v>Attr34</v>
      </c>
      <c r="B99" s="20" t="str">
        <f>IF(ISBLANK('Raw counts'!B38),"",'Raw counts'!B38-'2'!B37)</f>
        <v/>
      </c>
      <c r="C99" s="20" t="str">
        <f>IF(ISBLANK('Raw counts'!C38),"",'Raw counts'!C38-'2'!C37)</f>
        <v/>
      </c>
      <c r="D99" s="20" t="str">
        <f>IF(ISBLANK('Raw counts'!D38),"",'Raw counts'!D38-'2'!D37)</f>
        <v/>
      </c>
      <c r="E99" s="20" t="str">
        <f>IF(ISBLANK('Raw counts'!E38),"",'Raw counts'!E38-'2'!E37)</f>
        <v/>
      </c>
      <c r="F99" s="20" t="str">
        <f>IF(ISBLANK('Raw counts'!F38),"",'Raw counts'!F38-'2'!F37)</f>
        <v/>
      </c>
      <c r="G99" s="20" t="str">
        <f>IF(ISBLANK('Raw counts'!G38),"",'Raw counts'!G38-'2'!G37)</f>
        <v/>
      </c>
      <c r="H99" s="20" t="str">
        <f>IF(ISBLANK('Raw counts'!H38),"",'Raw counts'!H38-'2'!H37)</f>
        <v/>
      </c>
      <c r="I99" s="20" t="str">
        <f>IF(ISBLANK('Raw counts'!I38),"",'Raw counts'!I38-'2'!I37)</f>
        <v/>
      </c>
      <c r="J99" s="20" t="str">
        <f>IF(ISBLANK('Raw counts'!J38),"",'Raw counts'!J38-'2'!J37)</f>
        <v/>
      </c>
      <c r="K99" s="20" t="str">
        <f>IF(ISBLANK('Raw counts'!K38),"",'Raw counts'!K38-'2'!K37)</f>
        <v/>
      </c>
      <c r="L99" s="20" t="str">
        <f>IF(ISBLANK('Raw counts'!L38),"",'Raw counts'!L38-'2'!L37)</f>
        <v/>
      </c>
      <c r="M99" s="20" t="str">
        <f>IF(ISBLANK('Raw counts'!M38),"",'Raw counts'!M38-'2'!M37)</f>
        <v/>
      </c>
      <c r="N99" s="20" t="str">
        <f>IF(ISBLANK('Raw counts'!N38),"",'Raw counts'!N38-'2'!N37)</f>
        <v/>
      </c>
      <c r="O99" s="20" t="str">
        <f>IF(ISBLANK('Raw counts'!O38),"",'Raw counts'!O38-'2'!O37)</f>
        <v/>
      </c>
      <c r="P99" s="20" t="str">
        <f>IF(ISBLANK('Raw counts'!P38),"",'Raw counts'!P38-'2'!P37)</f>
        <v/>
      </c>
      <c r="Q99" s="20" t="str">
        <f>IF(ISBLANK('Raw counts'!Q38),"",'Raw counts'!Q38-'2'!Q37)</f>
        <v/>
      </c>
      <c r="R99" s="20" t="str">
        <f>IF(ISBLANK('Raw counts'!R38),"",'Raw counts'!R38-'2'!R37)</f>
        <v/>
      </c>
      <c r="S99" s="20" t="str">
        <f>IF(ISBLANK('Raw counts'!S38),"",'Raw counts'!S38-'2'!S37)</f>
        <v/>
      </c>
      <c r="T99" s="20" t="str">
        <f>IF(ISBLANK('Raw counts'!T38),"",'Raw counts'!T38-'2'!T37)</f>
        <v/>
      </c>
      <c r="U99" s="20" t="str">
        <f>IF(ISBLANK('Raw counts'!U38),"",'Raw counts'!U38-'2'!U37)</f>
        <v/>
      </c>
    </row>
    <row r="100" spans="1:21" x14ac:dyDescent="0.15">
      <c r="A100" s="22" t="str">
        <f>IF(ISBLANK('Raw counts'!A39),"",'Raw counts'!A39)</f>
        <v>Attr35</v>
      </c>
      <c r="B100" s="20" t="str">
        <f>IF(ISBLANK('Raw counts'!B39),"",'Raw counts'!B39-'2'!B38)</f>
        <v/>
      </c>
      <c r="C100" s="20" t="str">
        <f>IF(ISBLANK('Raw counts'!C39),"",'Raw counts'!C39-'2'!C38)</f>
        <v/>
      </c>
      <c r="D100" s="20" t="str">
        <f>IF(ISBLANK('Raw counts'!D39),"",'Raw counts'!D39-'2'!D38)</f>
        <v/>
      </c>
      <c r="E100" s="20" t="str">
        <f>IF(ISBLANK('Raw counts'!E39),"",'Raw counts'!E39-'2'!E38)</f>
        <v/>
      </c>
      <c r="F100" s="20" t="str">
        <f>IF(ISBLANK('Raw counts'!F39),"",'Raw counts'!F39-'2'!F38)</f>
        <v/>
      </c>
      <c r="G100" s="20" t="str">
        <f>IF(ISBLANK('Raw counts'!G39),"",'Raw counts'!G39-'2'!G38)</f>
        <v/>
      </c>
      <c r="H100" s="20" t="str">
        <f>IF(ISBLANK('Raw counts'!H39),"",'Raw counts'!H39-'2'!H38)</f>
        <v/>
      </c>
      <c r="I100" s="20" t="str">
        <f>IF(ISBLANK('Raw counts'!I39),"",'Raw counts'!I39-'2'!I38)</f>
        <v/>
      </c>
      <c r="J100" s="20" t="str">
        <f>IF(ISBLANK('Raw counts'!J39),"",'Raw counts'!J39-'2'!J38)</f>
        <v/>
      </c>
      <c r="K100" s="20" t="str">
        <f>IF(ISBLANK('Raw counts'!K39),"",'Raw counts'!K39-'2'!K38)</f>
        <v/>
      </c>
      <c r="L100" s="20" t="str">
        <f>IF(ISBLANK('Raw counts'!L39),"",'Raw counts'!L39-'2'!L38)</f>
        <v/>
      </c>
      <c r="M100" s="20" t="str">
        <f>IF(ISBLANK('Raw counts'!M39),"",'Raw counts'!M39-'2'!M38)</f>
        <v/>
      </c>
      <c r="N100" s="20" t="str">
        <f>IF(ISBLANK('Raw counts'!N39),"",'Raw counts'!N39-'2'!N38)</f>
        <v/>
      </c>
      <c r="O100" s="20" t="str">
        <f>IF(ISBLANK('Raw counts'!O39),"",'Raw counts'!O39-'2'!O38)</f>
        <v/>
      </c>
      <c r="P100" s="20" t="str">
        <f>IF(ISBLANK('Raw counts'!P39),"",'Raw counts'!P39-'2'!P38)</f>
        <v/>
      </c>
      <c r="Q100" s="20" t="str">
        <f>IF(ISBLANK('Raw counts'!Q39),"",'Raw counts'!Q39-'2'!Q38)</f>
        <v/>
      </c>
      <c r="R100" s="20" t="str">
        <f>IF(ISBLANK('Raw counts'!R39),"",'Raw counts'!R39-'2'!R38)</f>
        <v/>
      </c>
      <c r="S100" s="20" t="str">
        <f>IF(ISBLANK('Raw counts'!S39),"",'Raw counts'!S39-'2'!S38)</f>
        <v/>
      </c>
      <c r="T100" s="20" t="str">
        <f>IF(ISBLANK('Raw counts'!T39),"",'Raw counts'!T39-'2'!T38)</f>
        <v/>
      </c>
      <c r="U100" s="20" t="str">
        <f>IF(ISBLANK('Raw counts'!U39),"",'Raw counts'!U39-'2'!U38)</f>
        <v/>
      </c>
    </row>
    <row r="101" spans="1:21" x14ac:dyDescent="0.15">
      <c r="A101" s="22" t="str">
        <f>IF(ISBLANK('Raw counts'!A40),"",'Raw counts'!A40)</f>
        <v>Attr36</v>
      </c>
      <c r="B101" s="20" t="str">
        <f>IF(ISBLANK('Raw counts'!B40),"",'Raw counts'!B40-'2'!B39)</f>
        <v/>
      </c>
      <c r="C101" s="20" t="str">
        <f>IF(ISBLANK('Raw counts'!C40),"",'Raw counts'!C40-'2'!C39)</f>
        <v/>
      </c>
      <c r="D101" s="20" t="str">
        <f>IF(ISBLANK('Raw counts'!D40),"",'Raw counts'!D40-'2'!D39)</f>
        <v/>
      </c>
      <c r="E101" s="20" t="str">
        <f>IF(ISBLANK('Raw counts'!E40),"",'Raw counts'!E40-'2'!E39)</f>
        <v/>
      </c>
      <c r="F101" s="20" t="str">
        <f>IF(ISBLANK('Raw counts'!F40),"",'Raw counts'!F40-'2'!F39)</f>
        <v/>
      </c>
      <c r="G101" s="20" t="str">
        <f>IF(ISBLANK('Raw counts'!G40),"",'Raw counts'!G40-'2'!G39)</f>
        <v/>
      </c>
      <c r="H101" s="20" t="str">
        <f>IF(ISBLANK('Raw counts'!H40),"",'Raw counts'!H40-'2'!H39)</f>
        <v/>
      </c>
      <c r="I101" s="20" t="str">
        <f>IF(ISBLANK('Raw counts'!I40),"",'Raw counts'!I40-'2'!I39)</f>
        <v/>
      </c>
      <c r="J101" s="20" t="str">
        <f>IF(ISBLANK('Raw counts'!J40),"",'Raw counts'!J40-'2'!J39)</f>
        <v/>
      </c>
      <c r="K101" s="20" t="str">
        <f>IF(ISBLANK('Raw counts'!K40),"",'Raw counts'!K40-'2'!K39)</f>
        <v/>
      </c>
      <c r="L101" s="20" t="str">
        <f>IF(ISBLANK('Raw counts'!L40),"",'Raw counts'!L40-'2'!L39)</f>
        <v/>
      </c>
      <c r="M101" s="20" t="str">
        <f>IF(ISBLANK('Raw counts'!M40),"",'Raw counts'!M40-'2'!M39)</f>
        <v/>
      </c>
      <c r="N101" s="20" t="str">
        <f>IF(ISBLANK('Raw counts'!N40),"",'Raw counts'!N40-'2'!N39)</f>
        <v/>
      </c>
      <c r="O101" s="20" t="str">
        <f>IF(ISBLANK('Raw counts'!O40),"",'Raw counts'!O40-'2'!O39)</f>
        <v/>
      </c>
      <c r="P101" s="20" t="str">
        <f>IF(ISBLANK('Raw counts'!P40),"",'Raw counts'!P40-'2'!P39)</f>
        <v/>
      </c>
      <c r="Q101" s="20" t="str">
        <f>IF(ISBLANK('Raw counts'!Q40),"",'Raw counts'!Q40-'2'!Q39)</f>
        <v/>
      </c>
      <c r="R101" s="20" t="str">
        <f>IF(ISBLANK('Raw counts'!R40),"",'Raw counts'!R40-'2'!R39)</f>
        <v/>
      </c>
      <c r="S101" s="20" t="str">
        <f>IF(ISBLANK('Raw counts'!S40),"",'Raw counts'!S40-'2'!S39)</f>
        <v/>
      </c>
      <c r="T101" s="20" t="str">
        <f>IF(ISBLANK('Raw counts'!T40),"",'Raw counts'!T40-'2'!T39)</f>
        <v/>
      </c>
      <c r="U101" s="20" t="str">
        <f>IF(ISBLANK('Raw counts'!U40),"",'Raw counts'!U40-'2'!U39)</f>
        <v/>
      </c>
    </row>
    <row r="102" spans="1:21" x14ac:dyDescent="0.15">
      <c r="A102" s="22" t="str">
        <f>IF(ISBLANK('Raw counts'!A41),"",'Raw counts'!A41)</f>
        <v>Attr37</v>
      </c>
      <c r="B102" s="20" t="str">
        <f>IF(ISBLANK('Raw counts'!B41),"",'Raw counts'!B41-'2'!B40)</f>
        <v/>
      </c>
      <c r="C102" s="20" t="str">
        <f>IF(ISBLANK('Raw counts'!C41),"",'Raw counts'!C41-'2'!C40)</f>
        <v/>
      </c>
      <c r="D102" s="20" t="str">
        <f>IF(ISBLANK('Raw counts'!D41),"",'Raw counts'!D41-'2'!D40)</f>
        <v/>
      </c>
      <c r="E102" s="20" t="str">
        <f>IF(ISBLANK('Raw counts'!E41),"",'Raw counts'!E41-'2'!E40)</f>
        <v/>
      </c>
      <c r="F102" s="20" t="str">
        <f>IF(ISBLANK('Raw counts'!F41),"",'Raw counts'!F41-'2'!F40)</f>
        <v/>
      </c>
      <c r="G102" s="20" t="str">
        <f>IF(ISBLANK('Raw counts'!G41),"",'Raw counts'!G41-'2'!G40)</f>
        <v/>
      </c>
      <c r="H102" s="20" t="str">
        <f>IF(ISBLANK('Raw counts'!H41),"",'Raw counts'!H41-'2'!H40)</f>
        <v/>
      </c>
      <c r="I102" s="20" t="str">
        <f>IF(ISBLANK('Raw counts'!I41),"",'Raw counts'!I41-'2'!I40)</f>
        <v/>
      </c>
      <c r="J102" s="20" t="str">
        <f>IF(ISBLANK('Raw counts'!J41),"",'Raw counts'!J41-'2'!J40)</f>
        <v/>
      </c>
      <c r="K102" s="20" t="str">
        <f>IF(ISBLANK('Raw counts'!K41),"",'Raw counts'!K41-'2'!K40)</f>
        <v/>
      </c>
      <c r="L102" s="20" t="str">
        <f>IF(ISBLANK('Raw counts'!L41),"",'Raw counts'!L41-'2'!L40)</f>
        <v/>
      </c>
      <c r="M102" s="20" t="str">
        <f>IF(ISBLANK('Raw counts'!M41),"",'Raw counts'!M41-'2'!M40)</f>
        <v/>
      </c>
      <c r="N102" s="20" t="str">
        <f>IF(ISBLANK('Raw counts'!N41),"",'Raw counts'!N41-'2'!N40)</f>
        <v/>
      </c>
      <c r="O102" s="20" t="str">
        <f>IF(ISBLANK('Raw counts'!O41),"",'Raw counts'!O41-'2'!O40)</f>
        <v/>
      </c>
      <c r="P102" s="20" t="str">
        <f>IF(ISBLANK('Raw counts'!P41),"",'Raw counts'!P41-'2'!P40)</f>
        <v/>
      </c>
      <c r="Q102" s="20" t="str">
        <f>IF(ISBLANK('Raw counts'!Q41),"",'Raw counts'!Q41-'2'!Q40)</f>
        <v/>
      </c>
      <c r="R102" s="20" t="str">
        <f>IF(ISBLANK('Raw counts'!R41),"",'Raw counts'!R41-'2'!R40)</f>
        <v/>
      </c>
      <c r="S102" s="20" t="str">
        <f>IF(ISBLANK('Raw counts'!S41),"",'Raw counts'!S41-'2'!S40)</f>
        <v/>
      </c>
      <c r="T102" s="20" t="str">
        <f>IF(ISBLANK('Raw counts'!T41),"",'Raw counts'!T41-'2'!T40)</f>
        <v/>
      </c>
      <c r="U102" s="20" t="str">
        <f>IF(ISBLANK('Raw counts'!U41),"",'Raw counts'!U41-'2'!U40)</f>
        <v/>
      </c>
    </row>
    <row r="103" spans="1:21" x14ac:dyDescent="0.15">
      <c r="A103" s="22" t="str">
        <f>IF(ISBLANK('Raw counts'!A42),"",'Raw counts'!A42)</f>
        <v>Attr38</v>
      </c>
      <c r="B103" s="20" t="str">
        <f>IF(ISBLANK('Raw counts'!B42),"",'Raw counts'!B42-'2'!B41)</f>
        <v/>
      </c>
      <c r="C103" s="20" t="str">
        <f>IF(ISBLANK('Raw counts'!C42),"",'Raw counts'!C42-'2'!C41)</f>
        <v/>
      </c>
      <c r="D103" s="20" t="str">
        <f>IF(ISBLANK('Raw counts'!D42),"",'Raw counts'!D42-'2'!D41)</f>
        <v/>
      </c>
      <c r="E103" s="20" t="str">
        <f>IF(ISBLANK('Raw counts'!E42),"",'Raw counts'!E42-'2'!E41)</f>
        <v/>
      </c>
      <c r="F103" s="20" t="str">
        <f>IF(ISBLANK('Raw counts'!F42),"",'Raw counts'!F42-'2'!F41)</f>
        <v/>
      </c>
      <c r="G103" s="20" t="str">
        <f>IF(ISBLANK('Raw counts'!G42),"",'Raw counts'!G42-'2'!G41)</f>
        <v/>
      </c>
      <c r="H103" s="20" t="str">
        <f>IF(ISBLANK('Raw counts'!H42),"",'Raw counts'!H42-'2'!H41)</f>
        <v/>
      </c>
      <c r="I103" s="20" t="str">
        <f>IF(ISBLANK('Raw counts'!I42),"",'Raw counts'!I42-'2'!I41)</f>
        <v/>
      </c>
      <c r="J103" s="20" t="str">
        <f>IF(ISBLANK('Raw counts'!J42),"",'Raw counts'!J42-'2'!J41)</f>
        <v/>
      </c>
      <c r="K103" s="20" t="str">
        <f>IF(ISBLANK('Raw counts'!K42),"",'Raw counts'!K42-'2'!K41)</f>
        <v/>
      </c>
      <c r="L103" s="20" t="str">
        <f>IF(ISBLANK('Raw counts'!L42),"",'Raw counts'!L42-'2'!L41)</f>
        <v/>
      </c>
      <c r="M103" s="20" t="str">
        <f>IF(ISBLANK('Raw counts'!M42),"",'Raw counts'!M42-'2'!M41)</f>
        <v/>
      </c>
      <c r="N103" s="20" t="str">
        <f>IF(ISBLANK('Raw counts'!N42),"",'Raw counts'!N42-'2'!N41)</f>
        <v/>
      </c>
      <c r="O103" s="20" t="str">
        <f>IF(ISBLANK('Raw counts'!O42),"",'Raw counts'!O42-'2'!O41)</f>
        <v/>
      </c>
      <c r="P103" s="20" t="str">
        <f>IF(ISBLANK('Raw counts'!P42),"",'Raw counts'!P42-'2'!P41)</f>
        <v/>
      </c>
      <c r="Q103" s="20" t="str">
        <f>IF(ISBLANK('Raw counts'!Q42),"",'Raw counts'!Q42-'2'!Q41)</f>
        <v/>
      </c>
      <c r="R103" s="20" t="str">
        <f>IF(ISBLANK('Raw counts'!R42),"",'Raw counts'!R42-'2'!R41)</f>
        <v/>
      </c>
      <c r="S103" s="20" t="str">
        <f>IF(ISBLANK('Raw counts'!S42),"",'Raw counts'!S42-'2'!S41)</f>
        <v/>
      </c>
      <c r="T103" s="20" t="str">
        <f>IF(ISBLANK('Raw counts'!T42),"",'Raw counts'!T42-'2'!T41)</f>
        <v/>
      </c>
      <c r="U103" s="20" t="str">
        <f>IF(ISBLANK('Raw counts'!U42),"",'Raw counts'!U42-'2'!U41)</f>
        <v/>
      </c>
    </row>
    <row r="104" spans="1:21" x14ac:dyDescent="0.15">
      <c r="A104" s="22" t="str">
        <f>IF(ISBLANK('Raw counts'!A43),"",'Raw counts'!A43)</f>
        <v>Attr39</v>
      </c>
      <c r="B104" s="20" t="str">
        <f>IF(ISBLANK('Raw counts'!B43),"",'Raw counts'!B43-'2'!B42)</f>
        <v/>
      </c>
      <c r="C104" s="20" t="str">
        <f>IF(ISBLANK('Raw counts'!C43),"",'Raw counts'!C43-'2'!C42)</f>
        <v/>
      </c>
      <c r="D104" s="20" t="str">
        <f>IF(ISBLANK('Raw counts'!D43),"",'Raw counts'!D43-'2'!D42)</f>
        <v/>
      </c>
      <c r="E104" s="20" t="str">
        <f>IF(ISBLANK('Raw counts'!E43),"",'Raw counts'!E43-'2'!E42)</f>
        <v/>
      </c>
      <c r="F104" s="20" t="str">
        <f>IF(ISBLANK('Raw counts'!F43),"",'Raw counts'!F43-'2'!F42)</f>
        <v/>
      </c>
      <c r="G104" s="20" t="str">
        <f>IF(ISBLANK('Raw counts'!G43),"",'Raw counts'!G43-'2'!G42)</f>
        <v/>
      </c>
      <c r="H104" s="20" t="str">
        <f>IF(ISBLANK('Raw counts'!H43),"",'Raw counts'!H43-'2'!H42)</f>
        <v/>
      </c>
      <c r="I104" s="20" t="str">
        <f>IF(ISBLANK('Raw counts'!I43),"",'Raw counts'!I43-'2'!I42)</f>
        <v/>
      </c>
      <c r="J104" s="20" t="str">
        <f>IF(ISBLANK('Raw counts'!J43),"",'Raw counts'!J43-'2'!J42)</f>
        <v/>
      </c>
      <c r="K104" s="20" t="str">
        <f>IF(ISBLANK('Raw counts'!K43),"",'Raw counts'!K43-'2'!K42)</f>
        <v/>
      </c>
      <c r="L104" s="20" t="str">
        <f>IF(ISBLANK('Raw counts'!L43),"",'Raw counts'!L43-'2'!L42)</f>
        <v/>
      </c>
      <c r="M104" s="20" t="str">
        <f>IF(ISBLANK('Raw counts'!M43),"",'Raw counts'!M43-'2'!M42)</f>
        <v/>
      </c>
      <c r="N104" s="20" t="str">
        <f>IF(ISBLANK('Raw counts'!N43),"",'Raw counts'!N43-'2'!N42)</f>
        <v/>
      </c>
      <c r="O104" s="20" t="str">
        <f>IF(ISBLANK('Raw counts'!O43),"",'Raw counts'!O43-'2'!O42)</f>
        <v/>
      </c>
      <c r="P104" s="20" t="str">
        <f>IF(ISBLANK('Raw counts'!P43),"",'Raw counts'!P43-'2'!P42)</f>
        <v/>
      </c>
      <c r="Q104" s="20" t="str">
        <f>IF(ISBLANK('Raw counts'!Q43),"",'Raw counts'!Q43-'2'!Q42)</f>
        <v/>
      </c>
      <c r="R104" s="20" t="str">
        <f>IF(ISBLANK('Raw counts'!R43),"",'Raw counts'!R43-'2'!R42)</f>
        <v/>
      </c>
      <c r="S104" s="20" t="str">
        <f>IF(ISBLANK('Raw counts'!S43),"",'Raw counts'!S43-'2'!S42)</f>
        <v/>
      </c>
      <c r="T104" s="20" t="str">
        <f>IF(ISBLANK('Raw counts'!T43),"",'Raw counts'!T43-'2'!T42)</f>
        <v/>
      </c>
      <c r="U104" s="20" t="str">
        <f>IF(ISBLANK('Raw counts'!U43),"",'Raw counts'!U43-'2'!U42)</f>
        <v/>
      </c>
    </row>
    <row r="105" spans="1:21" x14ac:dyDescent="0.15">
      <c r="A105" s="22" t="str">
        <f>IF(ISBLANK('Raw counts'!A44),"",'Raw counts'!A44)</f>
        <v>Attr40</v>
      </c>
      <c r="B105" s="20" t="str">
        <f>IF(ISBLANK('Raw counts'!B44),"",'Raw counts'!B44-'2'!B43)</f>
        <v/>
      </c>
      <c r="C105" s="20" t="str">
        <f>IF(ISBLANK('Raw counts'!C44),"",'Raw counts'!C44-'2'!C43)</f>
        <v/>
      </c>
      <c r="D105" s="20" t="str">
        <f>IF(ISBLANK('Raw counts'!D44),"",'Raw counts'!D44-'2'!D43)</f>
        <v/>
      </c>
      <c r="E105" s="20" t="str">
        <f>IF(ISBLANK('Raw counts'!E44),"",'Raw counts'!E44-'2'!E43)</f>
        <v/>
      </c>
      <c r="F105" s="20" t="str">
        <f>IF(ISBLANK('Raw counts'!F44),"",'Raw counts'!F44-'2'!F43)</f>
        <v/>
      </c>
      <c r="G105" s="20" t="str">
        <f>IF(ISBLANK('Raw counts'!G44),"",'Raw counts'!G44-'2'!G43)</f>
        <v/>
      </c>
      <c r="H105" s="20" t="str">
        <f>IF(ISBLANK('Raw counts'!H44),"",'Raw counts'!H44-'2'!H43)</f>
        <v/>
      </c>
      <c r="I105" s="20" t="str">
        <f>IF(ISBLANK('Raw counts'!I44),"",'Raw counts'!I44-'2'!I43)</f>
        <v/>
      </c>
      <c r="J105" s="20" t="str">
        <f>IF(ISBLANK('Raw counts'!J44),"",'Raw counts'!J44-'2'!J43)</f>
        <v/>
      </c>
      <c r="K105" s="20" t="str">
        <f>IF(ISBLANK('Raw counts'!K44),"",'Raw counts'!K44-'2'!K43)</f>
        <v/>
      </c>
      <c r="L105" s="20" t="str">
        <f>IF(ISBLANK('Raw counts'!L44),"",'Raw counts'!L44-'2'!L43)</f>
        <v/>
      </c>
      <c r="M105" s="20" t="str">
        <f>IF(ISBLANK('Raw counts'!M44),"",'Raw counts'!M44-'2'!M43)</f>
        <v/>
      </c>
      <c r="N105" s="20" t="str">
        <f>IF(ISBLANK('Raw counts'!N44),"",'Raw counts'!N44-'2'!N43)</f>
        <v/>
      </c>
      <c r="O105" s="20" t="str">
        <f>IF(ISBLANK('Raw counts'!O44),"",'Raw counts'!O44-'2'!O43)</f>
        <v/>
      </c>
      <c r="P105" s="20" t="str">
        <f>IF(ISBLANK('Raw counts'!P44),"",'Raw counts'!P44-'2'!P43)</f>
        <v/>
      </c>
      <c r="Q105" s="20" t="str">
        <f>IF(ISBLANK('Raw counts'!Q44),"",'Raw counts'!Q44-'2'!Q43)</f>
        <v/>
      </c>
      <c r="R105" s="20" t="str">
        <f>IF(ISBLANK('Raw counts'!R44),"",'Raw counts'!R44-'2'!R43)</f>
        <v/>
      </c>
      <c r="S105" s="20" t="str">
        <f>IF(ISBLANK('Raw counts'!S44),"",'Raw counts'!S44-'2'!S43)</f>
        <v/>
      </c>
      <c r="T105" s="20" t="str">
        <f>IF(ISBLANK('Raw counts'!T44),"",'Raw counts'!T44-'2'!T43)</f>
        <v/>
      </c>
      <c r="U105" s="20" t="str">
        <f>IF(ISBLANK('Raw counts'!U44),"",'Raw counts'!U44-'2'!U43)</f>
        <v/>
      </c>
    </row>
    <row r="106" spans="1:21" x14ac:dyDescent="0.15">
      <c r="A106" s="22" t="str">
        <f>IF(ISBLANK('Raw counts'!A45),"",'Raw counts'!A45)</f>
        <v>Attr41</v>
      </c>
      <c r="B106" s="20" t="str">
        <f>IF(ISBLANK('Raw counts'!B45),"",'Raw counts'!B45-'2'!B44)</f>
        <v/>
      </c>
      <c r="C106" s="20" t="str">
        <f>IF(ISBLANK('Raw counts'!C45),"",'Raw counts'!C45-'2'!C44)</f>
        <v/>
      </c>
      <c r="D106" s="20" t="str">
        <f>IF(ISBLANK('Raw counts'!D45),"",'Raw counts'!D45-'2'!D44)</f>
        <v/>
      </c>
      <c r="E106" s="20" t="str">
        <f>IF(ISBLANK('Raw counts'!E45),"",'Raw counts'!E45-'2'!E44)</f>
        <v/>
      </c>
      <c r="F106" s="20" t="str">
        <f>IF(ISBLANK('Raw counts'!F45),"",'Raw counts'!F45-'2'!F44)</f>
        <v/>
      </c>
      <c r="G106" s="20" t="str">
        <f>IF(ISBLANK('Raw counts'!G45),"",'Raw counts'!G45-'2'!G44)</f>
        <v/>
      </c>
      <c r="H106" s="20" t="str">
        <f>IF(ISBLANK('Raw counts'!H45),"",'Raw counts'!H45-'2'!H44)</f>
        <v/>
      </c>
      <c r="I106" s="20" t="str">
        <f>IF(ISBLANK('Raw counts'!I45),"",'Raw counts'!I45-'2'!I44)</f>
        <v/>
      </c>
      <c r="J106" s="20" t="str">
        <f>IF(ISBLANK('Raw counts'!J45),"",'Raw counts'!J45-'2'!J44)</f>
        <v/>
      </c>
      <c r="K106" s="20" t="str">
        <f>IF(ISBLANK('Raw counts'!K45),"",'Raw counts'!K45-'2'!K44)</f>
        <v/>
      </c>
      <c r="L106" s="20" t="str">
        <f>IF(ISBLANK('Raw counts'!L45),"",'Raw counts'!L45-'2'!L44)</f>
        <v/>
      </c>
      <c r="M106" s="20" t="str">
        <f>IF(ISBLANK('Raw counts'!M45),"",'Raw counts'!M45-'2'!M44)</f>
        <v/>
      </c>
      <c r="N106" s="20" t="str">
        <f>IF(ISBLANK('Raw counts'!N45),"",'Raw counts'!N45-'2'!N44)</f>
        <v/>
      </c>
      <c r="O106" s="20" t="str">
        <f>IF(ISBLANK('Raw counts'!O45),"",'Raw counts'!O45-'2'!O44)</f>
        <v/>
      </c>
      <c r="P106" s="20" t="str">
        <f>IF(ISBLANK('Raw counts'!P45),"",'Raw counts'!P45-'2'!P44)</f>
        <v/>
      </c>
      <c r="Q106" s="20" t="str">
        <f>IF(ISBLANK('Raw counts'!Q45),"",'Raw counts'!Q45-'2'!Q44)</f>
        <v/>
      </c>
      <c r="R106" s="20" t="str">
        <f>IF(ISBLANK('Raw counts'!R45),"",'Raw counts'!R45-'2'!R44)</f>
        <v/>
      </c>
      <c r="S106" s="20" t="str">
        <f>IF(ISBLANK('Raw counts'!S45),"",'Raw counts'!S45-'2'!S44)</f>
        <v/>
      </c>
      <c r="T106" s="20" t="str">
        <f>IF(ISBLANK('Raw counts'!T45),"",'Raw counts'!T45-'2'!T44)</f>
        <v/>
      </c>
      <c r="U106" s="20" t="str">
        <f>IF(ISBLANK('Raw counts'!U45),"",'Raw counts'!U45-'2'!U44)</f>
        <v/>
      </c>
    </row>
    <row r="107" spans="1:21" x14ac:dyDescent="0.15">
      <c r="A107" s="22" t="str">
        <f>IF(ISBLANK('Raw counts'!A46),"",'Raw counts'!A46)</f>
        <v>Attr42</v>
      </c>
      <c r="B107" s="20" t="str">
        <f>IF(ISBLANK('Raw counts'!B46),"",'Raw counts'!B46-'2'!B45)</f>
        <v/>
      </c>
      <c r="C107" s="20" t="str">
        <f>IF(ISBLANK('Raw counts'!C46),"",'Raw counts'!C46-'2'!C45)</f>
        <v/>
      </c>
      <c r="D107" s="20" t="str">
        <f>IF(ISBLANK('Raw counts'!D46),"",'Raw counts'!D46-'2'!D45)</f>
        <v/>
      </c>
      <c r="E107" s="20" t="str">
        <f>IF(ISBLANK('Raw counts'!E46),"",'Raw counts'!E46-'2'!E45)</f>
        <v/>
      </c>
      <c r="F107" s="20" t="str">
        <f>IF(ISBLANK('Raw counts'!F46),"",'Raw counts'!F46-'2'!F45)</f>
        <v/>
      </c>
      <c r="G107" s="20" t="str">
        <f>IF(ISBLANK('Raw counts'!G46),"",'Raw counts'!G46-'2'!G45)</f>
        <v/>
      </c>
      <c r="H107" s="20" t="str">
        <f>IF(ISBLANK('Raw counts'!H46),"",'Raw counts'!H46-'2'!H45)</f>
        <v/>
      </c>
      <c r="I107" s="20" t="str">
        <f>IF(ISBLANK('Raw counts'!I46),"",'Raw counts'!I46-'2'!I45)</f>
        <v/>
      </c>
      <c r="J107" s="20" t="str">
        <f>IF(ISBLANK('Raw counts'!J46),"",'Raw counts'!J46-'2'!J45)</f>
        <v/>
      </c>
      <c r="K107" s="20" t="str">
        <f>IF(ISBLANK('Raw counts'!K46),"",'Raw counts'!K46-'2'!K45)</f>
        <v/>
      </c>
      <c r="L107" s="20" t="str">
        <f>IF(ISBLANK('Raw counts'!L46),"",'Raw counts'!L46-'2'!L45)</f>
        <v/>
      </c>
      <c r="M107" s="20" t="str">
        <f>IF(ISBLANK('Raw counts'!M46),"",'Raw counts'!M46-'2'!M45)</f>
        <v/>
      </c>
      <c r="N107" s="20" t="str">
        <f>IF(ISBLANK('Raw counts'!N46),"",'Raw counts'!N46-'2'!N45)</f>
        <v/>
      </c>
      <c r="O107" s="20" t="str">
        <f>IF(ISBLANK('Raw counts'!O46),"",'Raw counts'!O46-'2'!O45)</f>
        <v/>
      </c>
      <c r="P107" s="20" t="str">
        <f>IF(ISBLANK('Raw counts'!P46),"",'Raw counts'!P46-'2'!P45)</f>
        <v/>
      </c>
      <c r="Q107" s="20" t="str">
        <f>IF(ISBLANK('Raw counts'!Q46),"",'Raw counts'!Q46-'2'!Q45)</f>
        <v/>
      </c>
      <c r="R107" s="20" t="str">
        <f>IF(ISBLANK('Raw counts'!R46),"",'Raw counts'!R46-'2'!R45)</f>
        <v/>
      </c>
      <c r="S107" s="20" t="str">
        <f>IF(ISBLANK('Raw counts'!S46),"",'Raw counts'!S46-'2'!S45)</f>
        <v/>
      </c>
      <c r="T107" s="20" t="str">
        <f>IF(ISBLANK('Raw counts'!T46),"",'Raw counts'!T46-'2'!T45)</f>
        <v/>
      </c>
      <c r="U107" s="20" t="str">
        <f>IF(ISBLANK('Raw counts'!U46),"",'Raw counts'!U46-'2'!U45)</f>
        <v/>
      </c>
    </row>
    <row r="108" spans="1:21" x14ac:dyDescent="0.15">
      <c r="A108" s="22" t="str">
        <f>IF(ISBLANK('Raw counts'!A47),"",'Raw counts'!A47)</f>
        <v>Attr43</v>
      </c>
      <c r="B108" s="20" t="str">
        <f>IF(ISBLANK('Raw counts'!B47),"",'Raw counts'!B47-'2'!B46)</f>
        <v/>
      </c>
      <c r="C108" s="20" t="str">
        <f>IF(ISBLANK('Raw counts'!C47),"",'Raw counts'!C47-'2'!C46)</f>
        <v/>
      </c>
      <c r="D108" s="20" t="str">
        <f>IF(ISBLANK('Raw counts'!D47),"",'Raw counts'!D47-'2'!D46)</f>
        <v/>
      </c>
      <c r="E108" s="20" t="str">
        <f>IF(ISBLANK('Raw counts'!E47),"",'Raw counts'!E47-'2'!E46)</f>
        <v/>
      </c>
      <c r="F108" s="20" t="str">
        <f>IF(ISBLANK('Raw counts'!F47),"",'Raw counts'!F47-'2'!F46)</f>
        <v/>
      </c>
      <c r="G108" s="20" t="str">
        <f>IF(ISBLANK('Raw counts'!G47),"",'Raw counts'!G47-'2'!G46)</f>
        <v/>
      </c>
      <c r="H108" s="20" t="str">
        <f>IF(ISBLANK('Raw counts'!H47),"",'Raw counts'!H47-'2'!H46)</f>
        <v/>
      </c>
      <c r="I108" s="20" t="str">
        <f>IF(ISBLANK('Raw counts'!I47),"",'Raw counts'!I47-'2'!I46)</f>
        <v/>
      </c>
      <c r="J108" s="20" t="str">
        <f>IF(ISBLANK('Raw counts'!J47),"",'Raw counts'!J47-'2'!J46)</f>
        <v/>
      </c>
      <c r="K108" s="20" t="str">
        <f>IF(ISBLANK('Raw counts'!K47),"",'Raw counts'!K47-'2'!K46)</f>
        <v/>
      </c>
      <c r="L108" s="20" t="str">
        <f>IF(ISBLANK('Raw counts'!L47),"",'Raw counts'!L47-'2'!L46)</f>
        <v/>
      </c>
      <c r="M108" s="20" t="str">
        <f>IF(ISBLANK('Raw counts'!M47),"",'Raw counts'!M47-'2'!M46)</f>
        <v/>
      </c>
      <c r="N108" s="20" t="str">
        <f>IF(ISBLANK('Raw counts'!N47),"",'Raw counts'!N47-'2'!N46)</f>
        <v/>
      </c>
      <c r="O108" s="20" t="str">
        <f>IF(ISBLANK('Raw counts'!O47),"",'Raw counts'!O47-'2'!O46)</f>
        <v/>
      </c>
      <c r="P108" s="20" t="str">
        <f>IF(ISBLANK('Raw counts'!P47),"",'Raw counts'!P47-'2'!P46)</f>
        <v/>
      </c>
      <c r="Q108" s="20" t="str">
        <f>IF(ISBLANK('Raw counts'!Q47),"",'Raw counts'!Q47-'2'!Q46)</f>
        <v/>
      </c>
      <c r="R108" s="20" t="str">
        <f>IF(ISBLANK('Raw counts'!R47),"",'Raw counts'!R47-'2'!R46)</f>
        <v/>
      </c>
      <c r="S108" s="20" t="str">
        <f>IF(ISBLANK('Raw counts'!S47),"",'Raw counts'!S47-'2'!S46)</f>
        <v/>
      </c>
      <c r="T108" s="20" t="str">
        <f>IF(ISBLANK('Raw counts'!T47),"",'Raw counts'!T47-'2'!T46)</f>
        <v/>
      </c>
      <c r="U108" s="20" t="str">
        <f>IF(ISBLANK('Raw counts'!U47),"",'Raw counts'!U47-'2'!U46)</f>
        <v/>
      </c>
    </row>
    <row r="109" spans="1:21" x14ac:dyDescent="0.15">
      <c r="A109" s="22" t="str">
        <f>IF(ISBLANK('Raw counts'!A48),"",'Raw counts'!A48)</f>
        <v>Attr44</v>
      </c>
      <c r="B109" s="20" t="str">
        <f>IF(ISBLANK('Raw counts'!B48),"",'Raw counts'!B48-'2'!B47)</f>
        <v/>
      </c>
      <c r="C109" s="20" t="str">
        <f>IF(ISBLANK('Raw counts'!C48),"",'Raw counts'!C48-'2'!C47)</f>
        <v/>
      </c>
      <c r="D109" s="20" t="str">
        <f>IF(ISBLANK('Raw counts'!D48),"",'Raw counts'!D48-'2'!D47)</f>
        <v/>
      </c>
      <c r="E109" s="20" t="str">
        <f>IF(ISBLANK('Raw counts'!E48),"",'Raw counts'!E48-'2'!E47)</f>
        <v/>
      </c>
      <c r="F109" s="20" t="str">
        <f>IF(ISBLANK('Raw counts'!F48),"",'Raw counts'!F48-'2'!F47)</f>
        <v/>
      </c>
      <c r="G109" s="20" t="str">
        <f>IF(ISBLANK('Raw counts'!G48),"",'Raw counts'!G48-'2'!G47)</f>
        <v/>
      </c>
      <c r="H109" s="20" t="str">
        <f>IF(ISBLANK('Raw counts'!H48),"",'Raw counts'!H48-'2'!H47)</f>
        <v/>
      </c>
      <c r="I109" s="20" t="str">
        <f>IF(ISBLANK('Raw counts'!I48),"",'Raw counts'!I48-'2'!I47)</f>
        <v/>
      </c>
      <c r="J109" s="20" t="str">
        <f>IF(ISBLANK('Raw counts'!J48),"",'Raw counts'!J48-'2'!J47)</f>
        <v/>
      </c>
      <c r="K109" s="20" t="str">
        <f>IF(ISBLANK('Raw counts'!K48),"",'Raw counts'!K48-'2'!K47)</f>
        <v/>
      </c>
      <c r="L109" s="20" t="str">
        <f>IF(ISBLANK('Raw counts'!L48),"",'Raw counts'!L48-'2'!L47)</f>
        <v/>
      </c>
      <c r="M109" s="20" t="str">
        <f>IF(ISBLANK('Raw counts'!M48),"",'Raw counts'!M48-'2'!M47)</f>
        <v/>
      </c>
      <c r="N109" s="20" t="str">
        <f>IF(ISBLANK('Raw counts'!N48),"",'Raw counts'!N48-'2'!N47)</f>
        <v/>
      </c>
      <c r="O109" s="20" t="str">
        <f>IF(ISBLANK('Raw counts'!O48),"",'Raw counts'!O48-'2'!O47)</f>
        <v/>
      </c>
      <c r="P109" s="20" t="str">
        <f>IF(ISBLANK('Raw counts'!P48),"",'Raw counts'!P48-'2'!P47)</f>
        <v/>
      </c>
      <c r="Q109" s="20" t="str">
        <f>IF(ISBLANK('Raw counts'!Q48),"",'Raw counts'!Q48-'2'!Q47)</f>
        <v/>
      </c>
      <c r="R109" s="20" t="str">
        <f>IF(ISBLANK('Raw counts'!R48),"",'Raw counts'!R48-'2'!R47)</f>
        <v/>
      </c>
      <c r="S109" s="20" t="str">
        <f>IF(ISBLANK('Raw counts'!S48),"",'Raw counts'!S48-'2'!S47)</f>
        <v/>
      </c>
      <c r="T109" s="20" t="str">
        <f>IF(ISBLANK('Raw counts'!T48),"",'Raw counts'!T48-'2'!T47)</f>
        <v/>
      </c>
      <c r="U109" s="20" t="str">
        <f>IF(ISBLANK('Raw counts'!U48),"",'Raw counts'!U48-'2'!U47)</f>
        <v/>
      </c>
    </row>
    <row r="110" spans="1:21" x14ac:dyDescent="0.15">
      <c r="A110" s="22" t="str">
        <f>IF(ISBLANK('Raw counts'!A49),"",'Raw counts'!A49)</f>
        <v>Attr45</v>
      </c>
      <c r="B110" s="20" t="str">
        <f>IF(ISBLANK('Raw counts'!B49),"",'Raw counts'!B49-'2'!B48)</f>
        <v/>
      </c>
      <c r="C110" s="20" t="str">
        <f>IF(ISBLANK('Raw counts'!C49),"",'Raw counts'!C49-'2'!C48)</f>
        <v/>
      </c>
      <c r="D110" s="20" t="str">
        <f>IF(ISBLANK('Raw counts'!D49),"",'Raw counts'!D49-'2'!D48)</f>
        <v/>
      </c>
      <c r="E110" s="20" t="str">
        <f>IF(ISBLANK('Raw counts'!E49),"",'Raw counts'!E49-'2'!E48)</f>
        <v/>
      </c>
      <c r="F110" s="20" t="str">
        <f>IF(ISBLANK('Raw counts'!F49),"",'Raw counts'!F49-'2'!F48)</f>
        <v/>
      </c>
      <c r="G110" s="20" t="str">
        <f>IF(ISBLANK('Raw counts'!G49),"",'Raw counts'!G49-'2'!G48)</f>
        <v/>
      </c>
      <c r="H110" s="20" t="str">
        <f>IF(ISBLANK('Raw counts'!H49),"",'Raw counts'!H49-'2'!H48)</f>
        <v/>
      </c>
      <c r="I110" s="20" t="str">
        <f>IF(ISBLANK('Raw counts'!I49),"",'Raw counts'!I49-'2'!I48)</f>
        <v/>
      </c>
      <c r="J110" s="20" t="str">
        <f>IF(ISBLANK('Raw counts'!J49),"",'Raw counts'!J49-'2'!J48)</f>
        <v/>
      </c>
      <c r="K110" s="20" t="str">
        <f>IF(ISBLANK('Raw counts'!K49),"",'Raw counts'!K49-'2'!K48)</f>
        <v/>
      </c>
      <c r="L110" s="20" t="str">
        <f>IF(ISBLANK('Raw counts'!L49),"",'Raw counts'!L49-'2'!L48)</f>
        <v/>
      </c>
      <c r="M110" s="20" t="str">
        <f>IF(ISBLANK('Raw counts'!M49),"",'Raw counts'!M49-'2'!M48)</f>
        <v/>
      </c>
      <c r="N110" s="20" t="str">
        <f>IF(ISBLANK('Raw counts'!N49),"",'Raw counts'!N49-'2'!N48)</f>
        <v/>
      </c>
      <c r="O110" s="20" t="str">
        <f>IF(ISBLANK('Raw counts'!O49),"",'Raw counts'!O49-'2'!O48)</f>
        <v/>
      </c>
      <c r="P110" s="20" t="str">
        <f>IF(ISBLANK('Raw counts'!P49),"",'Raw counts'!P49-'2'!P48)</f>
        <v/>
      </c>
      <c r="Q110" s="20" t="str">
        <f>IF(ISBLANK('Raw counts'!Q49),"",'Raw counts'!Q49-'2'!Q48)</f>
        <v/>
      </c>
      <c r="R110" s="20" t="str">
        <f>IF(ISBLANK('Raw counts'!R49),"",'Raw counts'!R49-'2'!R48)</f>
        <v/>
      </c>
      <c r="S110" s="20" t="str">
        <f>IF(ISBLANK('Raw counts'!S49),"",'Raw counts'!S49-'2'!S48)</f>
        <v/>
      </c>
      <c r="T110" s="20" t="str">
        <f>IF(ISBLANK('Raw counts'!T49),"",'Raw counts'!T49-'2'!T48)</f>
        <v/>
      </c>
      <c r="U110" s="20" t="str">
        <f>IF(ISBLANK('Raw counts'!U49),"",'Raw counts'!U49-'2'!U48)</f>
        <v/>
      </c>
    </row>
    <row r="111" spans="1:21" x14ac:dyDescent="0.15">
      <c r="A111" s="22" t="str">
        <f>IF(ISBLANK('Raw counts'!A50),"",'Raw counts'!A50)</f>
        <v>Attr46</v>
      </c>
      <c r="B111" s="20" t="str">
        <f>IF(ISBLANK('Raw counts'!B50),"",'Raw counts'!B50-'2'!B49)</f>
        <v/>
      </c>
      <c r="C111" s="20" t="str">
        <f>IF(ISBLANK('Raw counts'!C50),"",'Raw counts'!C50-'2'!C49)</f>
        <v/>
      </c>
      <c r="D111" s="20" t="str">
        <f>IF(ISBLANK('Raw counts'!D50),"",'Raw counts'!D50-'2'!D49)</f>
        <v/>
      </c>
      <c r="E111" s="20" t="str">
        <f>IF(ISBLANK('Raw counts'!E50),"",'Raw counts'!E50-'2'!E49)</f>
        <v/>
      </c>
      <c r="F111" s="20" t="str">
        <f>IF(ISBLANK('Raw counts'!F50),"",'Raw counts'!F50-'2'!F49)</f>
        <v/>
      </c>
      <c r="G111" s="20" t="str">
        <f>IF(ISBLANK('Raw counts'!G50),"",'Raw counts'!G50-'2'!G49)</f>
        <v/>
      </c>
      <c r="H111" s="20" t="str">
        <f>IF(ISBLANK('Raw counts'!H50),"",'Raw counts'!H50-'2'!H49)</f>
        <v/>
      </c>
      <c r="I111" s="20" t="str">
        <f>IF(ISBLANK('Raw counts'!I50),"",'Raw counts'!I50-'2'!I49)</f>
        <v/>
      </c>
      <c r="J111" s="20" t="str">
        <f>IF(ISBLANK('Raw counts'!J50),"",'Raw counts'!J50-'2'!J49)</f>
        <v/>
      </c>
      <c r="K111" s="20" t="str">
        <f>IF(ISBLANK('Raw counts'!K50),"",'Raw counts'!K50-'2'!K49)</f>
        <v/>
      </c>
      <c r="L111" s="20" t="str">
        <f>IF(ISBLANK('Raw counts'!L50),"",'Raw counts'!L50-'2'!L49)</f>
        <v/>
      </c>
      <c r="M111" s="20" t="str">
        <f>IF(ISBLANK('Raw counts'!M50),"",'Raw counts'!M50-'2'!M49)</f>
        <v/>
      </c>
      <c r="N111" s="20" t="str">
        <f>IF(ISBLANK('Raw counts'!N50),"",'Raw counts'!N50-'2'!N49)</f>
        <v/>
      </c>
      <c r="O111" s="20" t="str">
        <f>IF(ISBLANK('Raw counts'!O50),"",'Raw counts'!O50-'2'!O49)</f>
        <v/>
      </c>
      <c r="P111" s="20" t="str">
        <f>IF(ISBLANK('Raw counts'!P50),"",'Raw counts'!P50-'2'!P49)</f>
        <v/>
      </c>
      <c r="Q111" s="20" t="str">
        <f>IF(ISBLANK('Raw counts'!Q50),"",'Raw counts'!Q50-'2'!Q49)</f>
        <v/>
      </c>
      <c r="R111" s="20" t="str">
        <f>IF(ISBLANK('Raw counts'!R50),"",'Raw counts'!R50-'2'!R49)</f>
        <v/>
      </c>
      <c r="S111" s="20" t="str">
        <f>IF(ISBLANK('Raw counts'!S50),"",'Raw counts'!S50-'2'!S49)</f>
        <v/>
      </c>
      <c r="T111" s="20" t="str">
        <f>IF(ISBLANK('Raw counts'!T50),"",'Raw counts'!T50-'2'!T49)</f>
        <v/>
      </c>
      <c r="U111" s="20" t="str">
        <f>IF(ISBLANK('Raw counts'!U50),"",'Raw counts'!U50-'2'!U49)</f>
        <v/>
      </c>
    </row>
    <row r="112" spans="1:21" x14ac:dyDescent="0.15">
      <c r="A112" s="22" t="str">
        <f>IF(ISBLANK('Raw counts'!A51),"",'Raw counts'!A51)</f>
        <v>Attr47</v>
      </c>
      <c r="B112" s="20" t="str">
        <f>IF(ISBLANK('Raw counts'!B51),"",'Raw counts'!B51-'2'!B50)</f>
        <v/>
      </c>
      <c r="C112" s="20" t="str">
        <f>IF(ISBLANK('Raw counts'!C51),"",'Raw counts'!C51-'2'!C50)</f>
        <v/>
      </c>
      <c r="D112" s="20" t="str">
        <f>IF(ISBLANK('Raw counts'!D51),"",'Raw counts'!D51-'2'!D50)</f>
        <v/>
      </c>
      <c r="E112" s="20" t="str">
        <f>IF(ISBLANK('Raw counts'!E51),"",'Raw counts'!E51-'2'!E50)</f>
        <v/>
      </c>
      <c r="F112" s="20" t="str">
        <f>IF(ISBLANK('Raw counts'!F51),"",'Raw counts'!F51-'2'!F50)</f>
        <v/>
      </c>
      <c r="G112" s="20" t="str">
        <f>IF(ISBLANK('Raw counts'!G51),"",'Raw counts'!G51-'2'!G50)</f>
        <v/>
      </c>
      <c r="H112" s="20" t="str">
        <f>IF(ISBLANK('Raw counts'!H51),"",'Raw counts'!H51-'2'!H50)</f>
        <v/>
      </c>
      <c r="I112" s="20" t="str">
        <f>IF(ISBLANK('Raw counts'!I51),"",'Raw counts'!I51-'2'!I50)</f>
        <v/>
      </c>
      <c r="J112" s="20" t="str">
        <f>IF(ISBLANK('Raw counts'!J51),"",'Raw counts'!J51-'2'!J50)</f>
        <v/>
      </c>
      <c r="K112" s="20" t="str">
        <f>IF(ISBLANK('Raw counts'!K51),"",'Raw counts'!K51-'2'!K50)</f>
        <v/>
      </c>
      <c r="L112" s="20" t="str">
        <f>IF(ISBLANK('Raw counts'!L51),"",'Raw counts'!L51-'2'!L50)</f>
        <v/>
      </c>
      <c r="M112" s="20" t="str">
        <f>IF(ISBLANK('Raw counts'!M51),"",'Raw counts'!M51-'2'!M50)</f>
        <v/>
      </c>
      <c r="N112" s="20" t="str">
        <f>IF(ISBLANK('Raw counts'!N51),"",'Raw counts'!N51-'2'!N50)</f>
        <v/>
      </c>
      <c r="O112" s="20" t="str">
        <f>IF(ISBLANK('Raw counts'!O51),"",'Raw counts'!O51-'2'!O50)</f>
        <v/>
      </c>
      <c r="P112" s="20" t="str">
        <f>IF(ISBLANK('Raw counts'!P51),"",'Raw counts'!P51-'2'!P50)</f>
        <v/>
      </c>
      <c r="Q112" s="20" t="str">
        <f>IF(ISBLANK('Raw counts'!Q51),"",'Raw counts'!Q51-'2'!Q50)</f>
        <v/>
      </c>
      <c r="R112" s="20" t="str">
        <f>IF(ISBLANK('Raw counts'!R51),"",'Raw counts'!R51-'2'!R50)</f>
        <v/>
      </c>
      <c r="S112" s="20" t="str">
        <f>IF(ISBLANK('Raw counts'!S51),"",'Raw counts'!S51-'2'!S50)</f>
        <v/>
      </c>
      <c r="T112" s="20" t="str">
        <f>IF(ISBLANK('Raw counts'!T51),"",'Raw counts'!T51-'2'!T50)</f>
        <v/>
      </c>
      <c r="U112" s="20" t="str">
        <f>IF(ISBLANK('Raw counts'!U51),"",'Raw counts'!U51-'2'!U50)</f>
        <v/>
      </c>
    </row>
    <row r="113" spans="1:21" x14ac:dyDescent="0.15">
      <c r="A113" s="22" t="str">
        <f>IF(ISBLANK('Raw counts'!A52),"",'Raw counts'!A52)</f>
        <v>Attr48</v>
      </c>
      <c r="B113" s="20" t="str">
        <f>IF(ISBLANK('Raw counts'!B52),"",'Raw counts'!B52-'2'!B51)</f>
        <v/>
      </c>
      <c r="C113" s="20" t="str">
        <f>IF(ISBLANK('Raw counts'!C52),"",'Raw counts'!C52-'2'!C51)</f>
        <v/>
      </c>
      <c r="D113" s="20" t="str">
        <f>IF(ISBLANK('Raw counts'!D52),"",'Raw counts'!D52-'2'!D51)</f>
        <v/>
      </c>
      <c r="E113" s="20" t="str">
        <f>IF(ISBLANK('Raw counts'!E52),"",'Raw counts'!E52-'2'!E51)</f>
        <v/>
      </c>
      <c r="F113" s="20" t="str">
        <f>IF(ISBLANK('Raw counts'!F52),"",'Raw counts'!F52-'2'!F51)</f>
        <v/>
      </c>
      <c r="G113" s="20" t="str">
        <f>IF(ISBLANK('Raw counts'!G52),"",'Raw counts'!G52-'2'!G51)</f>
        <v/>
      </c>
      <c r="H113" s="20" t="str">
        <f>IF(ISBLANK('Raw counts'!H52),"",'Raw counts'!H52-'2'!H51)</f>
        <v/>
      </c>
      <c r="I113" s="20" t="str">
        <f>IF(ISBLANK('Raw counts'!I52),"",'Raw counts'!I52-'2'!I51)</f>
        <v/>
      </c>
      <c r="J113" s="20" t="str">
        <f>IF(ISBLANK('Raw counts'!J52),"",'Raw counts'!J52-'2'!J51)</f>
        <v/>
      </c>
      <c r="K113" s="20" t="str">
        <f>IF(ISBLANK('Raw counts'!K52),"",'Raw counts'!K52-'2'!K51)</f>
        <v/>
      </c>
      <c r="L113" s="20" t="str">
        <f>IF(ISBLANK('Raw counts'!L52),"",'Raw counts'!L52-'2'!L51)</f>
        <v/>
      </c>
      <c r="M113" s="20" t="str">
        <f>IF(ISBLANK('Raw counts'!M52),"",'Raw counts'!M52-'2'!M51)</f>
        <v/>
      </c>
      <c r="N113" s="20" t="str">
        <f>IF(ISBLANK('Raw counts'!N52),"",'Raw counts'!N52-'2'!N51)</f>
        <v/>
      </c>
      <c r="O113" s="20" t="str">
        <f>IF(ISBLANK('Raw counts'!O52),"",'Raw counts'!O52-'2'!O51)</f>
        <v/>
      </c>
      <c r="P113" s="20" t="str">
        <f>IF(ISBLANK('Raw counts'!P52),"",'Raw counts'!P52-'2'!P51)</f>
        <v/>
      </c>
      <c r="Q113" s="20" t="str">
        <f>IF(ISBLANK('Raw counts'!Q52),"",'Raw counts'!Q52-'2'!Q51)</f>
        <v/>
      </c>
      <c r="R113" s="20" t="str">
        <f>IF(ISBLANK('Raw counts'!R52),"",'Raw counts'!R52-'2'!R51)</f>
        <v/>
      </c>
      <c r="S113" s="20" t="str">
        <f>IF(ISBLANK('Raw counts'!S52),"",'Raw counts'!S52-'2'!S51)</f>
        <v/>
      </c>
      <c r="T113" s="20" t="str">
        <f>IF(ISBLANK('Raw counts'!T52),"",'Raw counts'!T52-'2'!T51)</f>
        <v/>
      </c>
      <c r="U113" s="20" t="str">
        <f>IF(ISBLANK('Raw counts'!U52),"",'Raw counts'!U52-'2'!U51)</f>
        <v/>
      </c>
    </row>
    <row r="114" spans="1:21" x14ac:dyDescent="0.15">
      <c r="A114" s="22" t="str">
        <f>IF(ISBLANK('Raw counts'!A53),"",'Raw counts'!A53)</f>
        <v>Attr49</v>
      </c>
      <c r="B114" s="20" t="str">
        <f>IF(ISBLANK('Raw counts'!B53),"",'Raw counts'!B53-'2'!B52)</f>
        <v/>
      </c>
      <c r="C114" s="20" t="str">
        <f>IF(ISBLANK('Raw counts'!C53),"",'Raw counts'!C53-'2'!C52)</f>
        <v/>
      </c>
      <c r="D114" s="20" t="str">
        <f>IF(ISBLANK('Raw counts'!D53),"",'Raw counts'!D53-'2'!D52)</f>
        <v/>
      </c>
      <c r="E114" s="20" t="str">
        <f>IF(ISBLANK('Raw counts'!E53),"",'Raw counts'!E53-'2'!E52)</f>
        <v/>
      </c>
      <c r="F114" s="20" t="str">
        <f>IF(ISBLANK('Raw counts'!F53),"",'Raw counts'!F53-'2'!F52)</f>
        <v/>
      </c>
      <c r="G114" s="20" t="str">
        <f>IF(ISBLANK('Raw counts'!G53),"",'Raw counts'!G53-'2'!G52)</f>
        <v/>
      </c>
      <c r="H114" s="20" t="str">
        <f>IF(ISBLANK('Raw counts'!H53),"",'Raw counts'!H53-'2'!H52)</f>
        <v/>
      </c>
      <c r="I114" s="20" t="str">
        <f>IF(ISBLANK('Raw counts'!I53),"",'Raw counts'!I53-'2'!I52)</f>
        <v/>
      </c>
      <c r="J114" s="20" t="str">
        <f>IF(ISBLANK('Raw counts'!J53),"",'Raw counts'!J53-'2'!J52)</f>
        <v/>
      </c>
      <c r="K114" s="20" t="str">
        <f>IF(ISBLANK('Raw counts'!K53),"",'Raw counts'!K53-'2'!K52)</f>
        <v/>
      </c>
      <c r="L114" s="20" t="str">
        <f>IF(ISBLANK('Raw counts'!L53),"",'Raw counts'!L53-'2'!L52)</f>
        <v/>
      </c>
      <c r="M114" s="20" t="str">
        <f>IF(ISBLANK('Raw counts'!M53),"",'Raw counts'!M53-'2'!M52)</f>
        <v/>
      </c>
      <c r="N114" s="20" t="str">
        <f>IF(ISBLANK('Raw counts'!N53),"",'Raw counts'!N53-'2'!N52)</f>
        <v/>
      </c>
      <c r="O114" s="20" t="str">
        <f>IF(ISBLANK('Raw counts'!O53),"",'Raw counts'!O53-'2'!O52)</f>
        <v/>
      </c>
      <c r="P114" s="20" t="str">
        <f>IF(ISBLANK('Raw counts'!P53),"",'Raw counts'!P53-'2'!P52)</f>
        <v/>
      </c>
      <c r="Q114" s="20" t="str">
        <f>IF(ISBLANK('Raw counts'!Q53),"",'Raw counts'!Q53-'2'!Q52)</f>
        <v/>
      </c>
      <c r="R114" s="20" t="str">
        <f>IF(ISBLANK('Raw counts'!R53),"",'Raw counts'!R53-'2'!R52)</f>
        <v/>
      </c>
      <c r="S114" s="20" t="str">
        <f>IF(ISBLANK('Raw counts'!S53),"",'Raw counts'!S53-'2'!S52)</f>
        <v/>
      </c>
      <c r="T114" s="20" t="str">
        <f>IF(ISBLANK('Raw counts'!T53),"",'Raw counts'!T53-'2'!T52)</f>
        <v/>
      </c>
      <c r="U114" s="20" t="str">
        <f>IF(ISBLANK('Raw counts'!U53),"",'Raw counts'!U53-'2'!U52)</f>
        <v/>
      </c>
    </row>
    <row r="115" spans="1:21" x14ac:dyDescent="0.15">
      <c r="A115" s="22" t="str">
        <f>IF(ISBLANK('Raw counts'!A54),"",'Raw counts'!A54)</f>
        <v>Attr50</v>
      </c>
      <c r="B115" s="20" t="str">
        <f>IF(ISBLANK('Raw counts'!B54),"",'Raw counts'!B54-'2'!B53)</f>
        <v/>
      </c>
      <c r="C115" s="20" t="str">
        <f>IF(ISBLANK('Raw counts'!C54),"",'Raw counts'!C54-'2'!C53)</f>
        <v/>
      </c>
      <c r="D115" s="20" t="str">
        <f>IF(ISBLANK('Raw counts'!D54),"",'Raw counts'!D54-'2'!D53)</f>
        <v/>
      </c>
      <c r="E115" s="20" t="str">
        <f>IF(ISBLANK('Raw counts'!E54),"",'Raw counts'!E54-'2'!E53)</f>
        <v/>
      </c>
      <c r="F115" s="20" t="str">
        <f>IF(ISBLANK('Raw counts'!F54),"",'Raw counts'!F54-'2'!F53)</f>
        <v/>
      </c>
      <c r="G115" s="20" t="str">
        <f>IF(ISBLANK('Raw counts'!G54),"",'Raw counts'!G54-'2'!G53)</f>
        <v/>
      </c>
      <c r="H115" s="20" t="str">
        <f>IF(ISBLANK('Raw counts'!H54),"",'Raw counts'!H54-'2'!H53)</f>
        <v/>
      </c>
      <c r="I115" s="20" t="str">
        <f>IF(ISBLANK('Raw counts'!I54),"",'Raw counts'!I54-'2'!I53)</f>
        <v/>
      </c>
      <c r="J115" s="20" t="str">
        <f>IF(ISBLANK('Raw counts'!J54),"",'Raw counts'!J54-'2'!J53)</f>
        <v/>
      </c>
      <c r="K115" s="20" t="str">
        <f>IF(ISBLANK('Raw counts'!K54),"",'Raw counts'!K54-'2'!K53)</f>
        <v/>
      </c>
      <c r="L115" s="20" t="str">
        <f>IF(ISBLANK('Raw counts'!L54),"",'Raw counts'!L54-'2'!L53)</f>
        <v/>
      </c>
      <c r="M115" s="20" t="str">
        <f>IF(ISBLANK('Raw counts'!M54),"",'Raw counts'!M54-'2'!M53)</f>
        <v/>
      </c>
      <c r="N115" s="20" t="str">
        <f>IF(ISBLANK('Raw counts'!N54),"",'Raw counts'!N54-'2'!N53)</f>
        <v/>
      </c>
      <c r="O115" s="20" t="str">
        <f>IF(ISBLANK('Raw counts'!O54),"",'Raw counts'!O54-'2'!O53)</f>
        <v/>
      </c>
      <c r="P115" s="20" t="str">
        <f>IF(ISBLANK('Raw counts'!P54),"",'Raw counts'!P54-'2'!P53)</f>
        <v/>
      </c>
      <c r="Q115" s="20" t="str">
        <f>IF(ISBLANK('Raw counts'!Q54),"",'Raw counts'!Q54-'2'!Q53)</f>
        <v/>
      </c>
      <c r="R115" s="20" t="str">
        <f>IF(ISBLANK('Raw counts'!R54),"",'Raw counts'!R54-'2'!R53)</f>
        <v/>
      </c>
      <c r="S115" s="20" t="str">
        <f>IF(ISBLANK('Raw counts'!S54),"",'Raw counts'!S54-'2'!S53)</f>
        <v/>
      </c>
      <c r="T115" s="20" t="str">
        <f>IF(ISBLANK('Raw counts'!T54),"",'Raw counts'!T54-'2'!T53)</f>
        <v/>
      </c>
      <c r="U115" s="20" t="str">
        <f>IF(ISBLANK('Raw counts'!U54),"",'Raw counts'!U54-'2'!U53)</f>
        <v/>
      </c>
    </row>
    <row r="116" spans="1:21" x14ac:dyDescent="0.15">
      <c r="A116" s="22" t="str">
        <f>IF(ISBLANK('Raw counts'!A55),"",'Raw counts'!A55)</f>
        <v>Attr51</v>
      </c>
      <c r="B116" s="20" t="str">
        <f>IF(ISBLANK('Raw counts'!B55),"",'Raw counts'!B55-'2'!B54)</f>
        <v/>
      </c>
      <c r="C116" s="20" t="str">
        <f>IF(ISBLANK('Raw counts'!C55),"",'Raw counts'!C55-'2'!C54)</f>
        <v/>
      </c>
      <c r="D116" s="20" t="str">
        <f>IF(ISBLANK('Raw counts'!D55),"",'Raw counts'!D55-'2'!D54)</f>
        <v/>
      </c>
      <c r="E116" s="20" t="str">
        <f>IF(ISBLANK('Raw counts'!E55),"",'Raw counts'!E55-'2'!E54)</f>
        <v/>
      </c>
      <c r="F116" s="20" t="str">
        <f>IF(ISBLANK('Raw counts'!F55),"",'Raw counts'!F55-'2'!F54)</f>
        <v/>
      </c>
      <c r="G116" s="20" t="str">
        <f>IF(ISBLANK('Raw counts'!G55),"",'Raw counts'!G55-'2'!G54)</f>
        <v/>
      </c>
      <c r="H116" s="20" t="str">
        <f>IF(ISBLANK('Raw counts'!H55),"",'Raw counts'!H55-'2'!H54)</f>
        <v/>
      </c>
      <c r="I116" s="20" t="str">
        <f>IF(ISBLANK('Raw counts'!I55),"",'Raw counts'!I55-'2'!I54)</f>
        <v/>
      </c>
      <c r="J116" s="20" t="str">
        <f>IF(ISBLANK('Raw counts'!J55),"",'Raw counts'!J55-'2'!J54)</f>
        <v/>
      </c>
      <c r="K116" s="20" t="str">
        <f>IF(ISBLANK('Raw counts'!K55),"",'Raw counts'!K55-'2'!K54)</f>
        <v/>
      </c>
      <c r="L116" s="20" t="str">
        <f>IF(ISBLANK('Raw counts'!L55),"",'Raw counts'!L55-'2'!L54)</f>
        <v/>
      </c>
      <c r="M116" s="20" t="str">
        <f>IF(ISBLANK('Raw counts'!M55),"",'Raw counts'!M55-'2'!M54)</f>
        <v/>
      </c>
      <c r="N116" s="20" t="str">
        <f>IF(ISBLANK('Raw counts'!N55),"",'Raw counts'!N55-'2'!N54)</f>
        <v/>
      </c>
      <c r="O116" s="20" t="str">
        <f>IF(ISBLANK('Raw counts'!O55),"",'Raw counts'!O55-'2'!O54)</f>
        <v/>
      </c>
      <c r="P116" s="20" t="str">
        <f>IF(ISBLANK('Raw counts'!P55),"",'Raw counts'!P55-'2'!P54)</f>
        <v/>
      </c>
      <c r="Q116" s="20" t="str">
        <f>IF(ISBLANK('Raw counts'!Q55),"",'Raw counts'!Q55-'2'!Q54)</f>
        <v/>
      </c>
      <c r="R116" s="20" t="str">
        <f>IF(ISBLANK('Raw counts'!R55),"",'Raw counts'!R55-'2'!R54)</f>
        <v/>
      </c>
      <c r="S116" s="20" t="str">
        <f>IF(ISBLANK('Raw counts'!S55),"",'Raw counts'!S55-'2'!S54)</f>
        <v/>
      </c>
      <c r="T116" s="20" t="str">
        <f>IF(ISBLANK('Raw counts'!T55),"",'Raw counts'!T55-'2'!T54)</f>
        <v/>
      </c>
      <c r="U116" s="20" t="str">
        <f>IF(ISBLANK('Raw counts'!U55),"",'Raw counts'!U55-'2'!U54)</f>
        <v/>
      </c>
    </row>
    <row r="117" spans="1:21" x14ac:dyDescent="0.15">
      <c r="A117" s="22" t="str">
        <f>IF(ISBLANK('Raw counts'!A56),"",'Raw counts'!A56)</f>
        <v>Attr52</v>
      </c>
      <c r="B117" s="20" t="str">
        <f>IF(ISBLANK('Raw counts'!B56),"",'Raw counts'!B56-'2'!B55)</f>
        <v/>
      </c>
      <c r="C117" s="20" t="str">
        <f>IF(ISBLANK('Raw counts'!C56),"",'Raw counts'!C56-'2'!C55)</f>
        <v/>
      </c>
      <c r="D117" s="20" t="str">
        <f>IF(ISBLANK('Raw counts'!D56),"",'Raw counts'!D56-'2'!D55)</f>
        <v/>
      </c>
      <c r="E117" s="20" t="str">
        <f>IF(ISBLANK('Raw counts'!E56),"",'Raw counts'!E56-'2'!E55)</f>
        <v/>
      </c>
      <c r="F117" s="20" t="str">
        <f>IF(ISBLANK('Raw counts'!F56),"",'Raw counts'!F56-'2'!F55)</f>
        <v/>
      </c>
      <c r="G117" s="20" t="str">
        <f>IF(ISBLANK('Raw counts'!G56),"",'Raw counts'!G56-'2'!G55)</f>
        <v/>
      </c>
      <c r="H117" s="20" t="str">
        <f>IF(ISBLANK('Raw counts'!H56),"",'Raw counts'!H56-'2'!H55)</f>
        <v/>
      </c>
      <c r="I117" s="20" t="str">
        <f>IF(ISBLANK('Raw counts'!I56),"",'Raw counts'!I56-'2'!I55)</f>
        <v/>
      </c>
      <c r="J117" s="20" t="str">
        <f>IF(ISBLANK('Raw counts'!J56),"",'Raw counts'!J56-'2'!J55)</f>
        <v/>
      </c>
      <c r="K117" s="20" t="str">
        <f>IF(ISBLANK('Raw counts'!K56),"",'Raw counts'!K56-'2'!K55)</f>
        <v/>
      </c>
      <c r="L117" s="20" t="str">
        <f>IF(ISBLANK('Raw counts'!L56),"",'Raw counts'!L56-'2'!L55)</f>
        <v/>
      </c>
      <c r="M117" s="20" t="str">
        <f>IF(ISBLANK('Raw counts'!M56),"",'Raw counts'!M56-'2'!M55)</f>
        <v/>
      </c>
      <c r="N117" s="20" t="str">
        <f>IF(ISBLANK('Raw counts'!N56),"",'Raw counts'!N56-'2'!N55)</f>
        <v/>
      </c>
      <c r="O117" s="20" t="str">
        <f>IF(ISBLANK('Raw counts'!O56),"",'Raw counts'!O56-'2'!O55)</f>
        <v/>
      </c>
      <c r="P117" s="20" t="str">
        <f>IF(ISBLANK('Raw counts'!P56),"",'Raw counts'!P56-'2'!P55)</f>
        <v/>
      </c>
      <c r="Q117" s="20" t="str">
        <f>IF(ISBLANK('Raw counts'!Q56),"",'Raw counts'!Q56-'2'!Q55)</f>
        <v/>
      </c>
      <c r="R117" s="20" t="str">
        <f>IF(ISBLANK('Raw counts'!R56),"",'Raw counts'!R56-'2'!R55)</f>
        <v/>
      </c>
      <c r="S117" s="20" t="str">
        <f>IF(ISBLANK('Raw counts'!S56),"",'Raw counts'!S56-'2'!S55)</f>
        <v/>
      </c>
      <c r="T117" s="20" t="str">
        <f>IF(ISBLANK('Raw counts'!T56),"",'Raw counts'!T56-'2'!T55)</f>
        <v/>
      </c>
      <c r="U117" s="20" t="str">
        <f>IF(ISBLANK('Raw counts'!U56),"",'Raw counts'!U56-'2'!U55)</f>
        <v/>
      </c>
    </row>
    <row r="118" spans="1:21" x14ac:dyDescent="0.15">
      <c r="A118" s="22" t="str">
        <f>IF(ISBLANK('Raw counts'!A57),"",'Raw counts'!A57)</f>
        <v>Attr53</v>
      </c>
      <c r="B118" s="20" t="str">
        <f>IF(ISBLANK('Raw counts'!B57),"",'Raw counts'!B57-'2'!B56)</f>
        <v/>
      </c>
      <c r="C118" s="20" t="str">
        <f>IF(ISBLANK('Raw counts'!C57),"",'Raw counts'!C57-'2'!C56)</f>
        <v/>
      </c>
      <c r="D118" s="20" t="str">
        <f>IF(ISBLANK('Raw counts'!D57),"",'Raw counts'!D57-'2'!D56)</f>
        <v/>
      </c>
      <c r="E118" s="20" t="str">
        <f>IF(ISBLANK('Raw counts'!E57),"",'Raw counts'!E57-'2'!E56)</f>
        <v/>
      </c>
      <c r="F118" s="20" t="str">
        <f>IF(ISBLANK('Raw counts'!F57),"",'Raw counts'!F57-'2'!F56)</f>
        <v/>
      </c>
      <c r="G118" s="20" t="str">
        <f>IF(ISBLANK('Raw counts'!G57),"",'Raw counts'!G57-'2'!G56)</f>
        <v/>
      </c>
      <c r="H118" s="20" t="str">
        <f>IF(ISBLANK('Raw counts'!H57),"",'Raw counts'!H57-'2'!H56)</f>
        <v/>
      </c>
      <c r="I118" s="20" t="str">
        <f>IF(ISBLANK('Raw counts'!I57),"",'Raw counts'!I57-'2'!I56)</f>
        <v/>
      </c>
      <c r="J118" s="20" t="str">
        <f>IF(ISBLANK('Raw counts'!J57),"",'Raw counts'!J57-'2'!J56)</f>
        <v/>
      </c>
      <c r="K118" s="20" t="str">
        <f>IF(ISBLANK('Raw counts'!K57),"",'Raw counts'!K57-'2'!K56)</f>
        <v/>
      </c>
      <c r="L118" s="20" t="str">
        <f>IF(ISBLANK('Raw counts'!L57),"",'Raw counts'!L57-'2'!L56)</f>
        <v/>
      </c>
      <c r="M118" s="20" t="str">
        <f>IF(ISBLANK('Raw counts'!M57),"",'Raw counts'!M57-'2'!M56)</f>
        <v/>
      </c>
      <c r="N118" s="20" t="str">
        <f>IF(ISBLANK('Raw counts'!N57),"",'Raw counts'!N57-'2'!N56)</f>
        <v/>
      </c>
      <c r="O118" s="20" t="str">
        <f>IF(ISBLANK('Raw counts'!O57),"",'Raw counts'!O57-'2'!O56)</f>
        <v/>
      </c>
      <c r="P118" s="20" t="str">
        <f>IF(ISBLANK('Raw counts'!P57),"",'Raw counts'!P57-'2'!P56)</f>
        <v/>
      </c>
      <c r="Q118" s="20" t="str">
        <f>IF(ISBLANK('Raw counts'!Q57),"",'Raw counts'!Q57-'2'!Q56)</f>
        <v/>
      </c>
      <c r="R118" s="20" t="str">
        <f>IF(ISBLANK('Raw counts'!R57),"",'Raw counts'!R57-'2'!R56)</f>
        <v/>
      </c>
      <c r="S118" s="20" t="str">
        <f>IF(ISBLANK('Raw counts'!S57),"",'Raw counts'!S57-'2'!S56)</f>
        <v/>
      </c>
      <c r="T118" s="20" t="str">
        <f>IF(ISBLANK('Raw counts'!T57),"",'Raw counts'!T57-'2'!T56)</f>
        <v/>
      </c>
      <c r="U118" s="20" t="str">
        <f>IF(ISBLANK('Raw counts'!U57),"",'Raw counts'!U57-'2'!U56)</f>
        <v/>
      </c>
    </row>
    <row r="119" spans="1:21" x14ac:dyDescent="0.15">
      <c r="A119" s="22" t="str">
        <f>IF(ISBLANK('Raw counts'!A58),"",'Raw counts'!A58)</f>
        <v>Attr54</v>
      </c>
      <c r="B119" s="20" t="str">
        <f>IF(ISBLANK('Raw counts'!B58),"",'Raw counts'!B58-'2'!B57)</f>
        <v/>
      </c>
      <c r="C119" s="20" t="str">
        <f>IF(ISBLANK('Raw counts'!C58),"",'Raw counts'!C58-'2'!C57)</f>
        <v/>
      </c>
      <c r="D119" s="20" t="str">
        <f>IF(ISBLANK('Raw counts'!D58),"",'Raw counts'!D58-'2'!D57)</f>
        <v/>
      </c>
      <c r="E119" s="20" t="str">
        <f>IF(ISBLANK('Raw counts'!E58),"",'Raw counts'!E58-'2'!E57)</f>
        <v/>
      </c>
      <c r="F119" s="20" t="str">
        <f>IF(ISBLANK('Raw counts'!F58),"",'Raw counts'!F58-'2'!F57)</f>
        <v/>
      </c>
      <c r="G119" s="20" t="str">
        <f>IF(ISBLANK('Raw counts'!G58),"",'Raw counts'!G58-'2'!G57)</f>
        <v/>
      </c>
      <c r="H119" s="20" t="str">
        <f>IF(ISBLANK('Raw counts'!H58),"",'Raw counts'!H58-'2'!H57)</f>
        <v/>
      </c>
      <c r="I119" s="20" t="str">
        <f>IF(ISBLANK('Raw counts'!I58),"",'Raw counts'!I58-'2'!I57)</f>
        <v/>
      </c>
      <c r="J119" s="20" t="str">
        <f>IF(ISBLANK('Raw counts'!J58),"",'Raw counts'!J58-'2'!J57)</f>
        <v/>
      </c>
      <c r="K119" s="20" t="str">
        <f>IF(ISBLANK('Raw counts'!K58),"",'Raw counts'!K58-'2'!K57)</f>
        <v/>
      </c>
      <c r="L119" s="20" t="str">
        <f>IF(ISBLANK('Raw counts'!L58),"",'Raw counts'!L58-'2'!L57)</f>
        <v/>
      </c>
      <c r="M119" s="20" t="str">
        <f>IF(ISBLANK('Raw counts'!M58),"",'Raw counts'!M58-'2'!M57)</f>
        <v/>
      </c>
      <c r="N119" s="20" t="str">
        <f>IF(ISBLANK('Raw counts'!N58),"",'Raw counts'!N58-'2'!N57)</f>
        <v/>
      </c>
      <c r="O119" s="20" t="str">
        <f>IF(ISBLANK('Raw counts'!O58),"",'Raw counts'!O58-'2'!O57)</f>
        <v/>
      </c>
      <c r="P119" s="20" t="str">
        <f>IF(ISBLANK('Raw counts'!P58),"",'Raw counts'!P58-'2'!P57)</f>
        <v/>
      </c>
      <c r="Q119" s="20" t="str">
        <f>IF(ISBLANK('Raw counts'!Q58),"",'Raw counts'!Q58-'2'!Q57)</f>
        <v/>
      </c>
      <c r="R119" s="20" t="str">
        <f>IF(ISBLANK('Raw counts'!R58),"",'Raw counts'!R58-'2'!R57)</f>
        <v/>
      </c>
      <c r="S119" s="20" t="str">
        <f>IF(ISBLANK('Raw counts'!S58),"",'Raw counts'!S58-'2'!S57)</f>
        <v/>
      </c>
      <c r="T119" s="20" t="str">
        <f>IF(ISBLANK('Raw counts'!T58),"",'Raw counts'!T58-'2'!T57)</f>
        <v/>
      </c>
      <c r="U119" s="20" t="str">
        <f>IF(ISBLANK('Raw counts'!U58),"",'Raw counts'!U58-'2'!U57)</f>
        <v/>
      </c>
    </row>
    <row r="120" spans="1:21" x14ac:dyDescent="0.15">
      <c r="A120" s="22" t="str">
        <f>IF(ISBLANK('Raw counts'!A59),"",'Raw counts'!A59)</f>
        <v>Attr55</v>
      </c>
      <c r="B120" s="20" t="str">
        <f>IF(ISBLANK('Raw counts'!B59),"",'Raw counts'!B59-'2'!B58)</f>
        <v/>
      </c>
      <c r="C120" s="20" t="str">
        <f>IF(ISBLANK('Raw counts'!C59),"",'Raw counts'!C59-'2'!C58)</f>
        <v/>
      </c>
      <c r="D120" s="20" t="str">
        <f>IF(ISBLANK('Raw counts'!D59),"",'Raw counts'!D59-'2'!D58)</f>
        <v/>
      </c>
      <c r="E120" s="20" t="str">
        <f>IF(ISBLANK('Raw counts'!E59),"",'Raw counts'!E59-'2'!E58)</f>
        <v/>
      </c>
      <c r="F120" s="20" t="str">
        <f>IF(ISBLANK('Raw counts'!F59),"",'Raw counts'!F59-'2'!F58)</f>
        <v/>
      </c>
      <c r="G120" s="20" t="str">
        <f>IF(ISBLANK('Raw counts'!G59),"",'Raw counts'!G59-'2'!G58)</f>
        <v/>
      </c>
      <c r="H120" s="20" t="str">
        <f>IF(ISBLANK('Raw counts'!H59),"",'Raw counts'!H59-'2'!H58)</f>
        <v/>
      </c>
      <c r="I120" s="20" t="str">
        <f>IF(ISBLANK('Raw counts'!I59),"",'Raw counts'!I59-'2'!I58)</f>
        <v/>
      </c>
      <c r="J120" s="20" t="str">
        <f>IF(ISBLANK('Raw counts'!J59),"",'Raw counts'!J59-'2'!J58)</f>
        <v/>
      </c>
      <c r="K120" s="20" t="str">
        <f>IF(ISBLANK('Raw counts'!K59),"",'Raw counts'!K59-'2'!K58)</f>
        <v/>
      </c>
      <c r="L120" s="20" t="str">
        <f>IF(ISBLANK('Raw counts'!L59),"",'Raw counts'!L59-'2'!L58)</f>
        <v/>
      </c>
      <c r="M120" s="20" t="str">
        <f>IF(ISBLANK('Raw counts'!M59),"",'Raw counts'!M59-'2'!M58)</f>
        <v/>
      </c>
      <c r="N120" s="20" t="str">
        <f>IF(ISBLANK('Raw counts'!N59),"",'Raw counts'!N59-'2'!N58)</f>
        <v/>
      </c>
      <c r="O120" s="20" t="str">
        <f>IF(ISBLANK('Raw counts'!O59),"",'Raw counts'!O59-'2'!O58)</f>
        <v/>
      </c>
      <c r="P120" s="20" t="str">
        <f>IF(ISBLANK('Raw counts'!P59),"",'Raw counts'!P59-'2'!P58)</f>
        <v/>
      </c>
      <c r="Q120" s="20" t="str">
        <f>IF(ISBLANK('Raw counts'!Q59),"",'Raw counts'!Q59-'2'!Q58)</f>
        <v/>
      </c>
      <c r="R120" s="20" t="str">
        <f>IF(ISBLANK('Raw counts'!R59),"",'Raw counts'!R59-'2'!R58)</f>
        <v/>
      </c>
      <c r="S120" s="20" t="str">
        <f>IF(ISBLANK('Raw counts'!S59),"",'Raw counts'!S59-'2'!S58)</f>
        <v/>
      </c>
      <c r="T120" s="20" t="str">
        <f>IF(ISBLANK('Raw counts'!T59),"",'Raw counts'!T59-'2'!T58)</f>
        <v/>
      </c>
      <c r="U120" s="20" t="str">
        <f>IF(ISBLANK('Raw counts'!U59),"",'Raw counts'!U59-'2'!U58)</f>
        <v/>
      </c>
    </row>
    <row r="121" spans="1:21" x14ac:dyDescent="0.15">
      <c r="A121" s="22" t="str">
        <f>IF(ISBLANK('Raw counts'!A60),"",'Raw counts'!A60)</f>
        <v>Attr56</v>
      </c>
      <c r="B121" s="20" t="str">
        <f>IF(ISBLANK('Raw counts'!B60),"",'Raw counts'!B60-'2'!B59)</f>
        <v/>
      </c>
      <c r="C121" s="20" t="str">
        <f>IF(ISBLANK('Raw counts'!C60),"",'Raw counts'!C60-'2'!C59)</f>
        <v/>
      </c>
      <c r="D121" s="20" t="str">
        <f>IF(ISBLANK('Raw counts'!D60),"",'Raw counts'!D60-'2'!D59)</f>
        <v/>
      </c>
      <c r="E121" s="20" t="str">
        <f>IF(ISBLANK('Raw counts'!E60),"",'Raw counts'!E60-'2'!E59)</f>
        <v/>
      </c>
      <c r="F121" s="20" t="str">
        <f>IF(ISBLANK('Raw counts'!F60),"",'Raw counts'!F60-'2'!F59)</f>
        <v/>
      </c>
      <c r="G121" s="20" t="str">
        <f>IF(ISBLANK('Raw counts'!G60),"",'Raw counts'!G60-'2'!G59)</f>
        <v/>
      </c>
      <c r="H121" s="20" t="str">
        <f>IF(ISBLANK('Raw counts'!H60),"",'Raw counts'!H60-'2'!H59)</f>
        <v/>
      </c>
      <c r="I121" s="20" t="str">
        <f>IF(ISBLANK('Raw counts'!I60),"",'Raw counts'!I60-'2'!I59)</f>
        <v/>
      </c>
      <c r="J121" s="20" t="str">
        <f>IF(ISBLANK('Raw counts'!J60),"",'Raw counts'!J60-'2'!J59)</f>
        <v/>
      </c>
      <c r="K121" s="20" t="str">
        <f>IF(ISBLANK('Raw counts'!K60),"",'Raw counts'!K60-'2'!K59)</f>
        <v/>
      </c>
      <c r="L121" s="20" t="str">
        <f>IF(ISBLANK('Raw counts'!L60),"",'Raw counts'!L60-'2'!L59)</f>
        <v/>
      </c>
      <c r="M121" s="20" t="str">
        <f>IF(ISBLANK('Raw counts'!M60),"",'Raw counts'!M60-'2'!M59)</f>
        <v/>
      </c>
      <c r="N121" s="20" t="str">
        <f>IF(ISBLANK('Raw counts'!N60),"",'Raw counts'!N60-'2'!N59)</f>
        <v/>
      </c>
      <c r="O121" s="20" t="str">
        <f>IF(ISBLANK('Raw counts'!O60),"",'Raw counts'!O60-'2'!O59)</f>
        <v/>
      </c>
      <c r="P121" s="20" t="str">
        <f>IF(ISBLANK('Raw counts'!P60),"",'Raw counts'!P60-'2'!P59)</f>
        <v/>
      </c>
      <c r="Q121" s="20" t="str">
        <f>IF(ISBLANK('Raw counts'!Q60),"",'Raw counts'!Q60-'2'!Q59)</f>
        <v/>
      </c>
      <c r="R121" s="20" t="str">
        <f>IF(ISBLANK('Raw counts'!R60),"",'Raw counts'!R60-'2'!R59)</f>
        <v/>
      </c>
      <c r="S121" s="20" t="str">
        <f>IF(ISBLANK('Raw counts'!S60),"",'Raw counts'!S60-'2'!S59)</f>
        <v/>
      </c>
      <c r="T121" s="20" t="str">
        <f>IF(ISBLANK('Raw counts'!T60),"",'Raw counts'!T60-'2'!T59)</f>
        <v/>
      </c>
      <c r="U121" s="20" t="str">
        <f>IF(ISBLANK('Raw counts'!U60),"",'Raw counts'!U60-'2'!U59)</f>
        <v/>
      </c>
    </row>
    <row r="122" spans="1:21" x14ac:dyDescent="0.15">
      <c r="A122" s="22" t="str">
        <f>IF(ISBLANK('Raw counts'!A61),"",'Raw counts'!A61)</f>
        <v>Attr57</v>
      </c>
      <c r="B122" s="20" t="str">
        <f>IF(ISBLANK('Raw counts'!B61),"",'Raw counts'!B61-'2'!B60)</f>
        <v/>
      </c>
      <c r="C122" s="20" t="str">
        <f>IF(ISBLANK('Raw counts'!C61),"",'Raw counts'!C61-'2'!C60)</f>
        <v/>
      </c>
      <c r="D122" s="20" t="str">
        <f>IF(ISBLANK('Raw counts'!D61),"",'Raw counts'!D61-'2'!D60)</f>
        <v/>
      </c>
      <c r="E122" s="20" t="str">
        <f>IF(ISBLANK('Raw counts'!E61),"",'Raw counts'!E61-'2'!E60)</f>
        <v/>
      </c>
      <c r="F122" s="20" t="str">
        <f>IF(ISBLANK('Raw counts'!F61),"",'Raw counts'!F61-'2'!F60)</f>
        <v/>
      </c>
      <c r="G122" s="20" t="str">
        <f>IF(ISBLANK('Raw counts'!G61),"",'Raw counts'!G61-'2'!G60)</f>
        <v/>
      </c>
      <c r="H122" s="20" t="str">
        <f>IF(ISBLANK('Raw counts'!H61),"",'Raw counts'!H61-'2'!H60)</f>
        <v/>
      </c>
      <c r="I122" s="20" t="str">
        <f>IF(ISBLANK('Raw counts'!I61),"",'Raw counts'!I61-'2'!I60)</f>
        <v/>
      </c>
      <c r="J122" s="20" t="str">
        <f>IF(ISBLANK('Raw counts'!J61),"",'Raw counts'!J61-'2'!J60)</f>
        <v/>
      </c>
      <c r="K122" s="20" t="str">
        <f>IF(ISBLANK('Raw counts'!K61),"",'Raw counts'!K61-'2'!K60)</f>
        <v/>
      </c>
      <c r="L122" s="20" t="str">
        <f>IF(ISBLANK('Raw counts'!L61),"",'Raw counts'!L61-'2'!L60)</f>
        <v/>
      </c>
      <c r="M122" s="20" t="str">
        <f>IF(ISBLANK('Raw counts'!M61),"",'Raw counts'!M61-'2'!M60)</f>
        <v/>
      </c>
      <c r="N122" s="20" t="str">
        <f>IF(ISBLANK('Raw counts'!N61),"",'Raw counts'!N61-'2'!N60)</f>
        <v/>
      </c>
      <c r="O122" s="20" t="str">
        <f>IF(ISBLANK('Raw counts'!O61),"",'Raw counts'!O61-'2'!O60)</f>
        <v/>
      </c>
      <c r="P122" s="20" t="str">
        <f>IF(ISBLANK('Raw counts'!P61),"",'Raw counts'!P61-'2'!P60)</f>
        <v/>
      </c>
      <c r="Q122" s="20" t="str">
        <f>IF(ISBLANK('Raw counts'!Q61),"",'Raw counts'!Q61-'2'!Q60)</f>
        <v/>
      </c>
      <c r="R122" s="20" t="str">
        <f>IF(ISBLANK('Raw counts'!R61),"",'Raw counts'!R61-'2'!R60)</f>
        <v/>
      </c>
      <c r="S122" s="20" t="str">
        <f>IF(ISBLANK('Raw counts'!S61),"",'Raw counts'!S61-'2'!S60)</f>
        <v/>
      </c>
      <c r="T122" s="20" t="str">
        <f>IF(ISBLANK('Raw counts'!T61),"",'Raw counts'!T61-'2'!T60)</f>
        <v/>
      </c>
      <c r="U122" s="20" t="str">
        <f>IF(ISBLANK('Raw counts'!U61),"",'Raw counts'!U61-'2'!U60)</f>
        <v/>
      </c>
    </row>
    <row r="123" spans="1:21" x14ac:dyDescent="0.15">
      <c r="A123" s="22" t="str">
        <f>IF(ISBLANK('Raw counts'!A62),"",'Raw counts'!A62)</f>
        <v>Attr58</v>
      </c>
      <c r="B123" s="20" t="str">
        <f>IF(ISBLANK('Raw counts'!B62),"",'Raw counts'!B62-'2'!B61)</f>
        <v/>
      </c>
      <c r="C123" s="20" t="str">
        <f>IF(ISBLANK('Raw counts'!C62),"",'Raw counts'!C62-'2'!C61)</f>
        <v/>
      </c>
      <c r="D123" s="20" t="str">
        <f>IF(ISBLANK('Raw counts'!D62),"",'Raw counts'!D62-'2'!D61)</f>
        <v/>
      </c>
      <c r="E123" s="20" t="str">
        <f>IF(ISBLANK('Raw counts'!E62),"",'Raw counts'!E62-'2'!E61)</f>
        <v/>
      </c>
      <c r="F123" s="20" t="str">
        <f>IF(ISBLANK('Raw counts'!F62),"",'Raw counts'!F62-'2'!F61)</f>
        <v/>
      </c>
      <c r="G123" s="20" t="str">
        <f>IF(ISBLANK('Raw counts'!G62),"",'Raw counts'!G62-'2'!G61)</f>
        <v/>
      </c>
      <c r="H123" s="20" t="str">
        <f>IF(ISBLANK('Raw counts'!H62),"",'Raw counts'!H62-'2'!H61)</f>
        <v/>
      </c>
      <c r="I123" s="20" t="str">
        <f>IF(ISBLANK('Raw counts'!I62),"",'Raw counts'!I62-'2'!I61)</f>
        <v/>
      </c>
      <c r="J123" s="20" t="str">
        <f>IF(ISBLANK('Raw counts'!J62),"",'Raw counts'!J62-'2'!J61)</f>
        <v/>
      </c>
      <c r="K123" s="20" t="str">
        <f>IF(ISBLANK('Raw counts'!K62),"",'Raw counts'!K62-'2'!K61)</f>
        <v/>
      </c>
      <c r="L123" s="20" t="str">
        <f>IF(ISBLANK('Raw counts'!L62),"",'Raw counts'!L62-'2'!L61)</f>
        <v/>
      </c>
      <c r="M123" s="20" t="str">
        <f>IF(ISBLANK('Raw counts'!M62),"",'Raw counts'!M62-'2'!M61)</f>
        <v/>
      </c>
      <c r="N123" s="20" t="str">
        <f>IF(ISBLANK('Raw counts'!N62),"",'Raw counts'!N62-'2'!N61)</f>
        <v/>
      </c>
      <c r="O123" s="20" t="str">
        <f>IF(ISBLANK('Raw counts'!O62),"",'Raw counts'!O62-'2'!O61)</f>
        <v/>
      </c>
      <c r="P123" s="20" t="str">
        <f>IF(ISBLANK('Raw counts'!P62),"",'Raw counts'!P62-'2'!P61)</f>
        <v/>
      </c>
      <c r="Q123" s="20" t="str">
        <f>IF(ISBLANK('Raw counts'!Q62),"",'Raw counts'!Q62-'2'!Q61)</f>
        <v/>
      </c>
      <c r="R123" s="20" t="str">
        <f>IF(ISBLANK('Raw counts'!R62),"",'Raw counts'!R62-'2'!R61)</f>
        <v/>
      </c>
      <c r="S123" s="20" t="str">
        <f>IF(ISBLANK('Raw counts'!S62),"",'Raw counts'!S62-'2'!S61)</f>
        <v/>
      </c>
      <c r="T123" s="20" t="str">
        <f>IF(ISBLANK('Raw counts'!T62),"",'Raw counts'!T62-'2'!T61)</f>
        <v/>
      </c>
      <c r="U123" s="20" t="str">
        <f>IF(ISBLANK('Raw counts'!U62),"",'Raw counts'!U62-'2'!U61)</f>
        <v/>
      </c>
    </row>
    <row r="124" spans="1:21" x14ac:dyDescent="0.15">
      <c r="A124" s="22" t="str">
        <f>IF(ISBLANK('Raw counts'!A63),"",'Raw counts'!A63)</f>
        <v>Attr59</v>
      </c>
      <c r="B124" s="20" t="str">
        <f>IF(ISBLANK('Raw counts'!B63),"",'Raw counts'!B63-'2'!B62)</f>
        <v/>
      </c>
      <c r="C124" s="20" t="str">
        <f>IF(ISBLANK('Raw counts'!C63),"",'Raw counts'!C63-'2'!C62)</f>
        <v/>
      </c>
      <c r="D124" s="20" t="str">
        <f>IF(ISBLANK('Raw counts'!D63),"",'Raw counts'!D63-'2'!D62)</f>
        <v/>
      </c>
      <c r="E124" s="20" t="str">
        <f>IF(ISBLANK('Raw counts'!E63),"",'Raw counts'!E63-'2'!E62)</f>
        <v/>
      </c>
      <c r="F124" s="20" t="str">
        <f>IF(ISBLANK('Raw counts'!F63),"",'Raw counts'!F63-'2'!F62)</f>
        <v/>
      </c>
      <c r="G124" s="20" t="str">
        <f>IF(ISBLANK('Raw counts'!G63),"",'Raw counts'!G63-'2'!G62)</f>
        <v/>
      </c>
      <c r="H124" s="20" t="str">
        <f>IF(ISBLANK('Raw counts'!H63),"",'Raw counts'!H63-'2'!H62)</f>
        <v/>
      </c>
      <c r="I124" s="20" t="str">
        <f>IF(ISBLANK('Raw counts'!I63),"",'Raw counts'!I63-'2'!I62)</f>
        <v/>
      </c>
      <c r="J124" s="20" t="str">
        <f>IF(ISBLANK('Raw counts'!J63),"",'Raw counts'!J63-'2'!J62)</f>
        <v/>
      </c>
      <c r="K124" s="20" t="str">
        <f>IF(ISBLANK('Raw counts'!K63),"",'Raw counts'!K63-'2'!K62)</f>
        <v/>
      </c>
      <c r="L124" s="20" t="str">
        <f>IF(ISBLANK('Raw counts'!L63),"",'Raw counts'!L63-'2'!L62)</f>
        <v/>
      </c>
      <c r="M124" s="20" t="str">
        <f>IF(ISBLANK('Raw counts'!M63),"",'Raw counts'!M63-'2'!M62)</f>
        <v/>
      </c>
      <c r="N124" s="20" t="str">
        <f>IF(ISBLANK('Raw counts'!N63),"",'Raw counts'!N63-'2'!N62)</f>
        <v/>
      </c>
      <c r="O124" s="20" t="str">
        <f>IF(ISBLANK('Raw counts'!O63),"",'Raw counts'!O63-'2'!O62)</f>
        <v/>
      </c>
      <c r="P124" s="20" t="str">
        <f>IF(ISBLANK('Raw counts'!P63),"",'Raw counts'!P63-'2'!P62)</f>
        <v/>
      </c>
      <c r="Q124" s="20" t="str">
        <f>IF(ISBLANK('Raw counts'!Q63),"",'Raw counts'!Q63-'2'!Q62)</f>
        <v/>
      </c>
      <c r="R124" s="20" t="str">
        <f>IF(ISBLANK('Raw counts'!R63),"",'Raw counts'!R63-'2'!R62)</f>
        <v/>
      </c>
      <c r="S124" s="20" t="str">
        <f>IF(ISBLANK('Raw counts'!S63),"",'Raw counts'!S63-'2'!S62)</f>
        <v/>
      </c>
      <c r="T124" s="20" t="str">
        <f>IF(ISBLANK('Raw counts'!T63),"",'Raw counts'!T63-'2'!T62)</f>
        <v/>
      </c>
      <c r="U124" s="20" t="str">
        <f>IF(ISBLANK('Raw counts'!U63),"",'Raw counts'!U63-'2'!U62)</f>
        <v/>
      </c>
    </row>
    <row r="125" spans="1:21" x14ac:dyDescent="0.15">
      <c r="A125" s="22" t="str">
        <f>IF(ISBLANK('Raw counts'!A64),"",'Raw counts'!A64)</f>
        <v>Attr60</v>
      </c>
      <c r="B125" s="20" t="str">
        <f>IF(ISBLANK('Raw counts'!B64),"",'Raw counts'!B64-'2'!B63)</f>
        <v/>
      </c>
      <c r="C125" s="20" t="str">
        <f>IF(ISBLANK('Raw counts'!C64),"",'Raw counts'!C64-'2'!C63)</f>
        <v/>
      </c>
      <c r="D125" s="20" t="str">
        <f>IF(ISBLANK('Raw counts'!D64),"",'Raw counts'!D64-'2'!D63)</f>
        <v/>
      </c>
      <c r="E125" s="20" t="str">
        <f>IF(ISBLANK('Raw counts'!E64),"",'Raw counts'!E64-'2'!E63)</f>
        <v/>
      </c>
      <c r="F125" s="20" t="str">
        <f>IF(ISBLANK('Raw counts'!F64),"",'Raw counts'!F64-'2'!F63)</f>
        <v/>
      </c>
      <c r="G125" s="20" t="str">
        <f>IF(ISBLANK('Raw counts'!G64),"",'Raw counts'!G64-'2'!G63)</f>
        <v/>
      </c>
      <c r="H125" s="20" t="str">
        <f>IF(ISBLANK('Raw counts'!H64),"",'Raw counts'!H64-'2'!H63)</f>
        <v/>
      </c>
      <c r="I125" s="20" t="str">
        <f>IF(ISBLANK('Raw counts'!I64),"",'Raw counts'!I64-'2'!I63)</f>
        <v/>
      </c>
      <c r="J125" s="20" t="str">
        <f>IF(ISBLANK('Raw counts'!J64),"",'Raw counts'!J64-'2'!J63)</f>
        <v/>
      </c>
      <c r="K125" s="20" t="str">
        <f>IF(ISBLANK('Raw counts'!K64),"",'Raw counts'!K64-'2'!K63)</f>
        <v/>
      </c>
      <c r="L125" s="20" t="str">
        <f>IF(ISBLANK('Raw counts'!L64),"",'Raw counts'!L64-'2'!L63)</f>
        <v/>
      </c>
      <c r="M125" s="20" t="str">
        <f>IF(ISBLANK('Raw counts'!M64),"",'Raw counts'!M64-'2'!M63)</f>
        <v/>
      </c>
      <c r="N125" s="20" t="str">
        <f>IF(ISBLANK('Raw counts'!N64),"",'Raw counts'!N64-'2'!N63)</f>
        <v/>
      </c>
      <c r="O125" s="20" t="str">
        <f>IF(ISBLANK('Raw counts'!O64),"",'Raw counts'!O64-'2'!O63)</f>
        <v/>
      </c>
      <c r="P125" s="20" t="str">
        <f>IF(ISBLANK('Raw counts'!P64),"",'Raw counts'!P64-'2'!P63)</f>
        <v/>
      </c>
      <c r="Q125" s="20" t="str">
        <f>IF(ISBLANK('Raw counts'!Q64),"",'Raw counts'!Q64-'2'!Q63)</f>
        <v/>
      </c>
      <c r="R125" s="20" t="str">
        <f>IF(ISBLANK('Raw counts'!R64),"",'Raw counts'!R64-'2'!R63)</f>
        <v/>
      </c>
      <c r="S125" s="20" t="str">
        <f>IF(ISBLANK('Raw counts'!S64),"",'Raw counts'!S64-'2'!S63)</f>
        <v/>
      </c>
      <c r="T125" s="20" t="str">
        <f>IF(ISBLANK('Raw counts'!T64),"",'Raw counts'!T64-'2'!T63)</f>
        <v/>
      </c>
      <c r="U125" s="20" t="str">
        <f>IF(ISBLANK('Raw counts'!U64),"",'Raw counts'!U64-'2'!U63)</f>
        <v/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63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16384" width="9" style="1"/>
  </cols>
  <sheetData>
    <row r="1" spans="1:21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</row>
    <row r="2" spans="1:21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</row>
    <row r="3" spans="1:21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</row>
    <row r="4" spans="1:21" ht="38.25" x14ac:dyDescent="0.15">
      <c r="A4" s="18" t="str">
        <f>IF(ISBLANK('Raw counts'!A5),"",'Raw counts'!A5)</f>
        <v xml:space="preserve">Doesn't offer version I want                                                </v>
      </c>
      <c r="B4" s="19" t="str">
        <f>IF(ISBLANK('Raw counts'!B5),"",IF('3'!B66&gt;='3'!$V$3,"+1",IF('3'!B66&gt;=0,"+",IF('3'!B66&lt;=(-1*'3'!$V$3),"-1","-"))))</f>
        <v>-</v>
      </c>
      <c r="C4" s="19" t="str">
        <f>IF(ISBLANK('Raw counts'!C5),"",IF('3'!C66&gt;='3'!$V$3,"+1",IF('3'!C66&gt;=0,"+",IF('3'!C66&lt;=(-1*'3'!$V$3),"-1","-"))))</f>
        <v>+1</v>
      </c>
      <c r="D4" s="19" t="str">
        <f>IF(ISBLANK('Raw counts'!D5),"",IF('3'!D66&gt;='3'!$V$3,"+1",IF('3'!D66&gt;=0,"+",IF('3'!D66&lt;=(-1*'3'!$V$3),"-1","-"))))</f>
        <v>+</v>
      </c>
      <c r="E4" s="19" t="str">
        <f>IF(ISBLANK('Raw counts'!E5),"",IF('3'!E66&gt;='3'!$V$3,"+1",IF('3'!E66&gt;=0,"+",IF('3'!E66&lt;=(-1*'3'!$V$3),"-1","-"))))</f>
        <v>-</v>
      </c>
      <c r="F4" s="19" t="str">
        <f>IF(ISBLANK('Raw counts'!F5),"",IF('3'!F66&gt;='3'!$V$3,"+1",IF('3'!F66&gt;=0,"+",IF('3'!F66&lt;=(-1*'3'!$V$3),"-1","-"))))</f>
        <v>+</v>
      </c>
      <c r="G4" s="19" t="str">
        <f>IF(ISBLANK('Raw counts'!G5),"",IF('3'!G66&gt;='3'!$V$3,"+1",IF('3'!G66&gt;=0,"+",IF('3'!G66&lt;=(-1*'3'!$V$3),"-1","-"))))</f>
        <v>-</v>
      </c>
      <c r="H4" s="19" t="str">
        <f>IF(ISBLANK('Raw counts'!H5),"",IF('3'!H66&gt;='3'!$V$3,"+1",IF('3'!H66&gt;=0,"+",IF('3'!H66&lt;=(-1*'3'!$V$3),"-1","-"))))</f>
        <v>+</v>
      </c>
      <c r="I4" s="19" t="str">
        <f>IF(ISBLANK('Raw counts'!I5),"",IF('3'!I66&gt;='3'!$V$3,"+1",IF('3'!I66&gt;=0,"+",IF('3'!I66&lt;=(-1*'3'!$V$3),"-1","-"))))</f>
        <v>-</v>
      </c>
      <c r="J4" s="19" t="str">
        <f>IF(ISBLANK('Raw counts'!J5),"",IF('3'!J66&gt;='3'!$V$3,"+1",IF('3'!J66&gt;=0,"+",IF('3'!J66&lt;=(-1*'3'!$V$3),"-1","-"))))</f>
        <v>+</v>
      </c>
      <c r="K4" s="19" t="str">
        <f>IF(ISBLANK('Raw counts'!K5),"",IF('3'!K66&gt;='3'!$V$3,"+1",IF('3'!K66&gt;=0,"+",IF('3'!K66&lt;=(-1*'3'!$V$3),"-1","-"))))</f>
        <v>-</v>
      </c>
      <c r="L4" s="19" t="str">
        <f>IF(ISBLANK('Raw counts'!L5),"",IF('3'!L66&gt;='3'!$V$3,"+1",IF('3'!L66&gt;=0,"+",IF('3'!L66&lt;=(-1*'3'!$V$3),"-1","-"))))</f>
        <v>-</v>
      </c>
      <c r="M4" s="19" t="str">
        <f>IF(ISBLANK('Raw counts'!M5),"",IF('3'!M66&gt;='3'!$V$3,"+1",IF('3'!M66&gt;=0,"+",IF('3'!M66&lt;=(-1*'3'!$V$3),"-1","-"))))</f>
        <v/>
      </c>
      <c r="N4" s="19" t="str">
        <f>IF(ISBLANK('Raw counts'!N5),"",IF('3'!N66&gt;='3'!$V$3,"+1",IF('3'!N66&gt;=0,"+",IF('3'!N66&lt;=(-1*'3'!$V$3),"-1","-"))))</f>
        <v/>
      </c>
      <c r="O4" s="19" t="str">
        <f>IF(ISBLANK('Raw counts'!O5),"",IF('3'!O66&gt;='3'!$V$3,"+1",IF('3'!O66&gt;=0,"+",IF('3'!O66&lt;=(-1*'3'!$V$3),"-1","-"))))</f>
        <v/>
      </c>
      <c r="P4" s="19" t="str">
        <f>IF(ISBLANK('Raw counts'!P5),"",IF('3'!P66&gt;='3'!$V$3,"+1",IF('3'!P66&gt;=0,"+",IF('3'!P66&lt;=(-1*'3'!$V$3),"-1","-"))))</f>
        <v/>
      </c>
      <c r="Q4" s="19" t="str">
        <f>IF(ISBLANK('Raw counts'!Q5),"",IF('3'!Q66&gt;='3'!$V$3,"+1",IF('3'!Q66&gt;=0,"+",IF('3'!Q66&lt;=(-1*'3'!$V$3),"-1","-"))))</f>
        <v/>
      </c>
      <c r="R4" s="19" t="str">
        <f>IF(ISBLANK('Raw counts'!R5),"",IF('3'!R66&gt;='3'!$V$3,"+1",IF('3'!R66&gt;=0,"+",IF('3'!R66&lt;=(-1*'3'!$V$3),"-1","-"))))</f>
        <v/>
      </c>
      <c r="S4" s="19" t="str">
        <f>IF(ISBLANK('Raw counts'!S5),"",IF('3'!S66&gt;='3'!$V$3,"+1",IF('3'!S66&gt;=0,"+",IF('3'!S66&lt;=(-1*'3'!$V$3),"-1","-"))))</f>
        <v/>
      </c>
      <c r="T4" s="19" t="str">
        <f>IF(ISBLANK('Raw counts'!T5),"",IF('3'!T66&gt;='3'!$V$3,"+1",IF('3'!T66&gt;=0,"+",IF('3'!T66&lt;=(-1*'3'!$V$3),"-1","-"))))</f>
        <v/>
      </c>
      <c r="U4" s="19" t="str">
        <f>IF(ISBLANK('Raw counts'!U5),"",IF('3'!U66&gt;='3'!$V$3,"+1",IF('3'!U66&gt;=0,"+",IF('3'!U66&lt;=(-1*'3'!$V$3),"-1","-"))))</f>
        <v/>
      </c>
    </row>
    <row r="5" spans="1:21" ht="38.25" x14ac:dyDescent="0.15">
      <c r="A5" s="18" t="str">
        <f>IF(ISBLANK('Raw counts'!A6),"",'Raw counts'!A6)</f>
        <v xml:space="preserve">Doesn't offer enough variety or versions in the store/online                </v>
      </c>
      <c r="B5" s="19" t="str">
        <f>IF(ISBLANK('Raw counts'!B6),"",IF('3'!B67&gt;='3'!$V$3,"+1",IF('3'!B67&gt;=0,"+",IF('3'!B67&lt;=(-1*'3'!$V$3),"-1","-"))))</f>
        <v>+</v>
      </c>
      <c r="C5" s="19" t="str">
        <f>IF(ISBLANK('Raw counts'!C6),"",IF('3'!C67&gt;='3'!$V$3,"+1",IF('3'!C67&gt;=0,"+",IF('3'!C67&lt;=(-1*'3'!$V$3),"-1","-"))))</f>
        <v>-</v>
      </c>
      <c r="D5" s="19" t="str">
        <f>IF(ISBLANK('Raw counts'!D6),"",IF('3'!D67&gt;='3'!$V$3,"+1",IF('3'!D67&gt;=0,"+",IF('3'!D67&lt;=(-1*'3'!$V$3),"-1","-"))))</f>
        <v>-</v>
      </c>
      <c r="E5" s="19" t="str">
        <f>IF(ISBLANK('Raw counts'!E6),"",IF('3'!E67&gt;='3'!$V$3,"+1",IF('3'!E67&gt;=0,"+",IF('3'!E67&lt;=(-1*'3'!$V$3),"-1","-"))))</f>
        <v>-</v>
      </c>
      <c r="F5" s="19" t="str">
        <f>IF(ISBLANK('Raw counts'!F6),"",IF('3'!F67&gt;='3'!$V$3,"+1",IF('3'!F67&gt;=0,"+",IF('3'!F67&lt;=(-1*'3'!$V$3),"-1","-"))))</f>
        <v>+1</v>
      </c>
      <c r="G5" s="19" t="str">
        <f>IF(ISBLANK('Raw counts'!G6),"",IF('3'!G67&gt;='3'!$V$3,"+1",IF('3'!G67&gt;=0,"+",IF('3'!G67&lt;=(-1*'3'!$V$3),"-1","-"))))</f>
        <v>+1</v>
      </c>
      <c r="H5" s="19" t="str">
        <f>IF(ISBLANK('Raw counts'!H6),"",IF('3'!H67&gt;='3'!$V$3,"+1",IF('3'!H67&gt;=0,"+",IF('3'!H67&lt;=(-1*'3'!$V$3),"-1","-"))))</f>
        <v>-1</v>
      </c>
      <c r="I5" s="19" t="str">
        <f>IF(ISBLANK('Raw counts'!I6),"",IF('3'!I67&gt;='3'!$V$3,"+1",IF('3'!I67&gt;=0,"+",IF('3'!I67&lt;=(-1*'3'!$V$3),"-1","-"))))</f>
        <v>-</v>
      </c>
      <c r="J5" s="19" t="str">
        <f>IF(ISBLANK('Raw counts'!J6),"",IF('3'!J67&gt;='3'!$V$3,"+1",IF('3'!J67&gt;=0,"+",IF('3'!J67&lt;=(-1*'3'!$V$3),"-1","-"))))</f>
        <v>-</v>
      </c>
      <c r="K5" s="19" t="str">
        <f>IF(ISBLANK('Raw counts'!K6),"",IF('3'!K67&gt;='3'!$V$3,"+1",IF('3'!K67&gt;=0,"+",IF('3'!K67&lt;=(-1*'3'!$V$3),"-1","-"))))</f>
        <v>-</v>
      </c>
      <c r="L5" s="19" t="str">
        <f>IF(ISBLANK('Raw counts'!L6),"",IF('3'!L67&gt;='3'!$V$3,"+1",IF('3'!L67&gt;=0,"+",IF('3'!L67&lt;=(-1*'3'!$V$3),"-1","-"))))</f>
        <v>-</v>
      </c>
      <c r="M5" s="19" t="str">
        <f>IF(ISBLANK('Raw counts'!M6),"",IF('3'!M67&gt;='3'!$V$3,"+1",IF('3'!M67&gt;=0,"+",IF('3'!M67&lt;=(-1*'3'!$V$3),"-1","-"))))</f>
        <v/>
      </c>
      <c r="N5" s="19" t="str">
        <f>IF(ISBLANK('Raw counts'!N6),"",IF('3'!N67&gt;='3'!$V$3,"+1",IF('3'!N67&gt;=0,"+",IF('3'!N67&lt;=(-1*'3'!$V$3),"-1","-"))))</f>
        <v/>
      </c>
      <c r="O5" s="19" t="str">
        <f>IF(ISBLANK('Raw counts'!O6),"",IF('3'!O67&gt;='3'!$V$3,"+1",IF('3'!O67&gt;=0,"+",IF('3'!O67&lt;=(-1*'3'!$V$3),"-1","-"))))</f>
        <v/>
      </c>
      <c r="P5" s="19" t="str">
        <f>IF(ISBLANK('Raw counts'!P6),"",IF('3'!P67&gt;='3'!$V$3,"+1",IF('3'!P67&gt;=0,"+",IF('3'!P67&lt;=(-1*'3'!$V$3),"-1","-"))))</f>
        <v/>
      </c>
      <c r="Q5" s="19" t="str">
        <f>IF(ISBLANK('Raw counts'!Q6),"",IF('3'!Q67&gt;='3'!$V$3,"+1",IF('3'!Q67&gt;=0,"+",IF('3'!Q67&lt;=(-1*'3'!$V$3),"-1","-"))))</f>
        <v/>
      </c>
      <c r="R5" s="19" t="str">
        <f>IF(ISBLANK('Raw counts'!R6),"",IF('3'!R67&gt;='3'!$V$3,"+1",IF('3'!R67&gt;=0,"+",IF('3'!R67&lt;=(-1*'3'!$V$3),"-1","-"))))</f>
        <v/>
      </c>
      <c r="S5" s="19" t="str">
        <f>IF(ISBLANK('Raw counts'!S6),"",IF('3'!S67&gt;='3'!$V$3,"+1",IF('3'!S67&gt;=0,"+",IF('3'!S67&lt;=(-1*'3'!$V$3),"-1","-"))))</f>
        <v/>
      </c>
      <c r="T5" s="19" t="str">
        <f>IF(ISBLANK('Raw counts'!T6),"",IF('3'!T67&gt;='3'!$V$3,"+1",IF('3'!T67&gt;=0,"+",IF('3'!T67&lt;=(-1*'3'!$V$3),"-1","-"))))</f>
        <v/>
      </c>
      <c r="U5" s="19" t="str">
        <f>IF(ISBLANK('Raw counts'!U6),"",IF('3'!U67&gt;='3'!$V$3,"+1",IF('3'!U67&gt;=0,"+",IF('3'!U67&lt;=(-1*'3'!$V$3),"-1","-"))))</f>
        <v/>
      </c>
    </row>
    <row r="6" spans="1:21" ht="25.5" x14ac:dyDescent="0.15">
      <c r="A6" s="18" t="str">
        <f>IF(ISBLANK('Raw counts'!A7),"",'Raw counts'!A7)</f>
        <v xml:space="preserve">Doesn't offer newest/latest products                                        </v>
      </c>
      <c r="B6" s="19" t="str">
        <f>IF(ISBLANK('Raw counts'!B7),"",IF('3'!B68&gt;='3'!$V$3,"+1",IF('3'!B68&gt;=0,"+",IF('3'!B68&lt;=(-1*'3'!$V$3),"-1","-"))))</f>
        <v>-</v>
      </c>
      <c r="C6" s="19" t="str">
        <f>IF(ISBLANK('Raw counts'!C7),"",IF('3'!C68&gt;='3'!$V$3,"+1",IF('3'!C68&gt;=0,"+",IF('3'!C68&lt;=(-1*'3'!$V$3),"-1","-"))))</f>
        <v>+</v>
      </c>
      <c r="D6" s="19" t="str">
        <f>IF(ISBLANK('Raw counts'!D7),"",IF('3'!D68&gt;='3'!$V$3,"+1",IF('3'!D68&gt;=0,"+",IF('3'!D68&lt;=(-1*'3'!$V$3),"-1","-"))))</f>
        <v>-</v>
      </c>
      <c r="E6" s="19" t="str">
        <f>IF(ISBLANK('Raw counts'!E7),"",IF('3'!E68&gt;='3'!$V$3,"+1",IF('3'!E68&gt;=0,"+",IF('3'!E68&lt;=(-1*'3'!$V$3),"-1","-"))))</f>
        <v>+</v>
      </c>
      <c r="F6" s="19" t="str">
        <f>IF(ISBLANK('Raw counts'!F7),"",IF('3'!F68&gt;='3'!$V$3,"+1",IF('3'!F68&gt;=0,"+",IF('3'!F68&lt;=(-1*'3'!$V$3),"-1","-"))))</f>
        <v>+1</v>
      </c>
      <c r="G6" s="19" t="str">
        <f>IF(ISBLANK('Raw counts'!G7),"",IF('3'!G68&gt;='3'!$V$3,"+1",IF('3'!G68&gt;=0,"+",IF('3'!G68&lt;=(-1*'3'!$V$3),"-1","-"))))</f>
        <v>+</v>
      </c>
      <c r="H6" s="19" t="str">
        <f>IF(ISBLANK('Raw counts'!H7),"",IF('3'!H68&gt;='3'!$V$3,"+1",IF('3'!H68&gt;=0,"+",IF('3'!H68&lt;=(-1*'3'!$V$3),"-1","-"))))</f>
        <v>-1</v>
      </c>
      <c r="I6" s="19" t="str">
        <f>IF(ISBLANK('Raw counts'!I7),"",IF('3'!I68&gt;='3'!$V$3,"+1",IF('3'!I68&gt;=0,"+",IF('3'!I68&lt;=(-1*'3'!$V$3),"-1","-"))))</f>
        <v>+</v>
      </c>
      <c r="J6" s="19" t="str">
        <f>IF(ISBLANK('Raw counts'!J7),"",IF('3'!J68&gt;='3'!$V$3,"+1",IF('3'!J68&gt;=0,"+",IF('3'!J68&lt;=(-1*'3'!$V$3),"-1","-"))))</f>
        <v>+</v>
      </c>
      <c r="K6" s="19" t="str">
        <f>IF(ISBLANK('Raw counts'!K7),"",IF('3'!K68&gt;='3'!$V$3,"+1",IF('3'!K68&gt;=0,"+",IF('3'!K68&lt;=(-1*'3'!$V$3),"-1","-"))))</f>
        <v>+</v>
      </c>
      <c r="L6" s="19" t="str">
        <f>IF(ISBLANK('Raw counts'!L7),"",IF('3'!L68&gt;='3'!$V$3,"+1",IF('3'!L68&gt;=0,"+",IF('3'!L68&lt;=(-1*'3'!$V$3),"-1","-"))))</f>
        <v>-</v>
      </c>
      <c r="M6" s="19" t="str">
        <f>IF(ISBLANK('Raw counts'!M7),"",IF('3'!M68&gt;='3'!$V$3,"+1",IF('3'!M68&gt;=0,"+",IF('3'!M68&lt;=(-1*'3'!$V$3),"-1","-"))))</f>
        <v/>
      </c>
      <c r="N6" s="19" t="str">
        <f>IF(ISBLANK('Raw counts'!N7),"",IF('3'!N68&gt;='3'!$V$3,"+1",IF('3'!N68&gt;=0,"+",IF('3'!N68&lt;=(-1*'3'!$V$3),"-1","-"))))</f>
        <v/>
      </c>
      <c r="O6" s="19" t="str">
        <f>IF(ISBLANK('Raw counts'!O7),"",IF('3'!O68&gt;='3'!$V$3,"+1",IF('3'!O68&gt;=0,"+",IF('3'!O68&lt;=(-1*'3'!$V$3),"-1","-"))))</f>
        <v/>
      </c>
      <c r="P6" s="19" t="str">
        <f>IF(ISBLANK('Raw counts'!P7),"",IF('3'!P68&gt;='3'!$V$3,"+1",IF('3'!P68&gt;=0,"+",IF('3'!P68&lt;=(-1*'3'!$V$3),"-1","-"))))</f>
        <v/>
      </c>
      <c r="Q6" s="19" t="str">
        <f>IF(ISBLANK('Raw counts'!Q7),"",IF('3'!Q68&gt;='3'!$V$3,"+1",IF('3'!Q68&gt;=0,"+",IF('3'!Q68&lt;=(-1*'3'!$V$3),"-1","-"))))</f>
        <v/>
      </c>
      <c r="R6" s="19" t="str">
        <f>IF(ISBLANK('Raw counts'!R7),"",IF('3'!R68&gt;='3'!$V$3,"+1",IF('3'!R68&gt;=0,"+",IF('3'!R68&lt;=(-1*'3'!$V$3),"-1","-"))))</f>
        <v/>
      </c>
      <c r="S6" s="19" t="str">
        <f>IF(ISBLANK('Raw counts'!S7),"",IF('3'!S68&gt;='3'!$V$3,"+1",IF('3'!S68&gt;=0,"+",IF('3'!S68&lt;=(-1*'3'!$V$3),"-1","-"))))</f>
        <v/>
      </c>
      <c r="T6" s="19" t="str">
        <f>IF(ISBLANK('Raw counts'!T7),"",IF('3'!T68&gt;='3'!$V$3,"+1",IF('3'!T68&gt;=0,"+",IF('3'!T68&lt;=(-1*'3'!$V$3),"-1","-"))))</f>
        <v/>
      </c>
      <c r="U6" s="19" t="str">
        <f>IF(ISBLANK('Raw counts'!U7),"",IF('3'!U68&gt;='3'!$V$3,"+1",IF('3'!U68&gt;=0,"+",IF('3'!U68&lt;=(-1*'3'!$V$3),"-1","-"))))</f>
        <v/>
      </c>
    </row>
    <row r="7" spans="1:21" ht="25.5" x14ac:dyDescent="0.15">
      <c r="A7" s="18" t="str">
        <f>IF(ISBLANK('Raw counts'!A8),"",'Raw counts'!A8)</f>
        <v xml:space="preserve">Brand not carried in the store/online                                       </v>
      </c>
      <c r="B7" s="19" t="str">
        <f>IF(ISBLANK('Raw counts'!B8),"",IF('3'!B69&gt;='3'!$V$3,"+1",IF('3'!B69&gt;=0,"+",IF('3'!B69&lt;=(-1*'3'!$V$3),"-1","-"))))</f>
        <v>+</v>
      </c>
      <c r="C7" s="19" t="str">
        <f>IF(ISBLANK('Raw counts'!C8),"",IF('3'!C69&gt;='3'!$V$3,"+1",IF('3'!C69&gt;=0,"+",IF('3'!C69&lt;=(-1*'3'!$V$3),"-1","-"))))</f>
        <v>+</v>
      </c>
      <c r="D7" s="19" t="str">
        <f>IF(ISBLANK('Raw counts'!D8),"",IF('3'!D69&gt;='3'!$V$3,"+1",IF('3'!D69&gt;=0,"+",IF('3'!D69&lt;=(-1*'3'!$V$3),"-1","-"))))</f>
        <v>+</v>
      </c>
      <c r="E7" s="19" t="str">
        <f>IF(ISBLANK('Raw counts'!E8),"",IF('3'!E69&gt;='3'!$V$3,"+1",IF('3'!E69&gt;=0,"+",IF('3'!E69&lt;=(-1*'3'!$V$3),"-1","-"))))</f>
        <v>+</v>
      </c>
      <c r="F7" s="19" t="str">
        <f>IF(ISBLANK('Raw counts'!F8),"",IF('3'!F69&gt;='3'!$V$3,"+1",IF('3'!F69&gt;=0,"+",IF('3'!F69&lt;=(-1*'3'!$V$3),"-1","-"))))</f>
        <v>-</v>
      </c>
      <c r="G7" s="19" t="str">
        <f>IF(ISBLANK('Raw counts'!G8),"",IF('3'!G69&gt;='3'!$V$3,"+1",IF('3'!G69&gt;=0,"+",IF('3'!G69&lt;=(-1*'3'!$V$3),"-1","-"))))</f>
        <v>+1</v>
      </c>
      <c r="H7" s="19" t="str">
        <f>IF(ISBLANK('Raw counts'!H8),"",IF('3'!H69&gt;='3'!$V$3,"+1",IF('3'!H69&gt;=0,"+",IF('3'!H69&lt;=(-1*'3'!$V$3),"-1","-"))))</f>
        <v>-1</v>
      </c>
      <c r="I7" s="19" t="str">
        <f>IF(ISBLANK('Raw counts'!I8),"",IF('3'!I69&gt;='3'!$V$3,"+1",IF('3'!I69&gt;=0,"+",IF('3'!I69&lt;=(-1*'3'!$V$3),"-1","-"))))</f>
        <v>+</v>
      </c>
      <c r="J7" s="19" t="str">
        <f>IF(ISBLANK('Raw counts'!J8),"",IF('3'!J69&gt;='3'!$V$3,"+1",IF('3'!J69&gt;=0,"+",IF('3'!J69&lt;=(-1*'3'!$V$3),"-1","-"))))</f>
        <v>+</v>
      </c>
      <c r="K7" s="19" t="str">
        <f>IF(ISBLANK('Raw counts'!K8),"",IF('3'!K69&gt;='3'!$V$3,"+1",IF('3'!K69&gt;=0,"+",IF('3'!K69&lt;=(-1*'3'!$V$3),"-1","-"))))</f>
        <v>-</v>
      </c>
      <c r="L7" s="19" t="str">
        <f>IF(ISBLANK('Raw counts'!L8),"",IF('3'!L69&gt;='3'!$V$3,"+1",IF('3'!L69&gt;=0,"+",IF('3'!L69&lt;=(-1*'3'!$V$3),"-1","-"))))</f>
        <v>+</v>
      </c>
      <c r="M7" s="19" t="str">
        <f>IF(ISBLANK('Raw counts'!M8),"",IF('3'!M69&gt;='3'!$V$3,"+1",IF('3'!M69&gt;=0,"+",IF('3'!M69&lt;=(-1*'3'!$V$3),"-1","-"))))</f>
        <v/>
      </c>
      <c r="N7" s="19" t="str">
        <f>IF(ISBLANK('Raw counts'!N8),"",IF('3'!N69&gt;='3'!$V$3,"+1",IF('3'!N69&gt;=0,"+",IF('3'!N69&lt;=(-1*'3'!$V$3),"-1","-"))))</f>
        <v/>
      </c>
      <c r="O7" s="19" t="str">
        <f>IF(ISBLANK('Raw counts'!O8),"",IF('3'!O69&gt;='3'!$V$3,"+1",IF('3'!O69&gt;=0,"+",IF('3'!O69&lt;=(-1*'3'!$V$3),"-1","-"))))</f>
        <v/>
      </c>
      <c r="P7" s="19" t="str">
        <f>IF(ISBLANK('Raw counts'!P8),"",IF('3'!P69&gt;='3'!$V$3,"+1",IF('3'!P69&gt;=0,"+",IF('3'!P69&lt;=(-1*'3'!$V$3),"-1","-"))))</f>
        <v/>
      </c>
      <c r="Q7" s="19" t="str">
        <f>IF(ISBLANK('Raw counts'!Q8),"",IF('3'!Q69&gt;='3'!$V$3,"+1",IF('3'!Q69&gt;=0,"+",IF('3'!Q69&lt;=(-1*'3'!$V$3),"-1","-"))))</f>
        <v/>
      </c>
      <c r="R7" s="19" t="str">
        <f>IF(ISBLANK('Raw counts'!R8),"",IF('3'!R69&gt;='3'!$V$3,"+1",IF('3'!R69&gt;=0,"+",IF('3'!R69&lt;=(-1*'3'!$V$3),"-1","-"))))</f>
        <v/>
      </c>
      <c r="S7" s="19" t="str">
        <f>IF(ISBLANK('Raw counts'!S8),"",IF('3'!S69&gt;='3'!$V$3,"+1",IF('3'!S69&gt;=0,"+",IF('3'!S69&lt;=(-1*'3'!$V$3),"-1","-"))))</f>
        <v/>
      </c>
      <c r="T7" s="19" t="str">
        <f>IF(ISBLANK('Raw counts'!T8),"",IF('3'!T69&gt;='3'!$V$3,"+1",IF('3'!T69&gt;=0,"+",IF('3'!T69&lt;=(-1*'3'!$V$3),"-1","-"))))</f>
        <v/>
      </c>
      <c r="U7" s="19" t="str">
        <f>IF(ISBLANK('Raw counts'!U8),"",IF('3'!U69&gt;='3'!$V$3,"+1",IF('3'!U69&gt;=0,"+",IF('3'!U69&lt;=(-1*'3'!$V$3),"-1","-"))))</f>
        <v/>
      </c>
    </row>
    <row r="8" spans="1:21" ht="25.5" x14ac:dyDescent="0.15">
      <c r="A8" s="18" t="str">
        <f>IF(ISBLANK('Raw counts'!A9),"",'Raw counts'!A9)</f>
        <v xml:space="preserve">Often out of stock                                                          </v>
      </c>
      <c r="B8" s="19" t="str">
        <f>IF(ISBLANK('Raw counts'!B9),"",IF('3'!B70&gt;='3'!$V$3,"+1",IF('3'!B70&gt;=0,"+",IF('3'!B70&lt;=(-1*'3'!$V$3),"-1","-"))))</f>
        <v>+</v>
      </c>
      <c r="C8" s="19" t="str">
        <f>IF(ISBLANK('Raw counts'!C9),"",IF('3'!C70&gt;='3'!$V$3,"+1",IF('3'!C70&gt;=0,"+",IF('3'!C70&lt;=(-1*'3'!$V$3),"-1","-"))))</f>
        <v>-</v>
      </c>
      <c r="D8" s="19" t="str">
        <f>IF(ISBLANK('Raw counts'!D9),"",IF('3'!D70&gt;='3'!$V$3,"+1",IF('3'!D70&gt;=0,"+",IF('3'!D70&lt;=(-1*'3'!$V$3),"-1","-"))))</f>
        <v>-</v>
      </c>
      <c r="E8" s="19" t="str">
        <f>IF(ISBLANK('Raw counts'!E9),"",IF('3'!E70&gt;='3'!$V$3,"+1",IF('3'!E70&gt;=0,"+",IF('3'!E70&lt;=(-1*'3'!$V$3),"-1","-"))))</f>
        <v>+</v>
      </c>
      <c r="F8" s="19" t="str">
        <f>IF(ISBLANK('Raw counts'!F9),"",IF('3'!F70&gt;='3'!$V$3,"+1",IF('3'!F70&gt;=0,"+",IF('3'!F70&lt;=(-1*'3'!$V$3),"-1","-"))))</f>
        <v>-</v>
      </c>
      <c r="G8" s="19" t="str">
        <f>IF(ISBLANK('Raw counts'!G9),"",IF('3'!G70&gt;='3'!$V$3,"+1",IF('3'!G70&gt;=0,"+",IF('3'!G70&lt;=(-1*'3'!$V$3),"-1","-"))))</f>
        <v>-</v>
      </c>
      <c r="H8" s="19" t="str">
        <f>IF(ISBLANK('Raw counts'!H9),"",IF('3'!H70&gt;='3'!$V$3,"+1",IF('3'!H70&gt;=0,"+",IF('3'!H70&lt;=(-1*'3'!$V$3),"-1","-"))))</f>
        <v>+</v>
      </c>
      <c r="I8" s="19" t="str">
        <f>IF(ISBLANK('Raw counts'!I9),"",IF('3'!I70&gt;='3'!$V$3,"+1",IF('3'!I70&gt;=0,"+",IF('3'!I70&lt;=(-1*'3'!$V$3),"-1","-"))))</f>
        <v>+1</v>
      </c>
      <c r="J8" s="19" t="str">
        <f>IF(ISBLANK('Raw counts'!J9),"",IF('3'!J70&gt;='3'!$V$3,"+1",IF('3'!J70&gt;=0,"+",IF('3'!J70&lt;=(-1*'3'!$V$3),"-1","-"))))</f>
        <v>-</v>
      </c>
      <c r="K8" s="19" t="str">
        <f>IF(ISBLANK('Raw counts'!K9),"",IF('3'!K70&gt;='3'!$V$3,"+1",IF('3'!K70&gt;=0,"+",IF('3'!K70&lt;=(-1*'3'!$V$3),"-1","-"))))</f>
        <v>-</v>
      </c>
      <c r="L8" s="19" t="str">
        <f>IF(ISBLANK('Raw counts'!L9),"",IF('3'!L70&gt;='3'!$V$3,"+1",IF('3'!L70&gt;=0,"+",IF('3'!L70&lt;=(-1*'3'!$V$3),"-1","-"))))</f>
        <v>+</v>
      </c>
      <c r="M8" s="19" t="str">
        <f>IF(ISBLANK('Raw counts'!M9),"",IF('3'!M70&gt;='3'!$V$3,"+1",IF('3'!M70&gt;=0,"+",IF('3'!M70&lt;=(-1*'3'!$V$3),"-1","-"))))</f>
        <v/>
      </c>
      <c r="N8" s="19" t="str">
        <f>IF(ISBLANK('Raw counts'!N9),"",IF('3'!N70&gt;='3'!$V$3,"+1",IF('3'!N70&gt;=0,"+",IF('3'!N70&lt;=(-1*'3'!$V$3),"-1","-"))))</f>
        <v/>
      </c>
      <c r="O8" s="19" t="str">
        <f>IF(ISBLANK('Raw counts'!O9),"",IF('3'!O70&gt;='3'!$V$3,"+1",IF('3'!O70&gt;=0,"+",IF('3'!O70&lt;=(-1*'3'!$V$3),"-1","-"))))</f>
        <v/>
      </c>
      <c r="P8" s="19" t="str">
        <f>IF(ISBLANK('Raw counts'!P9),"",IF('3'!P70&gt;='3'!$V$3,"+1",IF('3'!P70&gt;=0,"+",IF('3'!P70&lt;=(-1*'3'!$V$3),"-1","-"))))</f>
        <v/>
      </c>
      <c r="Q8" s="19" t="str">
        <f>IF(ISBLANK('Raw counts'!Q9),"",IF('3'!Q70&gt;='3'!$V$3,"+1",IF('3'!Q70&gt;=0,"+",IF('3'!Q70&lt;=(-1*'3'!$V$3),"-1","-"))))</f>
        <v/>
      </c>
      <c r="R8" s="19" t="str">
        <f>IF(ISBLANK('Raw counts'!R9),"",IF('3'!R70&gt;='3'!$V$3,"+1",IF('3'!R70&gt;=0,"+",IF('3'!R70&lt;=(-1*'3'!$V$3),"-1","-"))))</f>
        <v/>
      </c>
      <c r="S8" s="19" t="str">
        <f>IF(ISBLANK('Raw counts'!S9),"",IF('3'!S70&gt;='3'!$V$3,"+1",IF('3'!S70&gt;=0,"+",IF('3'!S70&lt;=(-1*'3'!$V$3),"-1","-"))))</f>
        <v/>
      </c>
      <c r="T8" s="19" t="str">
        <f>IF(ISBLANK('Raw counts'!T9),"",IF('3'!T70&gt;='3'!$V$3,"+1",IF('3'!T70&gt;=0,"+",IF('3'!T70&lt;=(-1*'3'!$V$3),"-1","-"))))</f>
        <v/>
      </c>
      <c r="U8" s="19" t="str">
        <f>IF(ISBLANK('Raw counts'!U9),"",IF('3'!U70&gt;='3'!$V$3,"+1",IF('3'!U70&gt;=0,"+",IF('3'!U70&lt;=(-1*'3'!$V$3),"-1","-"))))</f>
        <v/>
      </c>
    </row>
    <row r="9" spans="1:21" ht="38.25" x14ac:dyDescent="0.15">
      <c r="A9" s="18" t="str">
        <f>IF(ISBLANK('Raw counts'!A10),"",'Raw counts'!A10)</f>
        <v xml:space="preserve">Hard to find the brand in the store                                         </v>
      </c>
      <c r="B9" s="19" t="str">
        <f>IF(ISBLANK('Raw counts'!B10),"",IF('3'!B71&gt;='3'!$V$3,"+1",IF('3'!B71&gt;=0,"+",IF('3'!B71&lt;=(-1*'3'!$V$3),"-1","-"))))</f>
        <v>-1</v>
      </c>
      <c r="C9" s="19" t="str">
        <f>IF(ISBLANK('Raw counts'!C10),"",IF('3'!C71&gt;='3'!$V$3,"+1",IF('3'!C71&gt;=0,"+",IF('3'!C71&lt;=(-1*'3'!$V$3),"-1","-"))))</f>
        <v>+</v>
      </c>
      <c r="D9" s="19" t="str">
        <f>IF(ISBLANK('Raw counts'!D10),"",IF('3'!D71&gt;='3'!$V$3,"+1",IF('3'!D71&gt;=0,"+",IF('3'!D71&lt;=(-1*'3'!$V$3),"-1","-"))))</f>
        <v>+</v>
      </c>
      <c r="E9" s="19" t="str">
        <f>IF(ISBLANK('Raw counts'!E10),"",IF('3'!E71&gt;='3'!$V$3,"+1",IF('3'!E71&gt;=0,"+",IF('3'!E71&lt;=(-1*'3'!$V$3),"-1","-"))))</f>
        <v>+</v>
      </c>
      <c r="F9" s="19" t="str">
        <f>IF(ISBLANK('Raw counts'!F10),"",IF('3'!F71&gt;='3'!$V$3,"+1",IF('3'!F71&gt;=0,"+",IF('3'!F71&lt;=(-1*'3'!$V$3),"-1","-"))))</f>
        <v>-</v>
      </c>
      <c r="G9" s="19" t="str">
        <f>IF(ISBLANK('Raw counts'!G10),"",IF('3'!G71&gt;='3'!$V$3,"+1",IF('3'!G71&gt;=0,"+",IF('3'!G71&lt;=(-1*'3'!$V$3),"-1","-"))))</f>
        <v>+</v>
      </c>
      <c r="H9" s="19" t="str">
        <f>IF(ISBLANK('Raw counts'!H10),"",IF('3'!H71&gt;='3'!$V$3,"+1",IF('3'!H71&gt;=0,"+",IF('3'!H71&lt;=(-1*'3'!$V$3),"-1","-"))))</f>
        <v>-1</v>
      </c>
      <c r="I9" s="19" t="str">
        <f>IF(ISBLANK('Raw counts'!I10),"",IF('3'!I71&gt;='3'!$V$3,"+1",IF('3'!I71&gt;=0,"+",IF('3'!I71&lt;=(-1*'3'!$V$3),"-1","-"))))</f>
        <v>+</v>
      </c>
      <c r="J9" s="19" t="str">
        <f>IF(ISBLANK('Raw counts'!J10),"",IF('3'!J71&gt;='3'!$V$3,"+1",IF('3'!J71&gt;=0,"+",IF('3'!J71&lt;=(-1*'3'!$V$3),"-1","-"))))</f>
        <v>+</v>
      </c>
      <c r="K9" s="19" t="str">
        <f>IF(ISBLANK('Raw counts'!K10),"",IF('3'!K71&gt;='3'!$V$3,"+1",IF('3'!K71&gt;=0,"+",IF('3'!K71&lt;=(-1*'3'!$V$3),"-1","-"))))</f>
        <v>+</v>
      </c>
      <c r="L9" s="19" t="str">
        <f>IF(ISBLANK('Raw counts'!L10),"",IF('3'!L71&gt;='3'!$V$3,"+1",IF('3'!L71&gt;=0,"+",IF('3'!L71&lt;=(-1*'3'!$V$3),"-1","-"))))</f>
        <v>-</v>
      </c>
      <c r="M9" s="19" t="str">
        <f>IF(ISBLANK('Raw counts'!M10),"",IF('3'!M71&gt;='3'!$V$3,"+1",IF('3'!M71&gt;=0,"+",IF('3'!M71&lt;=(-1*'3'!$V$3),"-1","-"))))</f>
        <v/>
      </c>
      <c r="N9" s="19" t="str">
        <f>IF(ISBLANK('Raw counts'!N10),"",IF('3'!N71&gt;='3'!$V$3,"+1",IF('3'!N71&gt;=0,"+",IF('3'!N71&lt;=(-1*'3'!$V$3),"-1","-"))))</f>
        <v/>
      </c>
      <c r="O9" s="19" t="str">
        <f>IF(ISBLANK('Raw counts'!O10),"",IF('3'!O71&gt;='3'!$V$3,"+1",IF('3'!O71&gt;=0,"+",IF('3'!O71&lt;=(-1*'3'!$V$3),"-1","-"))))</f>
        <v/>
      </c>
      <c r="P9" s="19" t="str">
        <f>IF(ISBLANK('Raw counts'!P10),"",IF('3'!P71&gt;='3'!$V$3,"+1",IF('3'!P71&gt;=0,"+",IF('3'!P71&lt;=(-1*'3'!$V$3),"-1","-"))))</f>
        <v/>
      </c>
      <c r="Q9" s="19" t="str">
        <f>IF(ISBLANK('Raw counts'!Q10),"",IF('3'!Q71&gt;='3'!$V$3,"+1",IF('3'!Q71&gt;=0,"+",IF('3'!Q71&lt;=(-1*'3'!$V$3),"-1","-"))))</f>
        <v/>
      </c>
      <c r="R9" s="19" t="str">
        <f>IF(ISBLANK('Raw counts'!R10),"",IF('3'!R71&gt;='3'!$V$3,"+1",IF('3'!R71&gt;=0,"+",IF('3'!R71&lt;=(-1*'3'!$V$3),"-1","-"))))</f>
        <v/>
      </c>
      <c r="S9" s="19" t="str">
        <f>IF(ISBLANK('Raw counts'!S10),"",IF('3'!S71&gt;='3'!$V$3,"+1",IF('3'!S71&gt;=0,"+",IF('3'!S71&lt;=(-1*'3'!$V$3),"-1","-"))))</f>
        <v/>
      </c>
      <c r="T9" s="19" t="str">
        <f>IF(ISBLANK('Raw counts'!T10),"",IF('3'!T71&gt;='3'!$V$3,"+1",IF('3'!T71&gt;=0,"+",IF('3'!T71&lt;=(-1*'3'!$V$3),"-1","-"))))</f>
        <v/>
      </c>
      <c r="U9" s="19" t="str">
        <f>IF(ISBLANK('Raw counts'!U10),"",IF('3'!U71&gt;='3'!$V$3,"+1",IF('3'!U71&gt;=0,"+",IF('3'!U71&lt;=(-1*'3'!$V$3),"-1","-"))))</f>
        <v/>
      </c>
    </row>
    <row r="10" spans="1:21" ht="25.5" x14ac:dyDescent="0.15">
      <c r="A10" s="18" t="str">
        <f>IF(ISBLANK('Raw counts'!A11),"",'Raw counts'!A11)</f>
        <v xml:space="preserve">Hard to find the brand online                                               </v>
      </c>
      <c r="B10" s="19" t="str">
        <f>IF(ISBLANK('Raw counts'!B11),"",IF('3'!B72&gt;='3'!$V$3,"+1",IF('3'!B72&gt;=0,"+",IF('3'!B72&lt;=(-1*'3'!$V$3),"-1","-"))))</f>
        <v>+</v>
      </c>
      <c r="C10" s="19" t="str">
        <f>IF(ISBLANK('Raw counts'!C11),"",IF('3'!C72&gt;='3'!$V$3,"+1",IF('3'!C72&gt;=0,"+",IF('3'!C72&lt;=(-1*'3'!$V$3),"-1","-"))))</f>
        <v>+1</v>
      </c>
      <c r="D10" s="19" t="str">
        <f>IF(ISBLANK('Raw counts'!D11),"",IF('3'!D72&gt;='3'!$V$3,"+1",IF('3'!D72&gt;=0,"+",IF('3'!D72&lt;=(-1*'3'!$V$3),"-1","-"))))</f>
        <v>+</v>
      </c>
      <c r="E10" s="19" t="str">
        <f>IF(ISBLANK('Raw counts'!E11),"",IF('3'!E72&gt;='3'!$V$3,"+1",IF('3'!E72&gt;=0,"+",IF('3'!E72&lt;=(-1*'3'!$V$3),"-1","-"))))</f>
        <v>-</v>
      </c>
      <c r="F10" s="19" t="str">
        <f>IF(ISBLANK('Raw counts'!F11),"",IF('3'!F72&gt;='3'!$V$3,"+1",IF('3'!F72&gt;=0,"+",IF('3'!F72&lt;=(-1*'3'!$V$3),"-1","-"))))</f>
        <v>-1</v>
      </c>
      <c r="G10" s="19" t="str">
        <f>IF(ISBLANK('Raw counts'!G11),"",IF('3'!G72&gt;='3'!$V$3,"+1",IF('3'!G72&gt;=0,"+",IF('3'!G72&lt;=(-1*'3'!$V$3),"-1","-"))))</f>
        <v>-</v>
      </c>
      <c r="H10" s="19" t="str">
        <f>IF(ISBLANK('Raw counts'!H11),"",IF('3'!H72&gt;='3'!$V$3,"+1",IF('3'!H72&gt;=0,"+",IF('3'!H72&lt;=(-1*'3'!$V$3),"-1","-"))))</f>
        <v>+</v>
      </c>
      <c r="I10" s="19" t="str">
        <f>IF(ISBLANK('Raw counts'!I11),"",IF('3'!I72&gt;='3'!$V$3,"+1",IF('3'!I72&gt;=0,"+",IF('3'!I72&lt;=(-1*'3'!$V$3),"-1","-"))))</f>
        <v>+</v>
      </c>
      <c r="J10" s="19" t="str">
        <f>IF(ISBLANK('Raw counts'!J11),"",IF('3'!J72&gt;='3'!$V$3,"+1",IF('3'!J72&gt;=0,"+",IF('3'!J72&lt;=(-1*'3'!$V$3),"-1","-"))))</f>
        <v>+</v>
      </c>
      <c r="K10" s="19" t="str">
        <f>IF(ISBLANK('Raw counts'!K11),"",IF('3'!K72&gt;='3'!$V$3,"+1",IF('3'!K72&gt;=0,"+",IF('3'!K72&lt;=(-1*'3'!$V$3),"-1","-"))))</f>
        <v>+</v>
      </c>
      <c r="L10" s="19" t="str">
        <f>IF(ISBLANK('Raw counts'!L11),"",IF('3'!L72&gt;='3'!$V$3,"+1",IF('3'!L72&gt;=0,"+",IF('3'!L72&lt;=(-1*'3'!$V$3),"-1","-"))))</f>
        <v>-</v>
      </c>
      <c r="M10" s="19" t="str">
        <f>IF(ISBLANK('Raw counts'!M11),"",IF('3'!M72&gt;='3'!$V$3,"+1",IF('3'!M72&gt;=0,"+",IF('3'!M72&lt;=(-1*'3'!$V$3),"-1","-"))))</f>
        <v/>
      </c>
      <c r="N10" s="19" t="str">
        <f>IF(ISBLANK('Raw counts'!N11),"",IF('3'!N72&gt;='3'!$V$3,"+1",IF('3'!N72&gt;=0,"+",IF('3'!N72&lt;=(-1*'3'!$V$3),"-1","-"))))</f>
        <v/>
      </c>
      <c r="O10" s="19" t="str">
        <f>IF(ISBLANK('Raw counts'!O11),"",IF('3'!O72&gt;='3'!$V$3,"+1",IF('3'!O72&gt;=0,"+",IF('3'!O72&lt;=(-1*'3'!$V$3),"-1","-"))))</f>
        <v/>
      </c>
      <c r="P10" s="19" t="str">
        <f>IF(ISBLANK('Raw counts'!P11),"",IF('3'!P72&gt;='3'!$V$3,"+1",IF('3'!P72&gt;=0,"+",IF('3'!P72&lt;=(-1*'3'!$V$3),"-1","-"))))</f>
        <v/>
      </c>
      <c r="Q10" s="19" t="str">
        <f>IF(ISBLANK('Raw counts'!Q11),"",IF('3'!Q72&gt;='3'!$V$3,"+1",IF('3'!Q72&gt;=0,"+",IF('3'!Q72&lt;=(-1*'3'!$V$3),"-1","-"))))</f>
        <v/>
      </c>
      <c r="R10" s="19" t="str">
        <f>IF(ISBLANK('Raw counts'!R11),"",IF('3'!R72&gt;='3'!$V$3,"+1",IF('3'!R72&gt;=0,"+",IF('3'!R72&lt;=(-1*'3'!$V$3),"-1","-"))))</f>
        <v/>
      </c>
      <c r="S10" s="19" t="str">
        <f>IF(ISBLANK('Raw counts'!S11),"",IF('3'!S72&gt;='3'!$V$3,"+1",IF('3'!S72&gt;=0,"+",IF('3'!S72&lt;=(-1*'3'!$V$3),"-1","-"))))</f>
        <v/>
      </c>
      <c r="T10" s="19" t="str">
        <f>IF(ISBLANK('Raw counts'!T11),"",IF('3'!T72&gt;='3'!$V$3,"+1",IF('3'!T72&gt;=0,"+",IF('3'!T72&lt;=(-1*'3'!$V$3),"-1","-"))))</f>
        <v/>
      </c>
      <c r="U10" s="19" t="str">
        <f>IF(ISBLANK('Raw counts'!U11),"",IF('3'!U72&gt;='3'!$V$3,"+1",IF('3'!U72&gt;=0,"+",IF('3'!U72&lt;=(-1*'3'!$V$3),"-1","-"))))</f>
        <v/>
      </c>
    </row>
    <row r="11" spans="1:21" ht="25.5" x14ac:dyDescent="0.15">
      <c r="A11" s="18" t="str">
        <f>IF(ISBLANK('Raw counts'!A12),"",'Raw counts'!A12)</f>
        <v xml:space="preserve">Difficult to determine which product is right for me                        </v>
      </c>
      <c r="B11" s="19" t="str">
        <f>IF(ISBLANK('Raw counts'!B12),"",IF('3'!B73&gt;='3'!$V$3,"+1",IF('3'!B73&gt;=0,"+",IF('3'!B73&lt;=(-1*'3'!$V$3),"-1","-"))))</f>
        <v>-</v>
      </c>
      <c r="C11" s="19" t="str">
        <f>IF(ISBLANK('Raw counts'!C12),"",IF('3'!C73&gt;='3'!$V$3,"+1",IF('3'!C73&gt;=0,"+",IF('3'!C73&lt;=(-1*'3'!$V$3),"-1","-"))))</f>
        <v>-</v>
      </c>
      <c r="D11" s="19" t="str">
        <f>IF(ISBLANK('Raw counts'!D12),"",IF('3'!D73&gt;='3'!$V$3,"+1",IF('3'!D73&gt;=0,"+",IF('3'!D73&lt;=(-1*'3'!$V$3),"-1","-"))))</f>
        <v>-</v>
      </c>
      <c r="E11" s="19" t="str">
        <f>IF(ISBLANK('Raw counts'!E12),"",IF('3'!E73&gt;='3'!$V$3,"+1",IF('3'!E73&gt;=0,"+",IF('3'!E73&lt;=(-1*'3'!$V$3),"-1","-"))))</f>
        <v>+</v>
      </c>
      <c r="F11" s="19" t="str">
        <f>IF(ISBLANK('Raw counts'!F12),"",IF('3'!F73&gt;='3'!$V$3,"+1",IF('3'!F73&gt;=0,"+",IF('3'!F73&lt;=(-1*'3'!$V$3),"-1","-"))))</f>
        <v>+1</v>
      </c>
      <c r="G11" s="19" t="str">
        <f>IF(ISBLANK('Raw counts'!G12),"",IF('3'!G73&gt;='3'!$V$3,"+1",IF('3'!G73&gt;=0,"+",IF('3'!G73&lt;=(-1*'3'!$V$3),"-1","-"))))</f>
        <v>+</v>
      </c>
      <c r="H11" s="19" t="str">
        <f>IF(ISBLANK('Raw counts'!H12),"",IF('3'!H73&gt;='3'!$V$3,"+1",IF('3'!H73&gt;=0,"+",IF('3'!H73&lt;=(-1*'3'!$V$3),"-1","-"))))</f>
        <v>-1</v>
      </c>
      <c r="I11" s="19" t="str">
        <f>IF(ISBLANK('Raw counts'!I12),"",IF('3'!I73&gt;='3'!$V$3,"+1",IF('3'!I73&gt;=0,"+",IF('3'!I73&lt;=(-1*'3'!$V$3),"-1","-"))))</f>
        <v>+</v>
      </c>
      <c r="J11" s="19" t="str">
        <f>IF(ISBLANK('Raw counts'!J12),"",IF('3'!J73&gt;='3'!$V$3,"+1",IF('3'!J73&gt;=0,"+",IF('3'!J73&lt;=(-1*'3'!$V$3),"-1","-"))))</f>
        <v>+</v>
      </c>
      <c r="K11" s="19" t="str">
        <f>IF(ISBLANK('Raw counts'!K12),"",IF('3'!K73&gt;='3'!$V$3,"+1",IF('3'!K73&gt;=0,"+",IF('3'!K73&lt;=(-1*'3'!$V$3),"-1","-"))))</f>
        <v>+</v>
      </c>
      <c r="L11" s="19" t="str">
        <f>IF(ISBLANK('Raw counts'!L12),"",IF('3'!L73&gt;='3'!$V$3,"+1",IF('3'!L73&gt;=0,"+",IF('3'!L73&lt;=(-1*'3'!$V$3),"-1","-"))))</f>
        <v>+</v>
      </c>
      <c r="M11" s="19" t="str">
        <f>IF(ISBLANK('Raw counts'!M12),"",IF('3'!M73&gt;='3'!$V$3,"+1",IF('3'!M73&gt;=0,"+",IF('3'!M73&lt;=(-1*'3'!$V$3),"-1","-"))))</f>
        <v/>
      </c>
      <c r="N11" s="19" t="str">
        <f>IF(ISBLANK('Raw counts'!N12),"",IF('3'!N73&gt;='3'!$V$3,"+1",IF('3'!N73&gt;=0,"+",IF('3'!N73&lt;=(-1*'3'!$V$3),"-1","-"))))</f>
        <v/>
      </c>
      <c r="O11" s="19" t="str">
        <f>IF(ISBLANK('Raw counts'!O12),"",IF('3'!O73&gt;='3'!$V$3,"+1",IF('3'!O73&gt;=0,"+",IF('3'!O73&lt;=(-1*'3'!$V$3),"-1","-"))))</f>
        <v/>
      </c>
      <c r="P11" s="19" t="str">
        <f>IF(ISBLANK('Raw counts'!P12),"",IF('3'!P73&gt;='3'!$V$3,"+1",IF('3'!P73&gt;=0,"+",IF('3'!P73&lt;=(-1*'3'!$V$3),"-1","-"))))</f>
        <v/>
      </c>
      <c r="Q11" s="19" t="str">
        <f>IF(ISBLANK('Raw counts'!Q12),"",IF('3'!Q73&gt;='3'!$V$3,"+1",IF('3'!Q73&gt;=0,"+",IF('3'!Q73&lt;=(-1*'3'!$V$3),"-1","-"))))</f>
        <v/>
      </c>
      <c r="R11" s="19" t="str">
        <f>IF(ISBLANK('Raw counts'!R12),"",IF('3'!R73&gt;='3'!$V$3,"+1",IF('3'!R73&gt;=0,"+",IF('3'!R73&lt;=(-1*'3'!$V$3),"-1","-"))))</f>
        <v/>
      </c>
      <c r="S11" s="19" t="str">
        <f>IF(ISBLANK('Raw counts'!S12),"",IF('3'!S73&gt;='3'!$V$3,"+1",IF('3'!S73&gt;=0,"+",IF('3'!S73&lt;=(-1*'3'!$V$3),"-1","-"))))</f>
        <v/>
      </c>
      <c r="T11" s="19" t="str">
        <f>IF(ISBLANK('Raw counts'!T12),"",IF('3'!T73&gt;='3'!$V$3,"+1",IF('3'!T73&gt;=0,"+",IF('3'!T73&lt;=(-1*'3'!$V$3),"-1","-"))))</f>
        <v/>
      </c>
      <c r="U11" s="19" t="str">
        <f>IF(ISBLANK('Raw counts'!U12),"",IF('3'!U73&gt;='3'!$V$3,"+1",IF('3'!U73&gt;=0,"+",IF('3'!U73&lt;=(-1*'3'!$V$3),"-1","-"))))</f>
        <v/>
      </c>
    </row>
    <row r="12" spans="1:21" ht="25.5" x14ac:dyDescent="0.15">
      <c r="A12" s="18" t="str">
        <f>IF(ISBLANK('Raw counts'!A13),"",'Raw counts'!A13)</f>
        <v xml:space="preserve">Costs more than other brands                                                </v>
      </c>
      <c r="B12" s="19" t="str">
        <f>IF(ISBLANK('Raw counts'!B13),"",IF('3'!B74&gt;='3'!$V$3,"+1",IF('3'!B74&gt;=0,"+",IF('3'!B74&lt;=(-1*'3'!$V$3),"-1","-"))))</f>
        <v>+1</v>
      </c>
      <c r="C12" s="19" t="str">
        <f>IF(ISBLANK('Raw counts'!C13),"",IF('3'!C74&gt;='3'!$V$3,"+1",IF('3'!C74&gt;=0,"+",IF('3'!C74&lt;=(-1*'3'!$V$3),"-1","-"))))</f>
        <v>-1</v>
      </c>
      <c r="D12" s="19" t="str">
        <f>IF(ISBLANK('Raw counts'!D13),"",IF('3'!D74&gt;='3'!$V$3,"+1",IF('3'!D74&gt;=0,"+",IF('3'!D74&lt;=(-1*'3'!$V$3),"-1","-"))))</f>
        <v>-</v>
      </c>
      <c r="E12" s="19" t="str">
        <f>IF(ISBLANK('Raw counts'!E13),"",IF('3'!E74&gt;='3'!$V$3,"+1",IF('3'!E74&gt;=0,"+",IF('3'!E74&lt;=(-1*'3'!$V$3),"-1","-"))))</f>
        <v>-</v>
      </c>
      <c r="F12" s="19" t="str">
        <f>IF(ISBLANK('Raw counts'!F13),"",IF('3'!F74&gt;='3'!$V$3,"+1",IF('3'!F74&gt;=0,"+",IF('3'!F74&lt;=(-1*'3'!$V$3),"-1","-"))))</f>
        <v>-1</v>
      </c>
      <c r="G12" s="19" t="str">
        <f>IF(ISBLANK('Raw counts'!G13),"",IF('3'!G74&gt;='3'!$V$3,"+1",IF('3'!G74&gt;=0,"+",IF('3'!G74&lt;=(-1*'3'!$V$3),"-1","-"))))</f>
        <v>+</v>
      </c>
      <c r="H12" s="19" t="str">
        <f>IF(ISBLANK('Raw counts'!H13),"",IF('3'!H74&gt;='3'!$V$3,"+1",IF('3'!H74&gt;=0,"+",IF('3'!H74&lt;=(-1*'3'!$V$3),"-1","-"))))</f>
        <v>+1</v>
      </c>
      <c r="I12" s="19" t="str">
        <f>IF(ISBLANK('Raw counts'!I13),"",IF('3'!I74&gt;='3'!$V$3,"+1",IF('3'!I74&gt;=0,"+",IF('3'!I74&lt;=(-1*'3'!$V$3),"-1","-"))))</f>
        <v>-</v>
      </c>
      <c r="J12" s="19" t="str">
        <f>IF(ISBLANK('Raw counts'!J13),"",IF('3'!J74&gt;='3'!$V$3,"+1",IF('3'!J74&gt;=0,"+",IF('3'!J74&lt;=(-1*'3'!$V$3),"-1","-"))))</f>
        <v>-</v>
      </c>
      <c r="K12" s="19" t="str">
        <f>IF(ISBLANK('Raw counts'!K13),"",IF('3'!K74&gt;='3'!$V$3,"+1",IF('3'!K74&gt;=0,"+",IF('3'!K74&lt;=(-1*'3'!$V$3),"-1","-"))))</f>
        <v>-1</v>
      </c>
      <c r="L12" s="19" t="str">
        <f>IF(ISBLANK('Raw counts'!L13),"",IF('3'!L74&gt;='3'!$V$3,"+1",IF('3'!L74&gt;=0,"+",IF('3'!L74&lt;=(-1*'3'!$V$3),"-1","-"))))</f>
        <v>-</v>
      </c>
      <c r="M12" s="19" t="str">
        <f>IF(ISBLANK('Raw counts'!M13),"",IF('3'!M74&gt;='3'!$V$3,"+1",IF('3'!M74&gt;=0,"+",IF('3'!M74&lt;=(-1*'3'!$V$3),"-1","-"))))</f>
        <v/>
      </c>
      <c r="N12" s="19" t="str">
        <f>IF(ISBLANK('Raw counts'!N13),"",IF('3'!N74&gt;='3'!$V$3,"+1",IF('3'!N74&gt;=0,"+",IF('3'!N74&lt;=(-1*'3'!$V$3),"-1","-"))))</f>
        <v/>
      </c>
      <c r="O12" s="19" t="str">
        <f>IF(ISBLANK('Raw counts'!O13),"",IF('3'!O74&gt;='3'!$V$3,"+1",IF('3'!O74&gt;=0,"+",IF('3'!O74&lt;=(-1*'3'!$V$3),"-1","-"))))</f>
        <v/>
      </c>
      <c r="P12" s="19" t="str">
        <f>IF(ISBLANK('Raw counts'!P13),"",IF('3'!P74&gt;='3'!$V$3,"+1",IF('3'!P74&gt;=0,"+",IF('3'!P74&lt;=(-1*'3'!$V$3),"-1","-"))))</f>
        <v/>
      </c>
      <c r="Q12" s="19" t="str">
        <f>IF(ISBLANK('Raw counts'!Q13),"",IF('3'!Q74&gt;='3'!$V$3,"+1",IF('3'!Q74&gt;=0,"+",IF('3'!Q74&lt;=(-1*'3'!$V$3),"-1","-"))))</f>
        <v/>
      </c>
      <c r="R12" s="19" t="str">
        <f>IF(ISBLANK('Raw counts'!R13),"",IF('3'!R74&gt;='3'!$V$3,"+1",IF('3'!R74&gt;=0,"+",IF('3'!R74&lt;=(-1*'3'!$V$3),"-1","-"))))</f>
        <v/>
      </c>
      <c r="S12" s="19" t="str">
        <f>IF(ISBLANK('Raw counts'!S13),"",IF('3'!S74&gt;='3'!$V$3,"+1",IF('3'!S74&gt;=0,"+",IF('3'!S74&lt;=(-1*'3'!$V$3),"-1","-"))))</f>
        <v/>
      </c>
      <c r="T12" s="19" t="str">
        <f>IF(ISBLANK('Raw counts'!T13),"",IF('3'!T74&gt;='3'!$V$3,"+1",IF('3'!T74&gt;=0,"+",IF('3'!T74&lt;=(-1*'3'!$V$3),"-1","-"))))</f>
        <v/>
      </c>
      <c r="U12" s="19" t="str">
        <f>IF(ISBLANK('Raw counts'!U13),"",IF('3'!U74&gt;='3'!$V$3,"+1",IF('3'!U74&gt;=0,"+",IF('3'!U74&lt;=(-1*'3'!$V$3),"-1","-"))))</f>
        <v/>
      </c>
    </row>
    <row r="13" spans="1:21" ht="38.25" x14ac:dyDescent="0.15">
      <c r="A13" s="18" t="str">
        <f>IF(ISBLANK('Raw counts'!A14),"",'Raw counts'!A14)</f>
        <v xml:space="preserve">Costs more than I'm willing to pay                                          </v>
      </c>
      <c r="B13" s="19" t="str">
        <f>IF(ISBLANK('Raw counts'!B14),"",IF('3'!B75&gt;='3'!$V$3,"+1",IF('3'!B75&gt;=0,"+",IF('3'!B75&lt;=(-1*'3'!$V$3),"-1","-"))))</f>
        <v>+</v>
      </c>
      <c r="C13" s="19" t="str">
        <f>IF(ISBLANK('Raw counts'!C14),"",IF('3'!C75&gt;='3'!$V$3,"+1",IF('3'!C75&gt;=0,"+",IF('3'!C75&lt;=(-1*'3'!$V$3),"-1","-"))))</f>
        <v>-</v>
      </c>
      <c r="D13" s="19" t="str">
        <f>IF(ISBLANK('Raw counts'!D14),"",IF('3'!D75&gt;='3'!$V$3,"+1",IF('3'!D75&gt;=0,"+",IF('3'!D75&lt;=(-1*'3'!$V$3),"-1","-"))))</f>
        <v>+</v>
      </c>
      <c r="E13" s="19" t="str">
        <f>IF(ISBLANK('Raw counts'!E14),"",IF('3'!E75&gt;='3'!$V$3,"+1",IF('3'!E75&gt;=0,"+",IF('3'!E75&lt;=(-1*'3'!$V$3),"-1","-"))))</f>
        <v>-</v>
      </c>
      <c r="F13" s="19" t="str">
        <f>IF(ISBLANK('Raw counts'!F14),"",IF('3'!F75&gt;='3'!$V$3,"+1",IF('3'!F75&gt;=0,"+",IF('3'!F75&lt;=(-1*'3'!$V$3),"-1","-"))))</f>
        <v>+1</v>
      </c>
      <c r="G13" s="19" t="str">
        <f>IF(ISBLANK('Raw counts'!G14),"",IF('3'!G75&gt;='3'!$V$3,"+1",IF('3'!G75&gt;=0,"+",IF('3'!G75&lt;=(-1*'3'!$V$3),"-1","-"))))</f>
        <v>-1</v>
      </c>
      <c r="H13" s="19" t="str">
        <f>IF(ISBLANK('Raw counts'!H14),"",IF('3'!H75&gt;='3'!$V$3,"+1",IF('3'!H75&gt;=0,"+",IF('3'!H75&lt;=(-1*'3'!$V$3),"-1","-"))))</f>
        <v>+1</v>
      </c>
      <c r="I13" s="19" t="str">
        <f>IF(ISBLANK('Raw counts'!I14),"",IF('3'!I75&gt;='3'!$V$3,"+1",IF('3'!I75&gt;=0,"+",IF('3'!I75&lt;=(-1*'3'!$V$3),"-1","-"))))</f>
        <v>-1</v>
      </c>
      <c r="J13" s="19" t="str">
        <f>IF(ISBLANK('Raw counts'!J14),"",IF('3'!J75&gt;='3'!$V$3,"+1",IF('3'!J75&gt;=0,"+",IF('3'!J75&lt;=(-1*'3'!$V$3),"-1","-"))))</f>
        <v>+</v>
      </c>
      <c r="K13" s="19" t="str">
        <f>IF(ISBLANK('Raw counts'!K14),"",IF('3'!K75&gt;='3'!$V$3,"+1",IF('3'!K75&gt;=0,"+",IF('3'!K75&lt;=(-1*'3'!$V$3),"-1","-"))))</f>
        <v>-</v>
      </c>
      <c r="L13" s="19" t="str">
        <f>IF(ISBLANK('Raw counts'!L14),"",IF('3'!L75&gt;='3'!$V$3,"+1",IF('3'!L75&gt;=0,"+",IF('3'!L75&lt;=(-1*'3'!$V$3),"-1","-"))))</f>
        <v>+</v>
      </c>
      <c r="M13" s="19" t="str">
        <f>IF(ISBLANK('Raw counts'!M14),"",IF('3'!M75&gt;='3'!$V$3,"+1",IF('3'!M75&gt;=0,"+",IF('3'!M75&lt;=(-1*'3'!$V$3),"-1","-"))))</f>
        <v/>
      </c>
      <c r="N13" s="19" t="str">
        <f>IF(ISBLANK('Raw counts'!N14),"",IF('3'!N75&gt;='3'!$V$3,"+1",IF('3'!N75&gt;=0,"+",IF('3'!N75&lt;=(-1*'3'!$V$3),"-1","-"))))</f>
        <v/>
      </c>
      <c r="O13" s="19" t="str">
        <f>IF(ISBLANK('Raw counts'!O14),"",IF('3'!O75&gt;='3'!$V$3,"+1",IF('3'!O75&gt;=0,"+",IF('3'!O75&lt;=(-1*'3'!$V$3),"-1","-"))))</f>
        <v/>
      </c>
      <c r="P13" s="19" t="str">
        <f>IF(ISBLANK('Raw counts'!P14),"",IF('3'!P75&gt;='3'!$V$3,"+1",IF('3'!P75&gt;=0,"+",IF('3'!P75&lt;=(-1*'3'!$V$3),"-1","-"))))</f>
        <v/>
      </c>
      <c r="Q13" s="19" t="str">
        <f>IF(ISBLANK('Raw counts'!Q14),"",IF('3'!Q75&gt;='3'!$V$3,"+1",IF('3'!Q75&gt;=0,"+",IF('3'!Q75&lt;=(-1*'3'!$V$3),"-1","-"))))</f>
        <v/>
      </c>
      <c r="R13" s="19" t="str">
        <f>IF(ISBLANK('Raw counts'!R14),"",IF('3'!R75&gt;='3'!$V$3,"+1",IF('3'!R75&gt;=0,"+",IF('3'!R75&lt;=(-1*'3'!$V$3),"-1","-"))))</f>
        <v/>
      </c>
      <c r="S13" s="19" t="str">
        <f>IF(ISBLANK('Raw counts'!S14),"",IF('3'!S75&gt;='3'!$V$3,"+1",IF('3'!S75&gt;=0,"+",IF('3'!S75&lt;=(-1*'3'!$V$3),"-1","-"))))</f>
        <v/>
      </c>
      <c r="T13" s="19" t="str">
        <f>IF(ISBLANK('Raw counts'!T14),"",IF('3'!T75&gt;='3'!$V$3,"+1",IF('3'!T75&gt;=0,"+",IF('3'!T75&lt;=(-1*'3'!$V$3),"-1","-"))))</f>
        <v/>
      </c>
      <c r="U13" s="19" t="str">
        <f>IF(ISBLANK('Raw counts'!U14),"",IF('3'!U75&gt;='3'!$V$3,"+1",IF('3'!U75&gt;=0,"+",IF('3'!U75&lt;=(-1*'3'!$V$3),"-1","-"))))</f>
        <v/>
      </c>
    </row>
    <row r="14" spans="1:21" x14ac:dyDescent="0.15">
      <c r="A14" s="18" t="str">
        <f>IF(ISBLANK('Raw counts'!A15),"",'Raw counts'!A15)</f>
        <v xml:space="preserve">Not enough promotions, discounts or coupons                                 </v>
      </c>
      <c r="B14" s="19" t="str">
        <f>IF(ISBLANK('Raw counts'!B15),"",IF('3'!B76&gt;='3'!$V$3,"+1",IF('3'!B76&gt;=0,"+",IF('3'!B76&lt;=(-1*'3'!$V$3),"-1","-"))))</f>
        <v>+</v>
      </c>
      <c r="C14" s="19" t="str">
        <f>IF(ISBLANK('Raw counts'!C15),"",IF('3'!C76&gt;='3'!$V$3,"+1",IF('3'!C76&gt;=0,"+",IF('3'!C76&lt;=(-1*'3'!$V$3),"-1","-"))))</f>
        <v>-1</v>
      </c>
      <c r="D14" s="19" t="str">
        <f>IF(ISBLANK('Raw counts'!D15),"",IF('3'!D76&gt;='3'!$V$3,"+1",IF('3'!D76&gt;=0,"+",IF('3'!D76&lt;=(-1*'3'!$V$3),"-1","-"))))</f>
        <v>-</v>
      </c>
      <c r="E14" s="19" t="str">
        <f>IF(ISBLANK('Raw counts'!E15),"",IF('3'!E76&gt;='3'!$V$3,"+1",IF('3'!E76&gt;=0,"+",IF('3'!E76&lt;=(-1*'3'!$V$3),"-1","-"))))</f>
        <v>-</v>
      </c>
      <c r="F14" s="19" t="str">
        <f>IF(ISBLANK('Raw counts'!F15),"",IF('3'!F76&gt;='3'!$V$3,"+1",IF('3'!F76&gt;=0,"+",IF('3'!F76&lt;=(-1*'3'!$V$3),"-1","-"))))</f>
        <v>+</v>
      </c>
      <c r="G14" s="19" t="str">
        <f>IF(ISBLANK('Raw counts'!G15),"",IF('3'!G76&gt;='3'!$V$3,"+1",IF('3'!G76&gt;=0,"+",IF('3'!G76&lt;=(-1*'3'!$V$3),"-1","-"))))</f>
        <v>+1</v>
      </c>
      <c r="H14" s="19" t="str">
        <f>IF(ISBLANK('Raw counts'!H15),"",IF('3'!H76&gt;='3'!$V$3,"+1",IF('3'!H76&gt;=0,"+",IF('3'!H76&lt;=(-1*'3'!$V$3),"-1","-"))))</f>
        <v>+1</v>
      </c>
      <c r="I14" s="19" t="str">
        <f>IF(ISBLANK('Raw counts'!I15),"",IF('3'!I76&gt;='3'!$V$3,"+1",IF('3'!I76&gt;=0,"+",IF('3'!I76&lt;=(-1*'3'!$V$3),"-1","-"))))</f>
        <v>-</v>
      </c>
      <c r="J14" s="19" t="str">
        <f>IF(ISBLANK('Raw counts'!J15),"",IF('3'!J76&gt;='3'!$V$3,"+1",IF('3'!J76&gt;=0,"+",IF('3'!J76&lt;=(-1*'3'!$V$3),"-1","-"))))</f>
        <v>-</v>
      </c>
      <c r="K14" s="19" t="str">
        <f>IF(ISBLANK('Raw counts'!K15),"",IF('3'!K76&gt;='3'!$V$3,"+1",IF('3'!K76&gt;=0,"+",IF('3'!K76&lt;=(-1*'3'!$V$3),"-1","-"))))</f>
        <v>-1</v>
      </c>
      <c r="L14" s="19" t="str">
        <f>IF(ISBLANK('Raw counts'!L15),"",IF('3'!L76&gt;='3'!$V$3,"+1",IF('3'!L76&gt;=0,"+",IF('3'!L76&lt;=(-1*'3'!$V$3),"-1","-"))))</f>
        <v>-</v>
      </c>
      <c r="M14" s="19" t="str">
        <f>IF(ISBLANK('Raw counts'!M15),"",IF('3'!M76&gt;='3'!$V$3,"+1",IF('3'!M76&gt;=0,"+",IF('3'!M76&lt;=(-1*'3'!$V$3),"-1","-"))))</f>
        <v/>
      </c>
      <c r="N14" s="19" t="str">
        <f>IF(ISBLANK('Raw counts'!N15),"",IF('3'!N76&gt;='3'!$V$3,"+1",IF('3'!N76&gt;=0,"+",IF('3'!N76&lt;=(-1*'3'!$V$3),"-1","-"))))</f>
        <v/>
      </c>
      <c r="O14" s="19" t="str">
        <f>IF(ISBLANK('Raw counts'!O15),"",IF('3'!O76&gt;='3'!$V$3,"+1",IF('3'!O76&gt;=0,"+",IF('3'!O76&lt;=(-1*'3'!$V$3),"-1","-"))))</f>
        <v/>
      </c>
      <c r="P14" s="19" t="str">
        <f>IF(ISBLANK('Raw counts'!P15),"",IF('3'!P76&gt;='3'!$V$3,"+1",IF('3'!P76&gt;=0,"+",IF('3'!P76&lt;=(-1*'3'!$V$3),"-1","-"))))</f>
        <v/>
      </c>
      <c r="Q14" s="19" t="str">
        <f>IF(ISBLANK('Raw counts'!Q15),"",IF('3'!Q76&gt;='3'!$V$3,"+1",IF('3'!Q76&gt;=0,"+",IF('3'!Q76&lt;=(-1*'3'!$V$3),"-1","-"))))</f>
        <v/>
      </c>
      <c r="R14" s="19" t="str">
        <f>IF(ISBLANK('Raw counts'!R15),"",IF('3'!R76&gt;='3'!$V$3,"+1",IF('3'!R76&gt;=0,"+",IF('3'!R76&lt;=(-1*'3'!$V$3),"-1","-"))))</f>
        <v/>
      </c>
      <c r="S14" s="19" t="str">
        <f>IF(ISBLANK('Raw counts'!S15),"",IF('3'!S76&gt;='3'!$V$3,"+1",IF('3'!S76&gt;=0,"+",IF('3'!S76&lt;=(-1*'3'!$V$3),"-1","-"))))</f>
        <v/>
      </c>
      <c r="T14" s="19" t="str">
        <f>IF(ISBLANK('Raw counts'!T15),"",IF('3'!T76&gt;='3'!$V$3,"+1",IF('3'!T76&gt;=0,"+",IF('3'!T76&lt;=(-1*'3'!$V$3),"-1","-"))))</f>
        <v/>
      </c>
      <c r="U14" s="19" t="str">
        <f>IF(ISBLANK('Raw counts'!U15),"",IF('3'!U76&gt;='3'!$V$3,"+1",IF('3'!U76&gt;=0,"+",IF('3'!U76&lt;=(-1*'3'!$V$3),"-1","-"))))</f>
        <v/>
      </c>
    </row>
    <row r="15" spans="1:21" x14ac:dyDescent="0.15">
      <c r="A15" s="18" t="str">
        <f>IF(ISBLANK('Raw counts'!A16),"",'Raw counts'!A16)</f>
        <v xml:space="preserve">Other brands offer more promotions, discounts or coupons                    </v>
      </c>
      <c r="B15" s="19" t="str">
        <f>IF(ISBLANK('Raw counts'!B16),"",IF('3'!B77&gt;='3'!$V$3,"+1",IF('3'!B77&gt;=0,"+",IF('3'!B77&lt;=(-1*'3'!$V$3),"-1","-"))))</f>
        <v>+</v>
      </c>
      <c r="C15" s="19" t="str">
        <f>IF(ISBLANK('Raw counts'!C16),"",IF('3'!C77&gt;='3'!$V$3,"+1",IF('3'!C77&gt;=0,"+",IF('3'!C77&lt;=(-1*'3'!$V$3),"-1","-"))))</f>
        <v>+1</v>
      </c>
      <c r="D15" s="19" t="str">
        <f>IF(ISBLANK('Raw counts'!D16),"",IF('3'!D77&gt;='3'!$V$3,"+1",IF('3'!D77&gt;=0,"+",IF('3'!D77&lt;=(-1*'3'!$V$3),"-1","-"))))</f>
        <v>-</v>
      </c>
      <c r="E15" s="19" t="str">
        <f>IF(ISBLANK('Raw counts'!E16),"",IF('3'!E77&gt;='3'!$V$3,"+1",IF('3'!E77&gt;=0,"+",IF('3'!E77&lt;=(-1*'3'!$V$3),"-1","-"))))</f>
        <v>-</v>
      </c>
      <c r="F15" s="19" t="str">
        <f>IF(ISBLANK('Raw counts'!F16),"",IF('3'!F77&gt;='3'!$V$3,"+1",IF('3'!F77&gt;=0,"+",IF('3'!F77&lt;=(-1*'3'!$V$3),"-1","-"))))</f>
        <v>+</v>
      </c>
      <c r="G15" s="19" t="str">
        <f>IF(ISBLANK('Raw counts'!G16),"",IF('3'!G77&gt;='3'!$V$3,"+1",IF('3'!G77&gt;=0,"+",IF('3'!G77&lt;=(-1*'3'!$V$3),"-1","-"))))</f>
        <v>-</v>
      </c>
      <c r="H15" s="19" t="str">
        <f>IF(ISBLANK('Raw counts'!H16),"",IF('3'!H77&gt;='3'!$V$3,"+1",IF('3'!H77&gt;=0,"+",IF('3'!H77&lt;=(-1*'3'!$V$3),"-1","-"))))</f>
        <v>-</v>
      </c>
      <c r="I15" s="19" t="str">
        <f>IF(ISBLANK('Raw counts'!I16),"",IF('3'!I77&gt;='3'!$V$3,"+1",IF('3'!I77&gt;=0,"+",IF('3'!I77&lt;=(-1*'3'!$V$3),"-1","-"))))</f>
        <v>+</v>
      </c>
      <c r="J15" s="19" t="str">
        <f>IF(ISBLANK('Raw counts'!J16),"",IF('3'!J77&gt;='3'!$V$3,"+1",IF('3'!J77&gt;=0,"+",IF('3'!J77&lt;=(-1*'3'!$V$3),"-1","-"))))</f>
        <v>-</v>
      </c>
      <c r="K15" s="19" t="str">
        <f>IF(ISBLANK('Raw counts'!K16),"",IF('3'!K77&gt;='3'!$V$3,"+1",IF('3'!K77&gt;=0,"+",IF('3'!K77&lt;=(-1*'3'!$V$3),"-1","-"))))</f>
        <v>-</v>
      </c>
      <c r="L15" s="19" t="str">
        <f>IF(ISBLANK('Raw counts'!L16),"",IF('3'!L77&gt;='3'!$V$3,"+1",IF('3'!L77&gt;=0,"+",IF('3'!L77&lt;=(-1*'3'!$V$3),"-1","-"))))</f>
        <v>-</v>
      </c>
      <c r="M15" s="19" t="str">
        <f>IF(ISBLANK('Raw counts'!M16),"",IF('3'!M77&gt;='3'!$V$3,"+1",IF('3'!M77&gt;=0,"+",IF('3'!M77&lt;=(-1*'3'!$V$3),"-1","-"))))</f>
        <v/>
      </c>
      <c r="N15" s="19" t="str">
        <f>IF(ISBLANK('Raw counts'!N16),"",IF('3'!N77&gt;='3'!$V$3,"+1",IF('3'!N77&gt;=0,"+",IF('3'!N77&lt;=(-1*'3'!$V$3),"-1","-"))))</f>
        <v/>
      </c>
      <c r="O15" s="19" t="str">
        <f>IF(ISBLANK('Raw counts'!O16),"",IF('3'!O77&gt;='3'!$V$3,"+1",IF('3'!O77&gt;=0,"+",IF('3'!O77&lt;=(-1*'3'!$V$3),"-1","-"))))</f>
        <v/>
      </c>
      <c r="P15" s="19" t="str">
        <f>IF(ISBLANK('Raw counts'!P16),"",IF('3'!P77&gt;='3'!$V$3,"+1",IF('3'!P77&gt;=0,"+",IF('3'!P77&lt;=(-1*'3'!$V$3),"-1","-"))))</f>
        <v/>
      </c>
      <c r="Q15" s="19" t="str">
        <f>IF(ISBLANK('Raw counts'!Q16),"",IF('3'!Q77&gt;='3'!$V$3,"+1",IF('3'!Q77&gt;=0,"+",IF('3'!Q77&lt;=(-1*'3'!$V$3),"-1","-"))))</f>
        <v/>
      </c>
      <c r="R15" s="19" t="str">
        <f>IF(ISBLANK('Raw counts'!R16),"",IF('3'!R77&gt;='3'!$V$3,"+1",IF('3'!R77&gt;=0,"+",IF('3'!R77&lt;=(-1*'3'!$V$3),"-1","-"))))</f>
        <v/>
      </c>
      <c r="S15" s="19" t="str">
        <f>IF(ISBLANK('Raw counts'!S16),"",IF('3'!S77&gt;='3'!$V$3,"+1",IF('3'!S77&gt;=0,"+",IF('3'!S77&lt;=(-1*'3'!$V$3),"-1","-"))))</f>
        <v/>
      </c>
      <c r="T15" s="19" t="str">
        <f>IF(ISBLANK('Raw counts'!T16),"",IF('3'!T77&gt;='3'!$V$3,"+1",IF('3'!T77&gt;=0,"+",IF('3'!T77&lt;=(-1*'3'!$V$3),"-1","-"))))</f>
        <v/>
      </c>
      <c r="U15" s="19" t="str">
        <f>IF(ISBLANK('Raw counts'!U16),"",IF('3'!U77&gt;='3'!$V$3,"+1",IF('3'!U77&gt;=0,"+",IF('3'!U77&lt;=(-1*'3'!$V$3),"-1","-"))))</f>
        <v/>
      </c>
    </row>
    <row r="16" spans="1:21" x14ac:dyDescent="0.15">
      <c r="A16" s="18" t="str">
        <f>IF(ISBLANK('Raw counts'!A17),"",'Raw counts'!A17)</f>
        <v xml:space="preserve">Other brands have more shopper or loyalty card offers                       </v>
      </c>
      <c r="B16" s="19" t="str">
        <f>IF(ISBLANK('Raw counts'!B17),"",IF('3'!B78&gt;='3'!$V$3,"+1",IF('3'!B78&gt;=0,"+",IF('3'!B78&lt;=(-1*'3'!$V$3),"-1","-"))))</f>
        <v>+</v>
      </c>
      <c r="C16" s="19" t="str">
        <f>IF(ISBLANK('Raw counts'!C17),"",IF('3'!C78&gt;='3'!$V$3,"+1",IF('3'!C78&gt;=0,"+",IF('3'!C78&lt;=(-1*'3'!$V$3),"-1","-"))))</f>
        <v>-</v>
      </c>
      <c r="D16" s="19" t="str">
        <f>IF(ISBLANK('Raw counts'!D17),"",IF('3'!D78&gt;='3'!$V$3,"+1",IF('3'!D78&gt;=0,"+",IF('3'!D78&lt;=(-1*'3'!$V$3),"-1","-"))))</f>
        <v>+</v>
      </c>
      <c r="E16" s="19" t="str">
        <f>IF(ISBLANK('Raw counts'!E17),"",IF('3'!E78&gt;='3'!$V$3,"+1",IF('3'!E78&gt;=0,"+",IF('3'!E78&lt;=(-1*'3'!$V$3),"-1","-"))))</f>
        <v>-</v>
      </c>
      <c r="F16" s="19" t="str">
        <f>IF(ISBLANK('Raw counts'!F17),"",IF('3'!F78&gt;='3'!$V$3,"+1",IF('3'!F78&gt;=0,"+",IF('3'!F78&lt;=(-1*'3'!$V$3),"-1","-"))))</f>
        <v>+</v>
      </c>
      <c r="G16" s="19" t="str">
        <f>IF(ISBLANK('Raw counts'!G17),"",IF('3'!G78&gt;='3'!$V$3,"+1",IF('3'!G78&gt;=0,"+",IF('3'!G78&lt;=(-1*'3'!$V$3),"-1","-"))))</f>
        <v>-1</v>
      </c>
      <c r="H16" s="19" t="str">
        <f>IF(ISBLANK('Raw counts'!H17),"",IF('3'!H78&gt;='3'!$V$3,"+1",IF('3'!H78&gt;=0,"+",IF('3'!H78&lt;=(-1*'3'!$V$3),"-1","-"))))</f>
        <v>+</v>
      </c>
      <c r="I16" s="19" t="str">
        <f>IF(ISBLANK('Raw counts'!I17),"",IF('3'!I78&gt;='3'!$V$3,"+1",IF('3'!I78&gt;=0,"+",IF('3'!I78&lt;=(-1*'3'!$V$3),"-1","-"))))</f>
        <v>-</v>
      </c>
      <c r="J16" s="19" t="str">
        <f>IF(ISBLANK('Raw counts'!J17),"",IF('3'!J78&gt;='3'!$V$3,"+1",IF('3'!J78&gt;=0,"+",IF('3'!J78&lt;=(-1*'3'!$V$3),"-1","-"))))</f>
        <v>-</v>
      </c>
      <c r="K16" s="19" t="str">
        <f>IF(ISBLANK('Raw counts'!K17),"",IF('3'!K78&gt;='3'!$V$3,"+1",IF('3'!K78&gt;=0,"+",IF('3'!K78&lt;=(-1*'3'!$V$3),"-1","-"))))</f>
        <v>+1</v>
      </c>
      <c r="L16" s="19" t="str">
        <f>IF(ISBLANK('Raw counts'!L17),"",IF('3'!L78&gt;='3'!$V$3,"+1",IF('3'!L78&gt;=0,"+",IF('3'!L78&lt;=(-1*'3'!$V$3),"-1","-"))))</f>
        <v>-</v>
      </c>
      <c r="M16" s="19" t="str">
        <f>IF(ISBLANK('Raw counts'!M17),"",IF('3'!M78&gt;='3'!$V$3,"+1",IF('3'!M78&gt;=0,"+",IF('3'!M78&lt;=(-1*'3'!$V$3),"-1","-"))))</f>
        <v/>
      </c>
      <c r="N16" s="19" t="str">
        <f>IF(ISBLANK('Raw counts'!N17),"",IF('3'!N78&gt;='3'!$V$3,"+1",IF('3'!N78&gt;=0,"+",IF('3'!N78&lt;=(-1*'3'!$V$3),"-1","-"))))</f>
        <v/>
      </c>
      <c r="O16" s="19" t="str">
        <f>IF(ISBLANK('Raw counts'!O17),"",IF('3'!O78&gt;='3'!$V$3,"+1",IF('3'!O78&gt;=0,"+",IF('3'!O78&lt;=(-1*'3'!$V$3),"-1","-"))))</f>
        <v/>
      </c>
      <c r="P16" s="19" t="str">
        <f>IF(ISBLANK('Raw counts'!P17),"",IF('3'!P78&gt;='3'!$V$3,"+1",IF('3'!P78&gt;=0,"+",IF('3'!P78&lt;=(-1*'3'!$V$3),"-1","-"))))</f>
        <v/>
      </c>
      <c r="Q16" s="19" t="str">
        <f>IF(ISBLANK('Raw counts'!Q17),"",IF('3'!Q78&gt;='3'!$V$3,"+1",IF('3'!Q78&gt;=0,"+",IF('3'!Q78&lt;=(-1*'3'!$V$3),"-1","-"))))</f>
        <v/>
      </c>
      <c r="R16" s="19" t="str">
        <f>IF(ISBLANK('Raw counts'!R17),"",IF('3'!R78&gt;='3'!$V$3,"+1",IF('3'!R78&gt;=0,"+",IF('3'!R78&lt;=(-1*'3'!$V$3),"-1","-"))))</f>
        <v/>
      </c>
      <c r="S16" s="19" t="str">
        <f>IF(ISBLANK('Raw counts'!S17),"",IF('3'!S78&gt;='3'!$V$3,"+1",IF('3'!S78&gt;=0,"+",IF('3'!S78&lt;=(-1*'3'!$V$3),"-1","-"))))</f>
        <v/>
      </c>
      <c r="T16" s="19" t="str">
        <f>IF(ISBLANK('Raw counts'!T17),"",IF('3'!T78&gt;='3'!$V$3,"+1",IF('3'!T78&gt;=0,"+",IF('3'!T78&lt;=(-1*'3'!$V$3),"-1","-"))))</f>
        <v/>
      </c>
      <c r="U16" s="19" t="str">
        <f>IF(ISBLANK('Raw counts'!U17),"",IF('3'!U78&gt;='3'!$V$3,"+1",IF('3'!U78&gt;=0,"+",IF('3'!U78&lt;=(-1*'3'!$V$3),"-1","-"))))</f>
        <v/>
      </c>
    </row>
    <row r="17" spans="1:21" x14ac:dyDescent="0.15">
      <c r="A17" s="18" t="str">
        <f>IF(ISBLANK('Raw counts'!A18),"",'Raw counts'!A18)</f>
        <v xml:space="preserve">Recommended another brand by others(i.e. family members/peers or iWOM)      </v>
      </c>
      <c r="B17" s="19" t="str">
        <f>IF(ISBLANK('Raw counts'!B18),"",IF('3'!B79&gt;='3'!$V$3,"+1",IF('3'!B79&gt;=0,"+",IF('3'!B79&lt;=(-1*'3'!$V$3),"-1","-"))))</f>
        <v>-1</v>
      </c>
      <c r="C17" s="19" t="str">
        <f>IF(ISBLANK('Raw counts'!C18),"",IF('3'!C79&gt;='3'!$V$3,"+1",IF('3'!C79&gt;=0,"+",IF('3'!C79&lt;=(-1*'3'!$V$3),"-1","-"))))</f>
        <v>+1</v>
      </c>
      <c r="D17" s="19" t="str">
        <f>IF(ISBLANK('Raw counts'!D18),"",IF('3'!D79&gt;='3'!$V$3,"+1",IF('3'!D79&gt;=0,"+",IF('3'!D79&lt;=(-1*'3'!$V$3),"-1","-"))))</f>
        <v>-</v>
      </c>
      <c r="E17" s="19" t="str">
        <f>IF(ISBLANK('Raw counts'!E18),"",IF('3'!E79&gt;='3'!$V$3,"+1",IF('3'!E79&gt;=0,"+",IF('3'!E79&lt;=(-1*'3'!$V$3),"-1","-"))))</f>
        <v>+</v>
      </c>
      <c r="F17" s="19" t="str">
        <f>IF(ISBLANK('Raw counts'!F18),"",IF('3'!F79&gt;='3'!$V$3,"+1",IF('3'!F79&gt;=0,"+",IF('3'!F79&lt;=(-1*'3'!$V$3),"-1","-"))))</f>
        <v>-</v>
      </c>
      <c r="G17" s="19" t="str">
        <f>IF(ISBLANK('Raw counts'!G18),"",IF('3'!G79&gt;='3'!$V$3,"+1",IF('3'!G79&gt;=0,"+",IF('3'!G79&lt;=(-1*'3'!$V$3),"-1","-"))))</f>
        <v>+</v>
      </c>
      <c r="H17" s="19" t="str">
        <f>IF(ISBLANK('Raw counts'!H18),"",IF('3'!H79&gt;='3'!$V$3,"+1",IF('3'!H79&gt;=0,"+",IF('3'!H79&lt;=(-1*'3'!$V$3),"-1","-"))))</f>
        <v>+</v>
      </c>
      <c r="I17" s="19" t="str">
        <f>IF(ISBLANK('Raw counts'!I18),"",IF('3'!I79&gt;='3'!$V$3,"+1",IF('3'!I79&gt;=0,"+",IF('3'!I79&lt;=(-1*'3'!$V$3),"-1","-"))))</f>
        <v>+</v>
      </c>
      <c r="J17" s="19" t="str">
        <f>IF(ISBLANK('Raw counts'!J18),"",IF('3'!J79&gt;='3'!$V$3,"+1",IF('3'!J79&gt;=0,"+",IF('3'!J79&lt;=(-1*'3'!$V$3),"-1","-"))))</f>
        <v>-</v>
      </c>
      <c r="K17" s="19" t="str">
        <f>IF(ISBLANK('Raw counts'!K18),"",IF('3'!K79&gt;='3'!$V$3,"+1",IF('3'!K79&gt;=0,"+",IF('3'!K79&lt;=(-1*'3'!$V$3),"-1","-"))))</f>
        <v>+</v>
      </c>
      <c r="L17" s="19" t="str">
        <f>IF(ISBLANK('Raw counts'!L18),"",IF('3'!L79&gt;='3'!$V$3,"+1",IF('3'!L79&gt;=0,"+",IF('3'!L79&lt;=(-1*'3'!$V$3),"-1","-"))))</f>
        <v>-</v>
      </c>
      <c r="M17" s="19" t="str">
        <f>IF(ISBLANK('Raw counts'!M18),"",IF('3'!M79&gt;='3'!$V$3,"+1",IF('3'!M79&gt;=0,"+",IF('3'!M79&lt;=(-1*'3'!$V$3),"-1","-"))))</f>
        <v/>
      </c>
      <c r="N17" s="19" t="str">
        <f>IF(ISBLANK('Raw counts'!N18),"",IF('3'!N79&gt;='3'!$V$3,"+1",IF('3'!N79&gt;=0,"+",IF('3'!N79&lt;=(-1*'3'!$V$3),"-1","-"))))</f>
        <v/>
      </c>
      <c r="O17" s="19" t="str">
        <f>IF(ISBLANK('Raw counts'!O18),"",IF('3'!O79&gt;='3'!$V$3,"+1",IF('3'!O79&gt;=0,"+",IF('3'!O79&lt;=(-1*'3'!$V$3),"-1","-"))))</f>
        <v/>
      </c>
      <c r="P17" s="19" t="str">
        <f>IF(ISBLANK('Raw counts'!P18),"",IF('3'!P79&gt;='3'!$V$3,"+1",IF('3'!P79&gt;=0,"+",IF('3'!P79&lt;=(-1*'3'!$V$3),"-1","-"))))</f>
        <v/>
      </c>
      <c r="Q17" s="19" t="str">
        <f>IF(ISBLANK('Raw counts'!Q18),"",IF('3'!Q79&gt;='3'!$V$3,"+1",IF('3'!Q79&gt;=0,"+",IF('3'!Q79&lt;=(-1*'3'!$V$3),"-1","-"))))</f>
        <v/>
      </c>
      <c r="R17" s="19" t="str">
        <f>IF(ISBLANK('Raw counts'!R18),"",IF('3'!R79&gt;='3'!$V$3,"+1",IF('3'!R79&gt;=0,"+",IF('3'!R79&lt;=(-1*'3'!$V$3),"-1","-"))))</f>
        <v/>
      </c>
      <c r="S17" s="19" t="str">
        <f>IF(ISBLANK('Raw counts'!S18),"",IF('3'!S79&gt;='3'!$V$3,"+1",IF('3'!S79&gt;=0,"+",IF('3'!S79&lt;=(-1*'3'!$V$3),"-1","-"))))</f>
        <v/>
      </c>
      <c r="T17" s="19" t="str">
        <f>IF(ISBLANK('Raw counts'!T18),"",IF('3'!T79&gt;='3'!$V$3,"+1",IF('3'!T79&gt;=0,"+",IF('3'!T79&lt;=(-1*'3'!$V$3),"-1","-"))))</f>
        <v/>
      </c>
      <c r="U17" s="19" t="str">
        <f>IF(ISBLANK('Raw counts'!U18),"",IF('3'!U79&gt;='3'!$V$3,"+1",IF('3'!U79&gt;=0,"+",IF('3'!U79&lt;=(-1*'3'!$V$3),"-1","-"))))</f>
        <v/>
      </c>
    </row>
    <row r="18" spans="1:21" x14ac:dyDescent="0.15">
      <c r="A18" s="18" t="str">
        <f>IF(ISBLANK('Raw counts'!A19),"",'Raw counts'!A19)</f>
        <v xml:space="preserve">In-store salesperson or advisor recommended another brand                   </v>
      </c>
      <c r="B18" s="19" t="str">
        <f>IF(ISBLANK('Raw counts'!B19),"",IF('3'!B80&gt;='3'!$V$3,"+1",IF('3'!B80&gt;=0,"+",IF('3'!B80&lt;=(-1*'3'!$V$3),"-1","-"))))</f>
        <v>+</v>
      </c>
      <c r="C18" s="19" t="str">
        <f>IF(ISBLANK('Raw counts'!C19),"",IF('3'!C80&gt;='3'!$V$3,"+1",IF('3'!C80&gt;=0,"+",IF('3'!C80&lt;=(-1*'3'!$V$3),"-1","-"))))</f>
        <v>-1</v>
      </c>
      <c r="D18" s="19" t="str">
        <f>IF(ISBLANK('Raw counts'!D19),"",IF('3'!D80&gt;='3'!$V$3,"+1",IF('3'!D80&gt;=0,"+",IF('3'!D80&lt;=(-1*'3'!$V$3),"-1","-"))))</f>
        <v>+</v>
      </c>
      <c r="E18" s="19" t="str">
        <f>IF(ISBLANK('Raw counts'!E19),"",IF('3'!E80&gt;='3'!$V$3,"+1",IF('3'!E80&gt;=0,"+",IF('3'!E80&lt;=(-1*'3'!$V$3),"-1","-"))))</f>
        <v>+</v>
      </c>
      <c r="F18" s="19" t="str">
        <f>IF(ISBLANK('Raw counts'!F19),"",IF('3'!F80&gt;='3'!$V$3,"+1",IF('3'!F80&gt;=0,"+",IF('3'!F80&lt;=(-1*'3'!$V$3),"-1","-"))))</f>
        <v>-</v>
      </c>
      <c r="G18" s="19" t="str">
        <f>IF(ISBLANK('Raw counts'!G19),"",IF('3'!G80&gt;='3'!$V$3,"+1",IF('3'!G80&gt;=0,"+",IF('3'!G80&lt;=(-1*'3'!$V$3),"-1","-"))))</f>
        <v>-</v>
      </c>
      <c r="H18" s="19" t="str">
        <f>IF(ISBLANK('Raw counts'!H19),"",IF('3'!H80&gt;='3'!$V$3,"+1",IF('3'!H80&gt;=0,"+",IF('3'!H80&lt;=(-1*'3'!$V$3),"-1","-"))))</f>
        <v>-</v>
      </c>
      <c r="I18" s="19" t="str">
        <f>IF(ISBLANK('Raw counts'!I19),"",IF('3'!I80&gt;='3'!$V$3,"+1",IF('3'!I80&gt;=0,"+",IF('3'!I80&lt;=(-1*'3'!$V$3),"-1","-"))))</f>
        <v>+</v>
      </c>
      <c r="J18" s="19" t="str">
        <f>IF(ISBLANK('Raw counts'!J19),"",IF('3'!J80&gt;='3'!$V$3,"+1",IF('3'!J80&gt;=0,"+",IF('3'!J80&lt;=(-1*'3'!$V$3),"-1","-"))))</f>
        <v>-</v>
      </c>
      <c r="K18" s="19" t="str">
        <f>IF(ISBLANK('Raw counts'!K19),"",IF('3'!K80&gt;='3'!$V$3,"+1",IF('3'!K80&gt;=0,"+",IF('3'!K80&lt;=(-1*'3'!$V$3),"-1","-"))))</f>
        <v>+1</v>
      </c>
      <c r="L18" s="19" t="str">
        <f>IF(ISBLANK('Raw counts'!L19),"",IF('3'!L80&gt;='3'!$V$3,"+1",IF('3'!L80&gt;=0,"+",IF('3'!L80&lt;=(-1*'3'!$V$3),"-1","-"))))</f>
        <v>+</v>
      </c>
      <c r="M18" s="19" t="str">
        <f>IF(ISBLANK('Raw counts'!M19),"",IF('3'!M80&gt;='3'!$V$3,"+1",IF('3'!M80&gt;=0,"+",IF('3'!M80&lt;=(-1*'3'!$V$3),"-1","-"))))</f>
        <v/>
      </c>
      <c r="N18" s="19" t="str">
        <f>IF(ISBLANK('Raw counts'!N19),"",IF('3'!N80&gt;='3'!$V$3,"+1",IF('3'!N80&gt;=0,"+",IF('3'!N80&lt;=(-1*'3'!$V$3),"-1","-"))))</f>
        <v/>
      </c>
      <c r="O18" s="19" t="str">
        <f>IF(ISBLANK('Raw counts'!O19),"",IF('3'!O80&gt;='3'!$V$3,"+1",IF('3'!O80&gt;=0,"+",IF('3'!O80&lt;=(-1*'3'!$V$3),"-1","-"))))</f>
        <v/>
      </c>
      <c r="P18" s="19" t="str">
        <f>IF(ISBLANK('Raw counts'!P19),"",IF('3'!P80&gt;='3'!$V$3,"+1",IF('3'!P80&gt;=0,"+",IF('3'!P80&lt;=(-1*'3'!$V$3),"-1","-"))))</f>
        <v/>
      </c>
      <c r="Q18" s="19" t="str">
        <f>IF(ISBLANK('Raw counts'!Q19),"",IF('3'!Q80&gt;='3'!$V$3,"+1",IF('3'!Q80&gt;=0,"+",IF('3'!Q80&lt;=(-1*'3'!$V$3),"-1","-"))))</f>
        <v/>
      </c>
      <c r="R18" s="19" t="str">
        <f>IF(ISBLANK('Raw counts'!R19),"",IF('3'!R80&gt;='3'!$V$3,"+1",IF('3'!R80&gt;=0,"+",IF('3'!R80&lt;=(-1*'3'!$V$3),"-1","-"))))</f>
        <v/>
      </c>
      <c r="S18" s="19" t="str">
        <f>IF(ISBLANK('Raw counts'!S19),"",IF('3'!S80&gt;='3'!$V$3,"+1",IF('3'!S80&gt;=0,"+",IF('3'!S80&lt;=(-1*'3'!$V$3),"-1","-"))))</f>
        <v/>
      </c>
      <c r="T18" s="19" t="str">
        <f>IF(ISBLANK('Raw counts'!T19),"",IF('3'!T80&gt;='3'!$V$3,"+1",IF('3'!T80&gt;=0,"+",IF('3'!T80&lt;=(-1*'3'!$V$3),"-1","-"))))</f>
        <v/>
      </c>
      <c r="U18" s="19" t="str">
        <f>IF(ISBLANK('Raw counts'!U19),"",IF('3'!U80&gt;='3'!$V$3,"+1",IF('3'!U80&gt;=0,"+",IF('3'!U80&lt;=(-1*'3'!$V$3),"-1","-"))))</f>
        <v/>
      </c>
    </row>
    <row r="19" spans="1:21" ht="25.5" x14ac:dyDescent="0.15">
      <c r="A19" s="18" t="str">
        <f>IF(ISBLANK('Raw counts'!A20),"",'Raw counts'!A20)</f>
        <v xml:space="preserve">Researched online while shopping and found negative reviews of the product  </v>
      </c>
      <c r="B19" s="19" t="str">
        <f>IF(ISBLANK('Raw counts'!B20),"",IF('3'!B81&gt;='3'!$V$3,"+1",IF('3'!B81&gt;=0,"+",IF('3'!B81&lt;=(-1*'3'!$V$3),"-1","-"))))</f>
        <v>+</v>
      </c>
      <c r="C19" s="19" t="str">
        <f>IF(ISBLANK('Raw counts'!C20),"",IF('3'!C81&gt;='3'!$V$3,"+1",IF('3'!C81&gt;=0,"+",IF('3'!C81&lt;=(-1*'3'!$V$3),"-1","-"))))</f>
        <v>+1</v>
      </c>
      <c r="D19" s="19" t="str">
        <f>IF(ISBLANK('Raw counts'!D20),"",IF('3'!D81&gt;='3'!$V$3,"+1",IF('3'!D81&gt;=0,"+",IF('3'!D81&lt;=(-1*'3'!$V$3),"-1","-"))))</f>
        <v>+</v>
      </c>
      <c r="E19" s="19" t="str">
        <f>IF(ISBLANK('Raw counts'!E20),"",IF('3'!E81&gt;='3'!$V$3,"+1",IF('3'!E81&gt;=0,"+",IF('3'!E81&lt;=(-1*'3'!$V$3),"-1","-"))))</f>
        <v>+</v>
      </c>
      <c r="F19" s="19" t="str">
        <f>IF(ISBLANK('Raw counts'!F20),"",IF('3'!F81&gt;='3'!$V$3,"+1",IF('3'!F81&gt;=0,"+",IF('3'!F81&lt;=(-1*'3'!$V$3),"-1","-"))))</f>
        <v>-</v>
      </c>
      <c r="G19" s="19" t="str">
        <f>IF(ISBLANK('Raw counts'!G20),"",IF('3'!G81&gt;='3'!$V$3,"+1",IF('3'!G81&gt;=0,"+",IF('3'!G81&lt;=(-1*'3'!$V$3),"-1","-"))))</f>
        <v>-1</v>
      </c>
      <c r="H19" s="19" t="str">
        <f>IF(ISBLANK('Raw counts'!H20),"",IF('3'!H81&gt;='3'!$V$3,"+1",IF('3'!H81&gt;=0,"+",IF('3'!H81&lt;=(-1*'3'!$V$3),"-1","-"))))</f>
        <v>-1</v>
      </c>
      <c r="I19" s="19" t="str">
        <f>IF(ISBLANK('Raw counts'!I20),"",IF('3'!I81&gt;='3'!$V$3,"+1",IF('3'!I81&gt;=0,"+",IF('3'!I81&lt;=(-1*'3'!$V$3),"-1","-"))))</f>
        <v>-</v>
      </c>
      <c r="J19" s="19" t="str">
        <f>IF(ISBLANK('Raw counts'!J20),"",IF('3'!J81&gt;='3'!$V$3,"+1",IF('3'!J81&gt;=0,"+",IF('3'!J81&lt;=(-1*'3'!$V$3),"-1","-"))))</f>
        <v>+</v>
      </c>
      <c r="K19" s="19" t="str">
        <f>IF(ISBLANK('Raw counts'!K20),"",IF('3'!K81&gt;='3'!$V$3,"+1",IF('3'!K81&gt;=0,"+",IF('3'!K81&lt;=(-1*'3'!$V$3),"-1","-"))))</f>
        <v>+</v>
      </c>
      <c r="L19" s="19" t="str">
        <f>IF(ISBLANK('Raw counts'!L20),"",IF('3'!L81&gt;='3'!$V$3,"+1",IF('3'!L81&gt;=0,"+",IF('3'!L81&lt;=(-1*'3'!$V$3),"-1","-"))))</f>
        <v>-</v>
      </c>
      <c r="M19" s="19" t="str">
        <f>IF(ISBLANK('Raw counts'!M20),"",IF('3'!M81&gt;='3'!$V$3,"+1",IF('3'!M81&gt;=0,"+",IF('3'!M81&lt;=(-1*'3'!$V$3),"-1","-"))))</f>
        <v/>
      </c>
      <c r="N19" s="19" t="str">
        <f>IF(ISBLANK('Raw counts'!N20),"",IF('3'!N81&gt;='3'!$V$3,"+1",IF('3'!N81&gt;=0,"+",IF('3'!N81&lt;=(-1*'3'!$V$3),"-1","-"))))</f>
        <v/>
      </c>
      <c r="O19" s="19" t="str">
        <f>IF(ISBLANK('Raw counts'!O20),"",IF('3'!O81&gt;='3'!$V$3,"+1",IF('3'!O81&gt;=0,"+",IF('3'!O81&lt;=(-1*'3'!$V$3),"-1","-"))))</f>
        <v/>
      </c>
      <c r="P19" s="19" t="str">
        <f>IF(ISBLANK('Raw counts'!P20),"",IF('3'!P81&gt;='3'!$V$3,"+1",IF('3'!P81&gt;=0,"+",IF('3'!P81&lt;=(-1*'3'!$V$3),"-1","-"))))</f>
        <v/>
      </c>
      <c r="Q19" s="19" t="str">
        <f>IF(ISBLANK('Raw counts'!Q20),"",IF('3'!Q81&gt;='3'!$V$3,"+1",IF('3'!Q81&gt;=0,"+",IF('3'!Q81&lt;=(-1*'3'!$V$3),"-1","-"))))</f>
        <v/>
      </c>
      <c r="R19" s="19" t="str">
        <f>IF(ISBLANK('Raw counts'!R20),"",IF('3'!R81&gt;='3'!$V$3,"+1",IF('3'!R81&gt;=0,"+",IF('3'!R81&lt;=(-1*'3'!$V$3),"-1","-"))))</f>
        <v/>
      </c>
      <c r="S19" s="19" t="str">
        <f>IF(ISBLANK('Raw counts'!S20),"",IF('3'!S81&gt;='3'!$V$3,"+1",IF('3'!S81&gt;=0,"+",IF('3'!S81&lt;=(-1*'3'!$V$3),"-1","-"))))</f>
        <v/>
      </c>
      <c r="T19" s="19" t="str">
        <f>IF(ISBLANK('Raw counts'!T20),"",IF('3'!T81&gt;='3'!$V$3,"+1",IF('3'!T81&gt;=0,"+",IF('3'!T81&lt;=(-1*'3'!$V$3),"-1","-"))))</f>
        <v/>
      </c>
      <c r="U19" s="19" t="str">
        <f>IF(ISBLANK('Raw counts'!U20),"",IF('3'!U81&gt;='3'!$V$3,"+1",IF('3'!U81&gt;=0,"+",IF('3'!U81&lt;=(-1*'3'!$V$3),"-1","-"))))</f>
        <v/>
      </c>
    </row>
    <row r="20" spans="1:21" ht="25.5" x14ac:dyDescent="0.15">
      <c r="A20" s="18" t="str">
        <f>IF(ISBLANK('Raw counts'!A21),"",'Raw counts'!A21)</f>
        <v xml:space="preserve">Dentist recommended another brand                                           </v>
      </c>
      <c r="B20" s="19" t="str">
        <f>IF(ISBLANK('Raw counts'!B21),"",IF('3'!B82&gt;='3'!$V$3,"+1",IF('3'!B82&gt;=0,"+",IF('3'!B82&lt;=(-1*'3'!$V$3),"-1","-"))))</f>
        <v>-1</v>
      </c>
      <c r="C20" s="19" t="str">
        <f>IF(ISBLANK('Raw counts'!C21),"",IF('3'!C82&gt;='3'!$V$3,"+1",IF('3'!C82&gt;=0,"+",IF('3'!C82&lt;=(-1*'3'!$V$3),"-1","-"))))</f>
        <v>+1</v>
      </c>
      <c r="D20" s="19" t="str">
        <f>IF(ISBLANK('Raw counts'!D21),"",IF('3'!D82&gt;='3'!$V$3,"+1",IF('3'!D82&gt;=0,"+",IF('3'!D82&lt;=(-1*'3'!$V$3),"-1","-"))))</f>
        <v>+</v>
      </c>
      <c r="E20" s="19" t="str">
        <f>IF(ISBLANK('Raw counts'!E21),"",IF('3'!E82&gt;='3'!$V$3,"+1",IF('3'!E82&gt;=0,"+",IF('3'!E82&lt;=(-1*'3'!$V$3),"-1","-"))))</f>
        <v>-</v>
      </c>
      <c r="F20" s="19" t="str">
        <f>IF(ISBLANK('Raw counts'!F21),"",IF('3'!F82&gt;='3'!$V$3,"+1",IF('3'!F82&gt;=0,"+",IF('3'!F82&lt;=(-1*'3'!$V$3),"-1","-"))))</f>
        <v>-</v>
      </c>
      <c r="G20" s="19" t="str">
        <f>IF(ISBLANK('Raw counts'!G21),"",IF('3'!G82&gt;='3'!$V$3,"+1",IF('3'!G82&gt;=0,"+",IF('3'!G82&lt;=(-1*'3'!$V$3),"-1","-"))))</f>
        <v>-1</v>
      </c>
      <c r="H20" s="19" t="str">
        <f>IF(ISBLANK('Raw counts'!H21),"",IF('3'!H82&gt;='3'!$V$3,"+1",IF('3'!H82&gt;=0,"+",IF('3'!H82&lt;=(-1*'3'!$V$3),"-1","-"))))</f>
        <v>+1</v>
      </c>
      <c r="I20" s="19" t="str">
        <f>IF(ISBLANK('Raw counts'!I21),"",IF('3'!I82&gt;='3'!$V$3,"+1",IF('3'!I82&gt;=0,"+",IF('3'!I82&lt;=(-1*'3'!$V$3),"-1","-"))))</f>
        <v>-</v>
      </c>
      <c r="J20" s="19" t="str">
        <f>IF(ISBLANK('Raw counts'!J21),"",IF('3'!J82&gt;='3'!$V$3,"+1",IF('3'!J82&gt;=0,"+",IF('3'!J82&lt;=(-1*'3'!$V$3),"-1","-"))))</f>
        <v>+</v>
      </c>
      <c r="K20" s="19" t="str">
        <f>IF(ISBLANK('Raw counts'!K21),"",IF('3'!K82&gt;='3'!$V$3,"+1",IF('3'!K82&gt;=0,"+",IF('3'!K82&lt;=(-1*'3'!$V$3),"-1","-"))))</f>
        <v>+</v>
      </c>
      <c r="L20" s="19" t="str">
        <f>IF(ISBLANK('Raw counts'!L21),"",IF('3'!L82&gt;='3'!$V$3,"+1",IF('3'!L82&gt;=0,"+",IF('3'!L82&lt;=(-1*'3'!$V$3),"-1","-"))))</f>
        <v>+</v>
      </c>
      <c r="M20" s="19" t="str">
        <f>IF(ISBLANK('Raw counts'!M21),"",IF('3'!M82&gt;='3'!$V$3,"+1",IF('3'!M82&gt;=0,"+",IF('3'!M82&lt;=(-1*'3'!$V$3),"-1","-"))))</f>
        <v/>
      </c>
      <c r="N20" s="19" t="str">
        <f>IF(ISBLANK('Raw counts'!N21),"",IF('3'!N82&gt;='3'!$V$3,"+1",IF('3'!N82&gt;=0,"+",IF('3'!N82&lt;=(-1*'3'!$V$3),"-1","-"))))</f>
        <v/>
      </c>
      <c r="O20" s="19" t="str">
        <f>IF(ISBLANK('Raw counts'!O21),"",IF('3'!O82&gt;='3'!$V$3,"+1",IF('3'!O82&gt;=0,"+",IF('3'!O82&lt;=(-1*'3'!$V$3),"-1","-"))))</f>
        <v/>
      </c>
      <c r="P20" s="19" t="str">
        <f>IF(ISBLANK('Raw counts'!P21),"",IF('3'!P82&gt;='3'!$V$3,"+1",IF('3'!P82&gt;=0,"+",IF('3'!P82&lt;=(-1*'3'!$V$3),"-1","-"))))</f>
        <v/>
      </c>
      <c r="Q20" s="19" t="str">
        <f>IF(ISBLANK('Raw counts'!Q21),"",IF('3'!Q82&gt;='3'!$V$3,"+1",IF('3'!Q82&gt;=0,"+",IF('3'!Q82&lt;=(-1*'3'!$V$3),"-1","-"))))</f>
        <v/>
      </c>
      <c r="R20" s="19" t="str">
        <f>IF(ISBLANK('Raw counts'!R21),"",IF('3'!R82&gt;='3'!$V$3,"+1",IF('3'!R82&gt;=0,"+",IF('3'!R82&lt;=(-1*'3'!$V$3),"-1","-"))))</f>
        <v/>
      </c>
      <c r="S20" s="19" t="str">
        <f>IF(ISBLANK('Raw counts'!S21),"",IF('3'!S82&gt;='3'!$V$3,"+1",IF('3'!S82&gt;=0,"+",IF('3'!S82&lt;=(-1*'3'!$V$3),"-1","-"))))</f>
        <v/>
      </c>
      <c r="T20" s="19" t="str">
        <f>IF(ISBLANK('Raw counts'!T21),"",IF('3'!T82&gt;='3'!$V$3,"+1",IF('3'!T82&gt;=0,"+",IF('3'!T82&lt;=(-1*'3'!$V$3),"-1","-"))))</f>
        <v/>
      </c>
      <c r="U20" s="19" t="str">
        <f>IF(ISBLANK('Raw counts'!U21),"",IF('3'!U82&gt;='3'!$V$3,"+1",IF('3'!U82&gt;=0,"+",IF('3'!U82&lt;=(-1*'3'!$V$3),"-1","-"))))</f>
        <v/>
      </c>
    </row>
    <row r="21" spans="1:21" ht="25.5" x14ac:dyDescent="0.15">
      <c r="A21" s="18" t="str">
        <f>IF(ISBLANK('Raw counts'!A22),"",'Raw counts'!A22)</f>
        <v xml:space="preserve">Some other reason                                                           </v>
      </c>
      <c r="B21" s="19" t="str">
        <f>IF(ISBLANK('Raw counts'!B22),"",IF('3'!B83&gt;='3'!$V$3,"+1",IF('3'!B83&gt;=0,"+",IF('3'!B83&lt;=(-1*'3'!$V$3),"-1","-"))))</f>
        <v>-</v>
      </c>
      <c r="C21" s="19" t="str">
        <f>IF(ISBLANK('Raw counts'!C22),"",IF('3'!C83&gt;='3'!$V$3,"+1",IF('3'!C83&gt;=0,"+",IF('3'!C83&lt;=(-1*'3'!$V$3),"-1","-"))))</f>
        <v>+</v>
      </c>
      <c r="D21" s="19" t="str">
        <f>IF(ISBLANK('Raw counts'!D22),"",IF('3'!D83&gt;='3'!$V$3,"+1",IF('3'!D83&gt;=0,"+",IF('3'!D83&lt;=(-1*'3'!$V$3),"-1","-"))))</f>
        <v>+</v>
      </c>
      <c r="E21" s="19" t="str">
        <f>IF(ISBLANK('Raw counts'!E22),"",IF('3'!E83&gt;='3'!$V$3,"+1",IF('3'!E83&gt;=0,"+",IF('3'!E83&lt;=(-1*'3'!$V$3),"-1","-"))))</f>
        <v>+</v>
      </c>
      <c r="F21" s="19" t="str">
        <f>IF(ISBLANK('Raw counts'!F22),"",IF('3'!F83&gt;='3'!$V$3,"+1",IF('3'!F83&gt;=0,"+",IF('3'!F83&lt;=(-1*'3'!$V$3),"-1","-"))))</f>
        <v>-</v>
      </c>
      <c r="G21" s="19" t="str">
        <f>IF(ISBLANK('Raw counts'!G22),"",IF('3'!G83&gt;='3'!$V$3,"+1",IF('3'!G83&gt;=0,"+",IF('3'!G83&lt;=(-1*'3'!$V$3),"-1","-"))))</f>
        <v>+</v>
      </c>
      <c r="H21" s="19" t="str">
        <f>IF(ISBLANK('Raw counts'!H22),"",IF('3'!H83&gt;='3'!$V$3,"+1",IF('3'!H83&gt;=0,"+",IF('3'!H83&lt;=(-1*'3'!$V$3),"-1","-"))))</f>
        <v>-</v>
      </c>
      <c r="I21" s="19" t="str">
        <f>IF(ISBLANK('Raw counts'!I22),"",IF('3'!I83&gt;='3'!$V$3,"+1",IF('3'!I83&gt;=0,"+",IF('3'!I83&lt;=(-1*'3'!$V$3),"-1","-"))))</f>
        <v>+</v>
      </c>
      <c r="J21" s="19" t="str">
        <f>IF(ISBLANK('Raw counts'!J22),"",IF('3'!J83&gt;='3'!$V$3,"+1",IF('3'!J83&gt;=0,"+",IF('3'!J83&lt;=(-1*'3'!$V$3),"-1","-"))))</f>
        <v>+</v>
      </c>
      <c r="K21" s="19" t="str">
        <f>IF(ISBLANK('Raw counts'!K22),"",IF('3'!K83&gt;='3'!$V$3,"+1",IF('3'!K83&gt;=0,"+",IF('3'!K83&lt;=(-1*'3'!$V$3),"-1","-"))))</f>
        <v>+</v>
      </c>
      <c r="L21" s="19" t="str">
        <f>IF(ISBLANK('Raw counts'!L22),"",IF('3'!L83&gt;='3'!$V$3,"+1",IF('3'!L83&gt;=0,"+",IF('3'!L83&lt;=(-1*'3'!$V$3),"-1","-"))))</f>
        <v>+</v>
      </c>
      <c r="M21" s="19" t="str">
        <f>IF(ISBLANK('Raw counts'!M22),"",IF('3'!M83&gt;='3'!$V$3,"+1",IF('3'!M83&gt;=0,"+",IF('3'!M83&lt;=(-1*'3'!$V$3),"-1","-"))))</f>
        <v/>
      </c>
      <c r="N21" s="19" t="str">
        <f>IF(ISBLANK('Raw counts'!N22),"",IF('3'!N83&gt;='3'!$V$3,"+1",IF('3'!N83&gt;=0,"+",IF('3'!N83&lt;=(-1*'3'!$V$3),"-1","-"))))</f>
        <v/>
      </c>
      <c r="O21" s="19" t="str">
        <f>IF(ISBLANK('Raw counts'!O22),"",IF('3'!O83&gt;='3'!$V$3,"+1",IF('3'!O83&gt;=0,"+",IF('3'!O83&lt;=(-1*'3'!$V$3),"-1","-"))))</f>
        <v/>
      </c>
      <c r="P21" s="19" t="str">
        <f>IF(ISBLANK('Raw counts'!P22),"",IF('3'!P83&gt;='3'!$V$3,"+1",IF('3'!P83&gt;=0,"+",IF('3'!P83&lt;=(-1*'3'!$V$3),"-1","-"))))</f>
        <v/>
      </c>
      <c r="Q21" s="19" t="str">
        <f>IF(ISBLANK('Raw counts'!Q22),"",IF('3'!Q83&gt;='3'!$V$3,"+1",IF('3'!Q83&gt;=0,"+",IF('3'!Q83&lt;=(-1*'3'!$V$3),"-1","-"))))</f>
        <v/>
      </c>
      <c r="R21" s="19" t="str">
        <f>IF(ISBLANK('Raw counts'!R22),"",IF('3'!R83&gt;='3'!$V$3,"+1",IF('3'!R83&gt;=0,"+",IF('3'!R83&lt;=(-1*'3'!$V$3),"-1","-"))))</f>
        <v/>
      </c>
      <c r="S21" s="19" t="str">
        <f>IF(ISBLANK('Raw counts'!S22),"",IF('3'!S83&gt;='3'!$V$3,"+1",IF('3'!S83&gt;=0,"+",IF('3'!S83&lt;=(-1*'3'!$V$3),"-1","-"))))</f>
        <v/>
      </c>
      <c r="T21" s="19" t="str">
        <f>IF(ISBLANK('Raw counts'!T22),"",IF('3'!T83&gt;='3'!$V$3,"+1",IF('3'!T83&gt;=0,"+",IF('3'!T83&lt;=(-1*'3'!$V$3),"-1","-"))))</f>
        <v/>
      </c>
      <c r="U21" s="19" t="str">
        <f>IF(ISBLANK('Raw counts'!U22),"",IF('3'!U83&gt;='3'!$V$3,"+1",IF('3'!U83&gt;=0,"+",IF('3'!U83&lt;=(-1*'3'!$V$3),"-1","-"))))</f>
        <v/>
      </c>
    </row>
    <row r="22" spans="1:21" ht="25.5" x14ac:dyDescent="0.15">
      <c r="A22" s="18" t="str">
        <f>IF(ISBLANK('Raw counts'!A23),"",'Raw counts'!A23)</f>
        <v/>
      </c>
      <c r="B22" s="19" t="str">
        <f>IF(ISBLANK('Raw counts'!B23),"",IF('3'!B84&gt;='3'!$V$3,"+1",IF('3'!B84&gt;=0,"+",IF('3'!B84&lt;=(-1*'3'!$V$3),"-1","-"))))</f>
        <v/>
      </c>
      <c r="C22" s="19" t="str">
        <f>IF(ISBLANK('Raw counts'!C23),"",IF('3'!C84&gt;='3'!$V$3,"+1",IF('3'!C84&gt;=0,"+",IF('3'!C84&lt;=(-1*'3'!$V$3),"-1","-"))))</f>
        <v/>
      </c>
      <c r="D22" s="19" t="str">
        <f>IF(ISBLANK('Raw counts'!D23),"",IF('3'!D84&gt;='3'!$V$3,"+1",IF('3'!D84&gt;=0,"+",IF('3'!D84&lt;=(-1*'3'!$V$3),"-1","-"))))</f>
        <v/>
      </c>
      <c r="E22" s="19" t="str">
        <f>IF(ISBLANK('Raw counts'!E23),"",IF('3'!E84&gt;='3'!$V$3,"+1",IF('3'!E84&gt;=0,"+",IF('3'!E84&lt;=(-1*'3'!$V$3),"-1","-"))))</f>
        <v/>
      </c>
      <c r="F22" s="19" t="str">
        <f>IF(ISBLANK('Raw counts'!F23),"",IF('3'!F84&gt;='3'!$V$3,"+1",IF('3'!F84&gt;=0,"+",IF('3'!F84&lt;=(-1*'3'!$V$3),"-1","-"))))</f>
        <v/>
      </c>
      <c r="G22" s="19" t="str">
        <f>IF(ISBLANK('Raw counts'!G23),"",IF('3'!G84&gt;='3'!$V$3,"+1",IF('3'!G84&gt;=0,"+",IF('3'!G84&lt;=(-1*'3'!$V$3),"-1","-"))))</f>
        <v/>
      </c>
      <c r="H22" s="19" t="str">
        <f>IF(ISBLANK('Raw counts'!H23),"",IF('3'!H84&gt;='3'!$V$3,"+1",IF('3'!H84&gt;=0,"+",IF('3'!H84&lt;=(-1*'3'!$V$3),"-1","-"))))</f>
        <v/>
      </c>
      <c r="I22" s="19" t="str">
        <f>IF(ISBLANK('Raw counts'!I23),"",IF('3'!I84&gt;='3'!$V$3,"+1",IF('3'!I84&gt;=0,"+",IF('3'!I84&lt;=(-1*'3'!$V$3),"-1","-"))))</f>
        <v/>
      </c>
      <c r="J22" s="19" t="str">
        <f>IF(ISBLANK('Raw counts'!J23),"",IF('3'!J84&gt;='3'!$V$3,"+1",IF('3'!J84&gt;=0,"+",IF('3'!J84&lt;=(-1*'3'!$V$3),"-1","-"))))</f>
        <v/>
      </c>
      <c r="K22" s="19" t="str">
        <f>IF(ISBLANK('Raw counts'!K23),"",IF('3'!K84&gt;='3'!$V$3,"+1",IF('3'!K84&gt;=0,"+",IF('3'!K84&lt;=(-1*'3'!$V$3),"-1","-"))))</f>
        <v/>
      </c>
      <c r="L22" s="19" t="str">
        <f>IF(ISBLANK('Raw counts'!L23),"",IF('3'!L84&gt;='3'!$V$3,"+1",IF('3'!L84&gt;=0,"+",IF('3'!L84&lt;=(-1*'3'!$V$3),"-1","-"))))</f>
        <v/>
      </c>
      <c r="M22" s="19" t="str">
        <f>IF(ISBLANK('Raw counts'!M23),"",IF('3'!M84&gt;='3'!$V$3,"+1",IF('3'!M84&gt;=0,"+",IF('3'!M84&lt;=(-1*'3'!$V$3),"-1","-"))))</f>
        <v/>
      </c>
      <c r="N22" s="19" t="str">
        <f>IF(ISBLANK('Raw counts'!N23),"",IF('3'!N84&gt;='3'!$V$3,"+1",IF('3'!N84&gt;=0,"+",IF('3'!N84&lt;=(-1*'3'!$V$3),"-1","-"))))</f>
        <v/>
      </c>
      <c r="O22" s="19" t="str">
        <f>IF(ISBLANK('Raw counts'!O23),"",IF('3'!O84&gt;='3'!$V$3,"+1",IF('3'!O84&gt;=0,"+",IF('3'!O84&lt;=(-1*'3'!$V$3),"-1","-"))))</f>
        <v/>
      </c>
      <c r="P22" s="19" t="str">
        <f>IF(ISBLANK('Raw counts'!P23),"",IF('3'!P84&gt;='3'!$V$3,"+1",IF('3'!P84&gt;=0,"+",IF('3'!P84&lt;=(-1*'3'!$V$3),"-1","-"))))</f>
        <v/>
      </c>
      <c r="Q22" s="19" t="str">
        <f>IF(ISBLANK('Raw counts'!Q23),"",IF('3'!Q84&gt;='3'!$V$3,"+1",IF('3'!Q84&gt;=0,"+",IF('3'!Q84&lt;=(-1*'3'!$V$3),"-1","-"))))</f>
        <v/>
      </c>
      <c r="R22" s="19" t="str">
        <f>IF(ISBLANK('Raw counts'!R23),"",IF('3'!R84&gt;='3'!$V$3,"+1",IF('3'!R84&gt;=0,"+",IF('3'!R84&lt;=(-1*'3'!$V$3),"-1","-"))))</f>
        <v/>
      </c>
      <c r="S22" s="19" t="str">
        <f>IF(ISBLANK('Raw counts'!S23),"",IF('3'!S84&gt;='3'!$V$3,"+1",IF('3'!S84&gt;=0,"+",IF('3'!S84&lt;=(-1*'3'!$V$3),"-1","-"))))</f>
        <v/>
      </c>
      <c r="T22" s="19" t="str">
        <f>IF(ISBLANK('Raw counts'!T23),"",IF('3'!T84&gt;='3'!$V$3,"+1",IF('3'!T84&gt;=0,"+",IF('3'!T84&lt;=(-1*'3'!$V$3),"-1","-"))))</f>
        <v/>
      </c>
      <c r="U22" s="19" t="str">
        <f>IF(ISBLANK('Raw counts'!U23),"",IF('3'!U84&gt;='3'!$V$3,"+1",IF('3'!U84&gt;=0,"+",IF('3'!U84&lt;=(-1*'3'!$V$3),"-1","-"))))</f>
        <v/>
      </c>
    </row>
    <row r="23" spans="1:21" x14ac:dyDescent="0.15">
      <c r="A23" s="18" t="str">
        <f>IF(ISBLANK('Raw counts'!A24),"",'Raw counts'!A24)</f>
        <v/>
      </c>
      <c r="B23" s="19" t="str">
        <f>IF(ISBLANK('Raw counts'!B24),"",IF('3'!B85&gt;='3'!$V$3,"+1",IF('3'!B85&gt;=0,"+",IF('3'!B85&lt;=(-1*'3'!$V$3),"-1","-"))))</f>
        <v/>
      </c>
      <c r="C23" s="19" t="str">
        <f>IF(ISBLANK('Raw counts'!C24),"",IF('3'!C85&gt;='3'!$V$3,"+1",IF('3'!C85&gt;=0,"+",IF('3'!C85&lt;=(-1*'3'!$V$3),"-1","-"))))</f>
        <v/>
      </c>
      <c r="D23" s="19" t="str">
        <f>IF(ISBLANK('Raw counts'!D24),"",IF('3'!D85&gt;='3'!$V$3,"+1",IF('3'!D85&gt;=0,"+",IF('3'!D85&lt;=(-1*'3'!$V$3),"-1","-"))))</f>
        <v/>
      </c>
      <c r="E23" s="19" t="str">
        <f>IF(ISBLANK('Raw counts'!E24),"",IF('3'!E85&gt;='3'!$V$3,"+1",IF('3'!E85&gt;=0,"+",IF('3'!E85&lt;=(-1*'3'!$V$3),"-1","-"))))</f>
        <v/>
      </c>
      <c r="F23" s="19" t="str">
        <f>IF(ISBLANK('Raw counts'!F24),"",IF('3'!F85&gt;='3'!$V$3,"+1",IF('3'!F85&gt;=0,"+",IF('3'!F85&lt;=(-1*'3'!$V$3),"-1","-"))))</f>
        <v/>
      </c>
      <c r="G23" s="19" t="str">
        <f>IF(ISBLANK('Raw counts'!G24),"",IF('3'!G85&gt;='3'!$V$3,"+1",IF('3'!G85&gt;=0,"+",IF('3'!G85&lt;=(-1*'3'!$V$3),"-1","-"))))</f>
        <v/>
      </c>
      <c r="H23" s="19" t="str">
        <f>IF(ISBLANK('Raw counts'!H24),"",IF('3'!H85&gt;='3'!$V$3,"+1",IF('3'!H85&gt;=0,"+",IF('3'!H85&lt;=(-1*'3'!$V$3),"-1","-"))))</f>
        <v/>
      </c>
      <c r="I23" s="19" t="str">
        <f>IF(ISBLANK('Raw counts'!I24),"",IF('3'!I85&gt;='3'!$V$3,"+1",IF('3'!I85&gt;=0,"+",IF('3'!I85&lt;=(-1*'3'!$V$3),"-1","-"))))</f>
        <v/>
      </c>
      <c r="J23" s="19" t="str">
        <f>IF(ISBLANK('Raw counts'!J24),"",IF('3'!J85&gt;='3'!$V$3,"+1",IF('3'!J85&gt;=0,"+",IF('3'!J85&lt;=(-1*'3'!$V$3),"-1","-"))))</f>
        <v/>
      </c>
      <c r="K23" s="19" t="str">
        <f>IF(ISBLANK('Raw counts'!K24),"",IF('3'!K85&gt;='3'!$V$3,"+1",IF('3'!K85&gt;=0,"+",IF('3'!K85&lt;=(-1*'3'!$V$3),"-1","-"))))</f>
        <v/>
      </c>
      <c r="L23" s="19" t="str">
        <f>IF(ISBLANK('Raw counts'!L24),"",IF('3'!L85&gt;='3'!$V$3,"+1",IF('3'!L85&gt;=0,"+",IF('3'!L85&lt;=(-1*'3'!$V$3),"-1","-"))))</f>
        <v/>
      </c>
      <c r="M23" s="19" t="str">
        <f>IF(ISBLANK('Raw counts'!M24),"",IF('3'!M85&gt;='3'!$V$3,"+1",IF('3'!M85&gt;=0,"+",IF('3'!M85&lt;=(-1*'3'!$V$3),"-1","-"))))</f>
        <v/>
      </c>
      <c r="N23" s="19" t="str">
        <f>IF(ISBLANK('Raw counts'!N24),"",IF('3'!N85&gt;='3'!$V$3,"+1",IF('3'!N85&gt;=0,"+",IF('3'!N85&lt;=(-1*'3'!$V$3),"-1","-"))))</f>
        <v/>
      </c>
      <c r="O23" s="19" t="str">
        <f>IF(ISBLANK('Raw counts'!O24),"",IF('3'!O85&gt;='3'!$V$3,"+1",IF('3'!O85&gt;=0,"+",IF('3'!O85&lt;=(-1*'3'!$V$3),"-1","-"))))</f>
        <v/>
      </c>
      <c r="P23" s="19" t="str">
        <f>IF(ISBLANK('Raw counts'!P24),"",IF('3'!P85&gt;='3'!$V$3,"+1",IF('3'!P85&gt;=0,"+",IF('3'!P85&lt;=(-1*'3'!$V$3),"-1","-"))))</f>
        <v/>
      </c>
      <c r="Q23" s="19" t="str">
        <f>IF(ISBLANK('Raw counts'!Q24),"",IF('3'!Q85&gt;='3'!$V$3,"+1",IF('3'!Q85&gt;=0,"+",IF('3'!Q85&lt;=(-1*'3'!$V$3),"-1","-"))))</f>
        <v/>
      </c>
      <c r="R23" s="19" t="str">
        <f>IF(ISBLANK('Raw counts'!R24),"",IF('3'!R85&gt;='3'!$V$3,"+1",IF('3'!R85&gt;=0,"+",IF('3'!R85&lt;=(-1*'3'!$V$3),"-1","-"))))</f>
        <v/>
      </c>
      <c r="S23" s="19" t="str">
        <f>IF(ISBLANK('Raw counts'!S24),"",IF('3'!S85&gt;='3'!$V$3,"+1",IF('3'!S85&gt;=0,"+",IF('3'!S85&lt;=(-1*'3'!$V$3),"-1","-"))))</f>
        <v/>
      </c>
      <c r="T23" s="19" t="str">
        <f>IF(ISBLANK('Raw counts'!T24),"",IF('3'!T85&gt;='3'!$V$3,"+1",IF('3'!T85&gt;=0,"+",IF('3'!T85&lt;=(-1*'3'!$V$3),"-1","-"))))</f>
        <v/>
      </c>
      <c r="U23" s="19" t="str">
        <f>IF(ISBLANK('Raw counts'!U24),"",IF('3'!U85&gt;='3'!$V$3,"+1",IF('3'!U85&gt;=0,"+",IF('3'!U85&lt;=(-1*'3'!$V$3),"-1","-"))))</f>
        <v/>
      </c>
    </row>
    <row r="24" spans="1:21" x14ac:dyDescent="0.15">
      <c r="A24" s="18" t="str">
        <f>IF(ISBLANK('Raw counts'!A25),"",'Raw counts'!A25)</f>
        <v/>
      </c>
      <c r="B24" s="19" t="str">
        <f>IF(ISBLANK('Raw counts'!B25),"",IF('3'!B86&gt;='3'!$V$3,"+1",IF('3'!B86&gt;=0,"+",IF('3'!B86&lt;=(-1*'3'!$V$3),"-1","-"))))</f>
        <v/>
      </c>
      <c r="C24" s="19" t="str">
        <f>IF(ISBLANK('Raw counts'!C25),"",IF('3'!C86&gt;='3'!$V$3,"+1",IF('3'!C86&gt;=0,"+",IF('3'!C86&lt;=(-1*'3'!$V$3),"-1","-"))))</f>
        <v/>
      </c>
      <c r="D24" s="19" t="str">
        <f>IF(ISBLANK('Raw counts'!D25),"",IF('3'!D86&gt;='3'!$V$3,"+1",IF('3'!D86&gt;=0,"+",IF('3'!D86&lt;=(-1*'3'!$V$3),"-1","-"))))</f>
        <v/>
      </c>
      <c r="E24" s="19" t="str">
        <f>IF(ISBLANK('Raw counts'!E25),"",IF('3'!E86&gt;='3'!$V$3,"+1",IF('3'!E86&gt;=0,"+",IF('3'!E86&lt;=(-1*'3'!$V$3),"-1","-"))))</f>
        <v/>
      </c>
      <c r="F24" s="19" t="str">
        <f>IF(ISBLANK('Raw counts'!F25),"",IF('3'!F86&gt;='3'!$V$3,"+1",IF('3'!F86&gt;=0,"+",IF('3'!F86&lt;=(-1*'3'!$V$3),"-1","-"))))</f>
        <v/>
      </c>
      <c r="G24" s="19" t="str">
        <f>IF(ISBLANK('Raw counts'!G25),"",IF('3'!G86&gt;='3'!$V$3,"+1",IF('3'!G86&gt;=0,"+",IF('3'!G86&lt;=(-1*'3'!$V$3),"-1","-"))))</f>
        <v/>
      </c>
      <c r="H24" s="19" t="str">
        <f>IF(ISBLANK('Raw counts'!H25),"",IF('3'!H86&gt;='3'!$V$3,"+1",IF('3'!H86&gt;=0,"+",IF('3'!H86&lt;=(-1*'3'!$V$3),"-1","-"))))</f>
        <v/>
      </c>
      <c r="I24" s="19" t="str">
        <f>IF(ISBLANK('Raw counts'!I25),"",IF('3'!I86&gt;='3'!$V$3,"+1",IF('3'!I86&gt;=0,"+",IF('3'!I86&lt;=(-1*'3'!$V$3),"-1","-"))))</f>
        <v/>
      </c>
      <c r="J24" s="19" t="str">
        <f>IF(ISBLANK('Raw counts'!J25),"",IF('3'!J86&gt;='3'!$V$3,"+1",IF('3'!J86&gt;=0,"+",IF('3'!J86&lt;=(-1*'3'!$V$3),"-1","-"))))</f>
        <v/>
      </c>
      <c r="K24" s="19" t="str">
        <f>IF(ISBLANK('Raw counts'!K25),"",IF('3'!K86&gt;='3'!$V$3,"+1",IF('3'!K86&gt;=0,"+",IF('3'!K86&lt;=(-1*'3'!$V$3),"-1","-"))))</f>
        <v/>
      </c>
      <c r="L24" s="19" t="str">
        <f>IF(ISBLANK('Raw counts'!L25),"",IF('3'!L86&gt;='3'!$V$3,"+1",IF('3'!L86&gt;=0,"+",IF('3'!L86&lt;=(-1*'3'!$V$3),"-1","-"))))</f>
        <v/>
      </c>
      <c r="M24" s="19" t="str">
        <f>IF(ISBLANK('Raw counts'!M25),"",IF('3'!M86&gt;='3'!$V$3,"+1",IF('3'!M86&gt;=0,"+",IF('3'!M86&lt;=(-1*'3'!$V$3),"-1","-"))))</f>
        <v/>
      </c>
      <c r="N24" s="19" t="str">
        <f>IF(ISBLANK('Raw counts'!N25),"",IF('3'!N86&gt;='3'!$V$3,"+1",IF('3'!N86&gt;=0,"+",IF('3'!N86&lt;=(-1*'3'!$V$3),"-1","-"))))</f>
        <v/>
      </c>
      <c r="O24" s="19" t="str">
        <f>IF(ISBLANK('Raw counts'!O25),"",IF('3'!O86&gt;='3'!$V$3,"+1",IF('3'!O86&gt;=0,"+",IF('3'!O86&lt;=(-1*'3'!$V$3),"-1","-"))))</f>
        <v/>
      </c>
      <c r="P24" s="19" t="str">
        <f>IF(ISBLANK('Raw counts'!P25),"",IF('3'!P86&gt;='3'!$V$3,"+1",IF('3'!P86&gt;=0,"+",IF('3'!P86&lt;=(-1*'3'!$V$3),"-1","-"))))</f>
        <v/>
      </c>
      <c r="Q24" s="19" t="str">
        <f>IF(ISBLANK('Raw counts'!Q25),"",IF('3'!Q86&gt;='3'!$V$3,"+1",IF('3'!Q86&gt;=0,"+",IF('3'!Q86&lt;=(-1*'3'!$V$3),"-1","-"))))</f>
        <v/>
      </c>
      <c r="R24" s="19" t="str">
        <f>IF(ISBLANK('Raw counts'!R25),"",IF('3'!R86&gt;='3'!$V$3,"+1",IF('3'!R86&gt;=0,"+",IF('3'!R86&lt;=(-1*'3'!$V$3),"-1","-"))))</f>
        <v/>
      </c>
      <c r="S24" s="19" t="str">
        <f>IF(ISBLANK('Raw counts'!S25),"",IF('3'!S86&gt;='3'!$V$3,"+1",IF('3'!S86&gt;=0,"+",IF('3'!S86&lt;=(-1*'3'!$V$3),"-1","-"))))</f>
        <v/>
      </c>
      <c r="T24" s="19" t="str">
        <f>IF(ISBLANK('Raw counts'!T25),"",IF('3'!T86&gt;='3'!$V$3,"+1",IF('3'!T86&gt;=0,"+",IF('3'!T86&lt;=(-1*'3'!$V$3),"-1","-"))))</f>
        <v/>
      </c>
      <c r="U24" s="19" t="str">
        <f>IF(ISBLANK('Raw counts'!U25),"",IF('3'!U86&gt;='3'!$V$3,"+1",IF('3'!U86&gt;=0,"+",IF('3'!U86&lt;=(-1*'3'!$V$3),"-1","-"))))</f>
        <v/>
      </c>
    </row>
    <row r="25" spans="1:21" x14ac:dyDescent="0.15">
      <c r="A25" s="18" t="str">
        <f>IF(ISBLANK('Raw counts'!A26),"",'Raw counts'!A26)</f>
        <v/>
      </c>
      <c r="B25" s="19" t="str">
        <f>IF(ISBLANK('Raw counts'!B26),"",IF('3'!B87&gt;='3'!$V$3,"+1",IF('3'!B87&gt;=0,"+",IF('3'!B87&lt;=(-1*'3'!$V$3),"-1","-"))))</f>
        <v/>
      </c>
      <c r="C25" s="19" t="str">
        <f>IF(ISBLANK('Raw counts'!C26),"",IF('3'!C87&gt;='3'!$V$3,"+1",IF('3'!C87&gt;=0,"+",IF('3'!C87&lt;=(-1*'3'!$V$3),"-1","-"))))</f>
        <v/>
      </c>
      <c r="D25" s="19" t="str">
        <f>IF(ISBLANK('Raw counts'!D26),"",IF('3'!D87&gt;='3'!$V$3,"+1",IF('3'!D87&gt;=0,"+",IF('3'!D87&lt;=(-1*'3'!$V$3),"-1","-"))))</f>
        <v/>
      </c>
      <c r="E25" s="19" t="str">
        <f>IF(ISBLANK('Raw counts'!E26),"",IF('3'!E87&gt;='3'!$V$3,"+1",IF('3'!E87&gt;=0,"+",IF('3'!E87&lt;=(-1*'3'!$V$3),"-1","-"))))</f>
        <v/>
      </c>
      <c r="F25" s="19" t="str">
        <f>IF(ISBLANK('Raw counts'!F26),"",IF('3'!F87&gt;='3'!$V$3,"+1",IF('3'!F87&gt;=0,"+",IF('3'!F87&lt;=(-1*'3'!$V$3),"-1","-"))))</f>
        <v/>
      </c>
      <c r="G25" s="19" t="str">
        <f>IF(ISBLANK('Raw counts'!G26),"",IF('3'!G87&gt;='3'!$V$3,"+1",IF('3'!G87&gt;=0,"+",IF('3'!G87&lt;=(-1*'3'!$V$3),"-1","-"))))</f>
        <v/>
      </c>
      <c r="H25" s="19" t="str">
        <f>IF(ISBLANK('Raw counts'!H26),"",IF('3'!H87&gt;='3'!$V$3,"+1",IF('3'!H87&gt;=0,"+",IF('3'!H87&lt;=(-1*'3'!$V$3),"-1","-"))))</f>
        <v/>
      </c>
      <c r="I25" s="19" t="str">
        <f>IF(ISBLANK('Raw counts'!I26),"",IF('3'!I87&gt;='3'!$V$3,"+1",IF('3'!I87&gt;=0,"+",IF('3'!I87&lt;=(-1*'3'!$V$3),"-1","-"))))</f>
        <v/>
      </c>
      <c r="J25" s="19" t="str">
        <f>IF(ISBLANK('Raw counts'!J26),"",IF('3'!J87&gt;='3'!$V$3,"+1",IF('3'!J87&gt;=0,"+",IF('3'!J87&lt;=(-1*'3'!$V$3),"-1","-"))))</f>
        <v/>
      </c>
      <c r="K25" s="19" t="str">
        <f>IF(ISBLANK('Raw counts'!K26),"",IF('3'!K87&gt;='3'!$V$3,"+1",IF('3'!K87&gt;=0,"+",IF('3'!K87&lt;=(-1*'3'!$V$3),"-1","-"))))</f>
        <v/>
      </c>
      <c r="L25" s="19" t="str">
        <f>IF(ISBLANK('Raw counts'!L26),"",IF('3'!L87&gt;='3'!$V$3,"+1",IF('3'!L87&gt;=0,"+",IF('3'!L87&lt;=(-1*'3'!$V$3),"-1","-"))))</f>
        <v/>
      </c>
      <c r="M25" s="19" t="str">
        <f>IF(ISBLANK('Raw counts'!M26),"",IF('3'!M87&gt;='3'!$V$3,"+1",IF('3'!M87&gt;=0,"+",IF('3'!M87&lt;=(-1*'3'!$V$3),"-1","-"))))</f>
        <v/>
      </c>
      <c r="N25" s="19" t="str">
        <f>IF(ISBLANK('Raw counts'!N26),"",IF('3'!N87&gt;='3'!$V$3,"+1",IF('3'!N87&gt;=0,"+",IF('3'!N87&lt;=(-1*'3'!$V$3),"-1","-"))))</f>
        <v/>
      </c>
      <c r="O25" s="19" t="str">
        <f>IF(ISBLANK('Raw counts'!O26),"",IF('3'!O87&gt;='3'!$V$3,"+1",IF('3'!O87&gt;=0,"+",IF('3'!O87&lt;=(-1*'3'!$V$3),"-1","-"))))</f>
        <v/>
      </c>
      <c r="P25" s="19" t="str">
        <f>IF(ISBLANK('Raw counts'!P26),"",IF('3'!P87&gt;='3'!$V$3,"+1",IF('3'!P87&gt;=0,"+",IF('3'!P87&lt;=(-1*'3'!$V$3),"-1","-"))))</f>
        <v/>
      </c>
      <c r="Q25" s="19" t="str">
        <f>IF(ISBLANK('Raw counts'!Q26),"",IF('3'!Q87&gt;='3'!$V$3,"+1",IF('3'!Q87&gt;=0,"+",IF('3'!Q87&lt;=(-1*'3'!$V$3),"-1","-"))))</f>
        <v/>
      </c>
      <c r="R25" s="19" t="str">
        <f>IF(ISBLANK('Raw counts'!R26),"",IF('3'!R87&gt;='3'!$V$3,"+1",IF('3'!R87&gt;=0,"+",IF('3'!R87&lt;=(-1*'3'!$V$3),"-1","-"))))</f>
        <v/>
      </c>
      <c r="S25" s="19" t="str">
        <f>IF(ISBLANK('Raw counts'!S26),"",IF('3'!S87&gt;='3'!$V$3,"+1",IF('3'!S87&gt;=0,"+",IF('3'!S87&lt;=(-1*'3'!$V$3),"-1","-"))))</f>
        <v/>
      </c>
      <c r="T25" s="19" t="str">
        <f>IF(ISBLANK('Raw counts'!T26),"",IF('3'!T87&gt;='3'!$V$3,"+1",IF('3'!T87&gt;=0,"+",IF('3'!T87&lt;=(-1*'3'!$V$3),"-1","-"))))</f>
        <v/>
      </c>
      <c r="U25" s="19" t="str">
        <f>IF(ISBLANK('Raw counts'!U26),"",IF('3'!U87&gt;='3'!$V$3,"+1",IF('3'!U87&gt;=0,"+",IF('3'!U87&lt;=(-1*'3'!$V$3),"-1","-"))))</f>
        <v/>
      </c>
    </row>
    <row r="26" spans="1:21" x14ac:dyDescent="0.15">
      <c r="A26" s="18" t="str">
        <f>IF(ISBLANK('Raw counts'!A27),"",'Raw counts'!A27)</f>
        <v/>
      </c>
      <c r="B26" s="19" t="str">
        <f>IF(ISBLANK('Raw counts'!B27),"",IF('3'!B88&gt;='3'!$V$3,"+1",IF('3'!B88&gt;=0,"+",IF('3'!B88&lt;=(-1*'3'!$V$3),"-1","-"))))</f>
        <v/>
      </c>
      <c r="C26" s="19" t="str">
        <f>IF(ISBLANK('Raw counts'!C27),"",IF('3'!C88&gt;='3'!$V$3,"+1",IF('3'!C88&gt;=0,"+",IF('3'!C88&lt;=(-1*'3'!$V$3),"-1","-"))))</f>
        <v/>
      </c>
      <c r="D26" s="19" t="str">
        <f>IF(ISBLANK('Raw counts'!D27),"",IF('3'!D88&gt;='3'!$V$3,"+1",IF('3'!D88&gt;=0,"+",IF('3'!D88&lt;=(-1*'3'!$V$3),"-1","-"))))</f>
        <v/>
      </c>
      <c r="E26" s="19" t="str">
        <f>IF(ISBLANK('Raw counts'!E27),"",IF('3'!E88&gt;='3'!$V$3,"+1",IF('3'!E88&gt;=0,"+",IF('3'!E88&lt;=(-1*'3'!$V$3),"-1","-"))))</f>
        <v/>
      </c>
      <c r="F26" s="19" t="str">
        <f>IF(ISBLANK('Raw counts'!F27),"",IF('3'!F88&gt;='3'!$V$3,"+1",IF('3'!F88&gt;=0,"+",IF('3'!F88&lt;=(-1*'3'!$V$3),"-1","-"))))</f>
        <v/>
      </c>
      <c r="G26" s="19" t="str">
        <f>IF(ISBLANK('Raw counts'!G27),"",IF('3'!G88&gt;='3'!$V$3,"+1",IF('3'!G88&gt;=0,"+",IF('3'!G88&lt;=(-1*'3'!$V$3),"-1","-"))))</f>
        <v/>
      </c>
      <c r="H26" s="19" t="str">
        <f>IF(ISBLANK('Raw counts'!H27),"",IF('3'!H88&gt;='3'!$V$3,"+1",IF('3'!H88&gt;=0,"+",IF('3'!H88&lt;=(-1*'3'!$V$3),"-1","-"))))</f>
        <v/>
      </c>
      <c r="I26" s="19" t="str">
        <f>IF(ISBLANK('Raw counts'!I27),"",IF('3'!I88&gt;='3'!$V$3,"+1",IF('3'!I88&gt;=0,"+",IF('3'!I88&lt;=(-1*'3'!$V$3),"-1","-"))))</f>
        <v/>
      </c>
      <c r="J26" s="19" t="str">
        <f>IF(ISBLANK('Raw counts'!J27),"",IF('3'!J88&gt;='3'!$V$3,"+1",IF('3'!J88&gt;=0,"+",IF('3'!J88&lt;=(-1*'3'!$V$3),"-1","-"))))</f>
        <v/>
      </c>
      <c r="K26" s="19" t="str">
        <f>IF(ISBLANK('Raw counts'!K27),"",IF('3'!K88&gt;='3'!$V$3,"+1",IF('3'!K88&gt;=0,"+",IF('3'!K88&lt;=(-1*'3'!$V$3),"-1","-"))))</f>
        <v/>
      </c>
      <c r="L26" s="19" t="str">
        <f>IF(ISBLANK('Raw counts'!L27),"",IF('3'!L88&gt;='3'!$V$3,"+1",IF('3'!L88&gt;=0,"+",IF('3'!L88&lt;=(-1*'3'!$V$3),"-1","-"))))</f>
        <v/>
      </c>
      <c r="M26" s="19" t="str">
        <f>IF(ISBLANK('Raw counts'!M27),"",IF('3'!M88&gt;='3'!$V$3,"+1",IF('3'!M88&gt;=0,"+",IF('3'!M88&lt;=(-1*'3'!$V$3),"-1","-"))))</f>
        <v/>
      </c>
      <c r="N26" s="19" t="str">
        <f>IF(ISBLANK('Raw counts'!N27),"",IF('3'!N88&gt;='3'!$V$3,"+1",IF('3'!N88&gt;=0,"+",IF('3'!N88&lt;=(-1*'3'!$V$3),"-1","-"))))</f>
        <v/>
      </c>
      <c r="O26" s="19" t="str">
        <f>IF(ISBLANK('Raw counts'!O27),"",IF('3'!O88&gt;='3'!$V$3,"+1",IF('3'!O88&gt;=0,"+",IF('3'!O88&lt;=(-1*'3'!$V$3),"-1","-"))))</f>
        <v/>
      </c>
      <c r="P26" s="19" t="str">
        <f>IF(ISBLANK('Raw counts'!P27),"",IF('3'!P88&gt;='3'!$V$3,"+1",IF('3'!P88&gt;=0,"+",IF('3'!P88&lt;=(-1*'3'!$V$3),"-1","-"))))</f>
        <v/>
      </c>
      <c r="Q26" s="19" t="str">
        <f>IF(ISBLANK('Raw counts'!Q27),"",IF('3'!Q88&gt;='3'!$V$3,"+1",IF('3'!Q88&gt;=0,"+",IF('3'!Q88&lt;=(-1*'3'!$V$3),"-1","-"))))</f>
        <v/>
      </c>
      <c r="R26" s="19" t="str">
        <f>IF(ISBLANK('Raw counts'!R27),"",IF('3'!R88&gt;='3'!$V$3,"+1",IF('3'!R88&gt;=0,"+",IF('3'!R88&lt;=(-1*'3'!$V$3),"-1","-"))))</f>
        <v/>
      </c>
      <c r="S26" s="19" t="str">
        <f>IF(ISBLANK('Raw counts'!S27),"",IF('3'!S88&gt;='3'!$V$3,"+1",IF('3'!S88&gt;=0,"+",IF('3'!S88&lt;=(-1*'3'!$V$3),"-1","-"))))</f>
        <v/>
      </c>
      <c r="T26" s="19" t="str">
        <f>IF(ISBLANK('Raw counts'!T27),"",IF('3'!T88&gt;='3'!$V$3,"+1",IF('3'!T88&gt;=0,"+",IF('3'!T88&lt;=(-1*'3'!$V$3),"-1","-"))))</f>
        <v/>
      </c>
      <c r="U26" s="19" t="str">
        <f>IF(ISBLANK('Raw counts'!U27),"",IF('3'!U88&gt;='3'!$V$3,"+1",IF('3'!U88&gt;=0,"+",IF('3'!U88&lt;=(-1*'3'!$V$3),"-1","-"))))</f>
        <v/>
      </c>
    </row>
    <row r="27" spans="1:21" x14ac:dyDescent="0.15">
      <c r="A27" s="18" t="str">
        <f>IF(ISBLANK('Raw counts'!A28),"",'Raw counts'!A28)</f>
        <v>Attr24</v>
      </c>
      <c r="B27" s="19" t="str">
        <f>IF(ISBLANK('Raw counts'!B28),"",IF('3'!B89&gt;='3'!$V$3,"+1",IF('3'!B89&gt;=0,"+",IF('3'!B89&lt;=(-1*'3'!$V$3),"-1","-"))))</f>
        <v/>
      </c>
      <c r="C27" s="19" t="str">
        <f>IF(ISBLANK('Raw counts'!C28),"",IF('3'!C89&gt;='3'!$V$3,"+1",IF('3'!C89&gt;=0,"+",IF('3'!C89&lt;=(-1*'3'!$V$3),"-1","-"))))</f>
        <v/>
      </c>
      <c r="D27" s="19" t="str">
        <f>IF(ISBLANK('Raw counts'!D28),"",IF('3'!D89&gt;='3'!$V$3,"+1",IF('3'!D89&gt;=0,"+",IF('3'!D89&lt;=(-1*'3'!$V$3),"-1","-"))))</f>
        <v/>
      </c>
      <c r="E27" s="19" t="str">
        <f>IF(ISBLANK('Raw counts'!E28),"",IF('3'!E89&gt;='3'!$V$3,"+1",IF('3'!E89&gt;=0,"+",IF('3'!E89&lt;=(-1*'3'!$V$3),"-1","-"))))</f>
        <v/>
      </c>
      <c r="F27" s="19" t="str">
        <f>IF(ISBLANK('Raw counts'!F28),"",IF('3'!F89&gt;='3'!$V$3,"+1",IF('3'!F89&gt;=0,"+",IF('3'!F89&lt;=(-1*'3'!$V$3),"-1","-"))))</f>
        <v/>
      </c>
      <c r="G27" s="19" t="str">
        <f>IF(ISBLANK('Raw counts'!G28),"",IF('3'!G89&gt;='3'!$V$3,"+1",IF('3'!G89&gt;=0,"+",IF('3'!G89&lt;=(-1*'3'!$V$3),"-1","-"))))</f>
        <v/>
      </c>
      <c r="H27" s="19" t="str">
        <f>IF(ISBLANK('Raw counts'!H28),"",IF('3'!H89&gt;='3'!$V$3,"+1",IF('3'!H89&gt;=0,"+",IF('3'!H89&lt;=(-1*'3'!$V$3),"-1","-"))))</f>
        <v/>
      </c>
      <c r="I27" s="19" t="str">
        <f>IF(ISBLANK('Raw counts'!I28),"",IF('3'!I89&gt;='3'!$V$3,"+1",IF('3'!I89&gt;=0,"+",IF('3'!I89&lt;=(-1*'3'!$V$3),"-1","-"))))</f>
        <v/>
      </c>
      <c r="J27" s="19" t="str">
        <f>IF(ISBLANK('Raw counts'!J28),"",IF('3'!J89&gt;='3'!$V$3,"+1",IF('3'!J89&gt;=0,"+",IF('3'!J89&lt;=(-1*'3'!$V$3),"-1","-"))))</f>
        <v/>
      </c>
      <c r="K27" s="19" t="str">
        <f>IF(ISBLANK('Raw counts'!K28),"",IF('3'!K89&gt;='3'!$V$3,"+1",IF('3'!K89&gt;=0,"+",IF('3'!K89&lt;=(-1*'3'!$V$3),"-1","-"))))</f>
        <v/>
      </c>
      <c r="L27" s="19" t="str">
        <f>IF(ISBLANK('Raw counts'!L28),"",IF('3'!L89&gt;='3'!$V$3,"+1",IF('3'!L89&gt;=0,"+",IF('3'!L89&lt;=(-1*'3'!$V$3),"-1","-"))))</f>
        <v/>
      </c>
      <c r="M27" s="19" t="str">
        <f>IF(ISBLANK('Raw counts'!M28),"",IF('3'!M89&gt;='3'!$V$3,"+1",IF('3'!M89&gt;=0,"+",IF('3'!M89&lt;=(-1*'3'!$V$3),"-1","-"))))</f>
        <v/>
      </c>
      <c r="N27" s="19" t="str">
        <f>IF(ISBLANK('Raw counts'!N28),"",IF('3'!N89&gt;='3'!$V$3,"+1",IF('3'!N89&gt;=0,"+",IF('3'!N89&lt;=(-1*'3'!$V$3),"-1","-"))))</f>
        <v/>
      </c>
      <c r="O27" s="19" t="str">
        <f>IF(ISBLANK('Raw counts'!O28),"",IF('3'!O89&gt;='3'!$V$3,"+1",IF('3'!O89&gt;=0,"+",IF('3'!O89&lt;=(-1*'3'!$V$3),"-1","-"))))</f>
        <v/>
      </c>
      <c r="P27" s="19" t="str">
        <f>IF(ISBLANK('Raw counts'!P28),"",IF('3'!P89&gt;='3'!$V$3,"+1",IF('3'!P89&gt;=0,"+",IF('3'!P89&lt;=(-1*'3'!$V$3),"-1","-"))))</f>
        <v/>
      </c>
      <c r="Q27" s="19" t="str">
        <f>IF(ISBLANK('Raw counts'!Q28),"",IF('3'!Q89&gt;='3'!$V$3,"+1",IF('3'!Q89&gt;=0,"+",IF('3'!Q89&lt;=(-1*'3'!$V$3),"-1","-"))))</f>
        <v/>
      </c>
      <c r="R27" s="19" t="str">
        <f>IF(ISBLANK('Raw counts'!R28),"",IF('3'!R89&gt;='3'!$V$3,"+1",IF('3'!R89&gt;=0,"+",IF('3'!R89&lt;=(-1*'3'!$V$3),"-1","-"))))</f>
        <v/>
      </c>
      <c r="S27" s="19" t="str">
        <f>IF(ISBLANK('Raw counts'!S28),"",IF('3'!S89&gt;='3'!$V$3,"+1",IF('3'!S89&gt;=0,"+",IF('3'!S89&lt;=(-1*'3'!$V$3),"-1","-"))))</f>
        <v/>
      </c>
      <c r="T27" s="19" t="str">
        <f>IF(ISBLANK('Raw counts'!T28),"",IF('3'!T89&gt;='3'!$V$3,"+1",IF('3'!T89&gt;=0,"+",IF('3'!T89&lt;=(-1*'3'!$V$3),"-1","-"))))</f>
        <v/>
      </c>
      <c r="U27" s="19" t="str">
        <f>IF(ISBLANK('Raw counts'!U28),"",IF('3'!U89&gt;='3'!$V$3,"+1",IF('3'!U89&gt;=0,"+",IF('3'!U89&lt;=(-1*'3'!$V$3),"-1","-"))))</f>
        <v/>
      </c>
    </row>
    <row r="28" spans="1:21" x14ac:dyDescent="0.15">
      <c r="A28" s="18" t="str">
        <f>IF(ISBLANK('Raw counts'!A29),"",'Raw counts'!A29)</f>
        <v>Attr25</v>
      </c>
      <c r="B28" s="19" t="str">
        <f>IF(ISBLANK('Raw counts'!B29),"",IF('3'!B90&gt;='3'!$V$3,"+1",IF('3'!B90&gt;=0,"+",IF('3'!B90&lt;=(-1*'3'!$V$3),"-1","-"))))</f>
        <v/>
      </c>
      <c r="C28" s="19" t="str">
        <f>IF(ISBLANK('Raw counts'!C29),"",IF('3'!C90&gt;='3'!$V$3,"+1",IF('3'!C90&gt;=0,"+",IF('3'!C90&lt;=(-1*'3'!$V$3),"-1","-"))))</f>
        <v/>
      </c>
      <c r="D28" s="19" t="str">
        <f>IF(ISBLANK('Raw counts'!D29),"",IF('3'!D90&gt;='3'!$V$3,"+1",IF('3'!D90&gt;=0,"+",IF('3'!D90&lt;=(-1*'3'!$V$3),"-1","-"))))</f>
        <v/>
      </c>
      <c r="E28" s="19" t="str">
        <f>IF(ISBLANK('Raw counts'!E29),"",IF('3'!E90&gt;='3'!$V$3,"+1",IF('3'!E90&gt;=0,"+",IF('3'!E90&lt;=(-1*'3'!$V$3),"-1","-"))))</f>
        <v/>
      </c>
      <c r="F28" s="19" t="str">
        <f>IF(ISBLANK('Raw counts'!F29),"",IF('3'!F90&gt;='3'!$V$3,"+1",IF('3'!F90&gt;=0,"+",IF('3'!F90&lt;=(-1*'3'!$V$3),"-1","-"))))</f>
        <v/>
      </c>
      <c r="G28" s="19" t="str">
        <f>IF(ISBLANK('Raw counts'!G29),"",IF('3'!G90&gt;='3'!$V$3,"+1",IF('3'!G90&gt;=0,"+",IF('3'!G90&lt;=(-1*'3'!$V$3),"-1","-"))))</f>
        <v/>
      </c>
      <c r="H28" s="19" t="str">
        <f>IF(ISBLANK('Raw counts'!H29),"",IF('3'!H90&gt;='3'!$V$3,"+1",IF('3'!H90&gt;=0,"+",IF('3'!H90&lt;=(-1*'3'!$V$3),"-1","-"))))</f>
        <v/>
      </c>
      <c r="I28" s="19" t="str">
        <f>IF(ISBLANK('Raw counts'!I29),"",IF('3'!I90&gt;='3'!$V$3,"+1",IF('3'!I90&gt;=0,"+",IF('3'!I90&lt;=(-1*'3'!$V$3),"-1","-"))))</f>
        <v/>
      </c>
      <c r="J28" s="19" t="str">
        <f>IF(ISBLANK('Raw counts'!J29),"",IF('3'!J90&gt;='3'!$V$3,"+1",IF('3'!J90&gt;=0,"+",IF('3'!J90&lt;=(-1*'3'!$V$3),"-1","-"))))</f>
        <v/>
      </c>
      <c r="K28" s="19" t="str">
        <f>IF(ISBLANK('Raw counts'!K29),"",IF('3'!K90&gt;='3'!$V$3,"+1",IF('3'!K90&gt;=0,"+",IF('3'!K90&lt;=(-1*'3'!$V$3),"-1","-"))))</f>
        <v/>
      </c>
      <c r="L28" s="19" t="str">
        <f>IF(ISBLANK('Raw counts'!L29),"",IF('3'!L90&gt;='3'!$V$3,"+1",IF('3'!L90&gt;=0,"+",IF('3'!L90&lt;=(-1*'3'!$V$3),"-1","-"))))</f>
        <v/>
      </c>
      <c r="M28" s="19" t="str">
        <f>IF(ISBLANK('Raw counts'!M29),"",IF('3'!M90&gt;='3'!$V$3,"+1",IF('3'!M90&gt;=0,"+",IF('3'!M90&lt;=(-1*'3'!$V$3),"-1","-"))))</f>
        <v/>
      </c>
      <c r="N28" s="19" t="str">
        <f>IF(ISBLANK('Raw counts'!N29),"",IF('3'!N90&gt;='3'!$V$3,"+1",IF('3'!N90&gt;=0,"+",IF('3'!N90&lt;=(-1*'3'!$V$3),"-1","-"))))</f>
        <v/>
      </c>
      <c r="O28" s="19" t="str">
        <f>IF(ISBLANK('Raw counts'!O29),"",IF('3'!O90&gt;='3'!$V$3,"+1",IF('3'!O90&gt;=0,"+",IF('3'!O90&lt;=(-1*'3'!$V$3),"-1","-"))))</f>
        <v/>
      </c>
      <c r="P28" s="19" t="str">
        <f>IF(ISBLANK('Raw counts'!P29),"",IF('3'!P90&gt;='3'!$V$3,"+1",IF('3'!P90&gt;=0,"+",IF('3'!P90&lt;=(-1*'3'!$V$3),"-1","-"))))</f>
        <v/>
      </c>
      <c r="Q28" s="19" t="str">
        <f>IF(ISBLANK('Raw counts'!Q29),"",IF('3'!Q90&gt;='3'!$V$3,"+1",IF('3'!Q90&gt;=0,"+",IF('3'!Q90&lt;=(-1*'3'!$V$3),"-1","-"))))</f>
        <v/>
      </c>
      <c r="R28" s="19" t="str">
        <f>IF(ISBLANK('Raw counts'!R29),"",IF('3'!R90&gt;='3'!$V$3,"+1",IF('3'!R90&gt;=0,"+",IF('3'!R90&lt;=(-1*'3'!$V$3),"-1","-"))))</f>
        <v/>
      </c>
      <c r="S28" s="19" t="str">
        <f>IF(ISBLANK('Raw counts'!S29),"",IF('3'!S90&gt;='3'!$V$3,"+1",IF('3'!S90&gt;=0,"+",IF('3'!S90&lt;=(-1*'3'!$V$3),"-1","-"))))</f>
        <v/>
      </c>
      <c r="T28" s="19" t="str">
        <f>IF(ISBLANK('Raw counts'!T29),"",IF('3'!T90&gt;='3'!$V$3,"+1",IF('3'!T90&gt;=0,"+",IF('3'!T90&lt;=(-1*'3'!$V$3),"-1","-"))))</f>
        <v/>
      </c>
      <c r="U28" s="19" t="str">
        <f>IF(ISBLANK('Raw counts'!U29),"",IF('3'!U90&gt;='3'!$V$3,"+1",IF('3'!U90&gt;=0,"+",IF('3'!U90&lt;=(-1*'3'!$V$3),"-1","-"))))</f>
        <v/>
      </c>
    </row>
    <row r="29" spans="1:21" x14ac:dyDescent="0.15">
      <c r="A29" s="18" t="str">
        <f>IF(ISBLANK('Raw counts'!A30),"",'Raw counts'!A30)</f>
        <v>Attr26</v>
      </c>
      <c r="B29" s="19" t="str">
        <f>IF(ISBLANK('Raw counts'!B30),"",IF('3'!B91&gt;='3'!$V$3,"+1",IF('3'!B91&gt;=0,"+",IF('3'!B91&lt;=(-1*'3'!$V$3),"-1","-"))))</f>
        <v/>
      </c>
      <c r="C29" s="19" t="str">
        <f>IF(ISBLANK('Raw counts'!C30),"",IF('3'!C91&gt;='3'!$V$3,"+1",IF('3'!C91&gt;=0,"+",IF('3'!C91&lt;=(-1*'3'!$V$3),"-1","-"))))</f>
        <v/>
      </c>
      <c r="D29" s="19" t="str">
        <f>IF(ISBLANK('Raw counts'!D30),"",IF('3'!D91&gt;='3'!$V$3,"+1",IF('3'!D91&gt;=0,"+",IF('3'!D91&lt;=(-1*'3'!$V$3),"-1","-"))))</f>
        <v/>
      </c>
      <c r="E29" s="19" t="str">
        <f>IF(ISBLANK('Raw counts'!E30),"",IF('3'!E91&gt;='3'!$V$3,"+1",IF('3'!E91&gt;=0,"+",IF('3'!E91&lt;=(-1*'3'!$V$3),"-1","-"))))</f>
        <v/>
      </c>
      <c r="F29" s="19" t="str">
        <f>IF(ISBLANK('Raw counts'!F30),"",IF('3'!F91&gt;='3'!$V$3,"+1",IF('3'!F91&gt;=0,"+",IF('3'!F91&lt;=(-1*'3'!$V$3),"-1","-"))))</f>
        <v/>
      </c>
      <c r="G29" s="19" t="str">
        <f>IF(ISBLANK('Raw counts'!G30),"",IF('3'!G91&gt;='3'!$V$3,"+1",IF('3'!G91&gt;=0,"+",IF('3'!G91&lt;=(-1*'3'!$V$3),"-1","-"))))</f>
        <v/>
      </c>
      <c r="H29" s="19" t="str">
        <f>IF(ISBLANK('Raw counts'!H30),"",IF('3'!H91&gt;='3'!$V$3,"+1",IF('3'!H91&gt;=0,"+",IF('3'!H91&lt;=(-1*'3'!$V$3),"-1","-"))))</f>
        <v/>
      </c>
      <c r="I29" s="19" t="str">
        <f>IF(ISBLANK('Raw counts'!I30),"",IF('3'!I91&gt;='3'!$V$3,"+1",IF('3'!I91&gt;=0,"+",IF('3'!I91&lt;=(-1*'3'!$V$3),"-1","-"))))</f>
        <v/>
      </c>
      <c r="J29" s="19" t="str">
        <f>IF(ISBLANK('Raw counts'!J30),"",IF('3'!J91&gt;='3'!$V$3,"+1",IF('3'!J91&gt;=0,"+",IF('3'!J91&lt;=(-1*'3'!$V$3),"-1","-"))))</f>
        <v/>
      </c>
      <c r="K29" s="19" t="str">
        <f>IF(ISBLANK('Raw counts'!K30),"",IF('3'!K91&gt;='3'!$V$3,"+1",IF('3'!K91&gt;=0,"+",IF('3'!K91&lt;=(-1*'3'!$V$3),"-1","-"))))</f>
        <v/>
      </c>
      <c r="L29" s="19" t="str">
        <f>IF(ISBLANK('Raw counts'!L30),"",IF('3'!L91&gt;='3'!$V$3,"+1",IF('3'!L91&gt;=0,"+",IF('3'!L91&lt;=(-1*'3'!$V$3),"-1","-"))))</f>
        <v/>
      </c>
      <c r="M29" s="19" t="str">
        <f>IF(ISBLANK('Raw counts'!M30),"",IF('3'!M91&gt;='3'!$V$3,"+1",IF('3'!M91&gt;=0,"+",IF('3'!M91&lt;=(-1*'3'!$V$3),"-1","-"))))</f>
        <v/>
      </c>
      <c r="N29" s="19" t="str">
        <f>IF(ISBLANK('Raw counts'!N30),"",IF('3'!N91&gt;='3'!$V$3,"+1",IF('3'!N91&gt;=0,"+",IF('3'!N91&lt;=(-1*'3'!$V$3),"-1","-"))))</f>
        <v/>
      </c>
      <c r="O29" s="19" t="str">
        <f>IF(ISBLANK('Raw counts'!O30),"",IF('3'!O91&gt;='3'!$V$3,"+1",IF('3'!O91&gt;=0,"+",IF('3'!O91&lt;=(-1*'3'!$V$3),"-1","-"))))</f>
        <v/>
      </c>
      <c r="P29" s="19" t="str">
        <f>IF(ISBLANK('Raw counts'!P30),"",IF('3'!P91&gt;='3'!$V$3,"+1",IF('3'!P91&gt;=0,"+",IF('3'!P91&lt;=(-1*'3'!$V$3),"-1","-"))))</f>
        <v/>
      </c>
      <c r="Q29" s="19" t="str">
        <f>IF(ISBLANK('Raw counts'!Q30),"",IF('3'!Q91&gt;='3'!$V$3,"+1",IF('3'!Q91&gt;=0,"+",IF('3'!Q91&lt;=(-1*'3'!$V$3),"-1","-"))))</f>
        <v/>
      </c>
      <c r="R29" s="19" t="str">
        <f>IF(ISBLANK('Raw counts'!R30),"",IF('3'!R91&gt;='3'!$V$3,"+1",IF('3'!R91&gt;=0,"+",IF('3'!R91&lt;=(-1*'3'!$V$3),"-1","-"))))</f>
        <v/>
      </c>
      <c r="S29" s="19" t="str">
        <f>IF(ISBLANK('Raw counts'!S30),"",IF('3'!S91&gt;='3'!$V$3,"+1",IF('3'!S91&gt;=0,"+",IF('3'!S91&lt;=(-1*'3'!$V$3),"-1","-"))))</f>
        <v/>
      </c>
      <c r="T29" s="19" t="str">
        <f>IF(ISBLANK('Raw counts'!T30),"",IF('3'!T91&gt;='3'!$V$3,"+1",IF('3'!T91&gt;=0,"+",IF('3'!T91&lt;=(-1*'3'!$V$3),"-1","-"))))</f>
        <v/>
      </c>
      <c r="U29" s="19" t="str">
        <f>IF(ISBLANK('Raw counts'!U30),"",IF('3'!U91&gt;='3'!$V$3,"+1",IF('3'!U91&gt;=0,"+",IF('3'!U91&lt;=(-1*'3'!$V$3),"-1","-"))))</f>
        <v/>
      </c>
    </row>
    <row r="30" spans="1:21" x14ac:dyDescent="0.15">
      <c r="A30" s="18" t="str">
        <f>IF(ISBLANK('Raw counts'!A31),"",'Raw counts'!A31)</f>
        <v>Attr27</v>
      </c>
      <c r="B30" s="19" t="str">
        <f>IF(ISBLANK('Raw counts'!B31),"",IF('3'!B92&gt;='3'!$V$3,"+1",IF('3'!B92&gt;=0,"+",IF('3'!B92&lt;=(-1*'3'!$V$3),"-1","-"))))</f>
        <v/>
      </c>
      <c r="C30" s="19" t="str">
        <f>IF(ISBLANK('Raw counts'!C31),"",IF('3'!C92&gt;='3'!$V$3,"+1",IF('3'!C92&gt;=0,"+",IF('3'!C92&lt;=(-1*'3'!$V$3),"-1","-"))))</f>
        <v/>
      </c>
      <c r="D30" s="19" t="str">
        <f>IF(ISBLANK('Raw counts'!D31),"",IF('3'!D92&gt;='3'!$V$3,"+1",IF('3'!D92&gt;=0,"+",IF('3'!D92&lt;=(-1*'3'!$V$3),"-1","-"))))</f>
        <v/>
      </c>
      <c r="E30" s="19" t="str">
        <f>IF(ISBLANK('Raw counts'!E31),"",IF('3'!E92&gt;='3'!$V$3,"+1",IF('3'!E92&gt;=0,"+",IF('3'!E92&lt;=(-1*'3'!$V$3),"-1","-"))))</f>
        <v/>
      </c>
      <c r="F30" s="19" t="str">
        <f>IF(ISBLANK('Raw counts'!F31),"",IF('3'!F92&gt;='3'!$V$3,"+1",IF('3'!F92&gt;=0,"+",IF('3'!F92&lt;=(-1*'3'!$V$3),"-1","-"))))</f>
        <v/>
      </c>
      <c r="G30" s="19" t="str">
        <f>IF(ISBLANK('Raw counts'!G31),"",IF('3'!G92&gt;='3'!$V$3,"+1",IF('3'!G92&gt;=0,"+",IF('3'!G92&lt;=(-1*'3'!$V$3),"-1","-"))))</f>
        <v/>
      </c>
      <c r="H30" s="19" t="str">
        <f>IF(ISBLANK('Raw counts'!H31),"",IF('3'!H92&gt;='3'!$V$3,"+1",IF('3'!H92&gt;=0,"+",IF('3'!H92&lt;=(-1*'3'!$V$3),"-1","-"))))</f>
        <v/>
      </c>
      <c r="I30" s="19" t="str">
        <f>IF(ISBLANK('Raw counts'!I31),"",IF('3'!I92&gt;='3'!$V$3,"+1",IF('3'!I92&gt;=0,"+",IF('3'!I92&lt;=(-1*'3'!$V$3),"-1","-"))))</f>
        <v/>
      </c>
      <c r="J30" s="19" t="str">
        <f>IF(ISBLANK('Raw counts'!J31),"",IF('3'!J92&gt;='3'!$V$3,"+1",IF('3'!J92&gt;=0,"+",IF('3'!J92&lt;=(-1*'3'!$V$3),"-1","-"))))</f>
        <v/>
      </c>
      <c r="K30" s="19" t="str">
        <f>IF(ISBLANK('Raw counts'!K31),"",IF('3'!K92&gt;='3'!$V$3,"+1",IF('3'!K92&gt;=0,"+",IF('3'!K92&lt;=(-1*'3'!$V$3),"-1","-"))))</f>
        <v/>
      </c>
      <c r="L30" s="19" t="str">
        <f>IF(ISBLANK('Raw counts'!L31),"",IF('3'!L92&gt;='3'!$V$3,"+1",IF('3'!L92&gt;=0,"+",IF('3'!L92&lt;=(-1*'3'!$V$3),"-1","-"))))</f>
        <v/>
      </c>
      <c r="M30" s="19" t="str">
        <f>IF(ISBLANK('Raw counts'!M31),"",IF('3'!M92&gt;='3'!$V$3,"+1",IF('3'!M92&gt;=0,"+",IF('3'!M92&lt;=(-1*'3'!$V$3),"-1","-"))))</f>
        <v/>
      </c>
      <c r="N30" s="19" t="str">
        <f>IF(ISBLANK('Raw counts'!N31),"",IF('3'!N92&gt;='3'!$V$3,"+1",IF('3'!N92&gt;=0,"+",IF('3'!N92&lt;=(-1*'3'!$V$3),"-1","-"))))</f>
        <v/>
      </c>
      <c r="O30" s="19" t="str">
        <f>IF(ISBLANK('Raw counts'!O31),"",IF('3'!O92&gt;='3'!$V$3,"+1",IF('3'!O92&gt;=0,"+",IF('3'!O92&lt;=(-1*'3'!$V$3),"-1","-"))))</f>
        <v/>
      </c>
      <c r="P30" s="19" t="str">
        <f>IF(ISBLANK('Raw counts'!P31),"",IF('3'!P92&gt;='3'!$V$3,"+1",IF('3'!P92&gt;=0,"+",IF('3'!P92&lt;=(-1*'3'!$V$3),"-1","-"))))</f>
        <v/>
      </c>
      <c r="Q30" s="19" t="str">
        <f>IF(ISBLANK('Raw counts'!Q31),"",IF('3'!Q92&gt;='3'!$V$3,"+1",IF('3'!Q92&gt;=0,"+",IF('3'!Q92&lt;=(-1*'3'!$V$3),"-1","-"))))</f>
        <v/>
      </c>
      <c r="R30" s="19" t="str">
        <f>IF(ISBLANK('Raw counts'!R31),"",IF('3'!R92&gt;='3'!$V$3,"+1",IF('3'!R92&gt;=0,"+",IF('3'!R92&lt;=(-1*'3'!$V$3),"-1","-"))))</f>
        <v/>
      </c>
      <c r="S30" s="19" t="str">
        <f>IF(ISBLANK('Raw counts'!S31),"",IF('3'!S92&gt;='3'!$V$3,"+1",IF('3'!S92&gt;=0,"+",IF('3'!S92&lt;=(-1*'3'!$V$3),"-1","-"))))</f>
        <v/>
      </c>
      <c r="T30" s="19" t="str">
        <f>IF(ISBLANK('Raw counts'!T31),"",IF('3'!T92&gt;='3'!$V$3,"+1",IF('3'!T92&gt;=0,"+",IF('3'!T92&lt;=(-1*'3'!$V$3),"-1","-"))))</f>
        <v/>
      </c>
      <c r="U30" s="19" t="str">
        <f>IF(ISBLANK('Raw counts'!U31),"",IF('3'!U92&gt;='3'!$V$3,"+1",IF('3'!U92&gt;=0,"+",IF('3'!U92&lt;=(-1*'3'!$V$3),"-1","-"))))</f>
        <v/>
      </c>
    </row>
    <row r="31" spans="1:21" x14ac:dyDescent="0.15">
      <c r="A31" s="18" t="str">
        <f>IF(ISBLANK('Raw counts'!A32),"",'Raw counts'!A32)</f>
        <v>Attr28</v>
      </c>
      <c r="B31" s="19" t="str">
        <f>IF(ISBLANK('Raw counts'!B32),"",IF('3'!B93&gt;='3'!$V$3,"+1",IF('3'!B93&gt;=0,"+",IF('3'!B93&lt;=(-1*'3'!$V$3),"-1","-"))))</f>
        <v/>
      </c>
      <c r="C31" s="19" t="str">
        <f>IF(ISBLANK('Raw counts'!C32),"",IF('3'!C93&gt;='3'!$V$3,"+1",IF('3'!C93&gt;=0,"+",IF('3'!C93&lt;=(-1*'3'!$V$3),"-1","-"))))</f>
        <v/>
      </c>
      <c r="D31" s="19" t="str">
        <f>IF(ISBLANK('Raw counts'!D32),"",IF('3'!D93&gt;='3'!$V$3,"+1",IF('3'!D93&gt;=0,"+",IF('3'!D93&lt;=(-1*'3'!$V$3),"-1","-"))))</f>
        <v/>
      </c>
      <c r="E31" s="19" t="str">
        <f>IF(ISBLANK('Raw counts'!E32),"",IF('3'!E93&gt;='3'!$V$3,"+1",IF('3'!E93&gt;=0,"+",IF('3'!E93&lt;=(-1*'3'!$V$3),"-1","-"))))</f>
        <v/>
      </c>
      <c r="F31" s="19" t="str">
        <f>IF(ISBLANK('Raw counts'!F32),"",IF('3'!F93&gt;='3'!$V$3,"+1",IF('3'!F93&gt;=0,"+",IF('3'!F93&lt;=(-1*'3'!$V$3),"-1","-"))))</f>
        <v/>
      </c>
      <c r="G31" s="19" t="str">
        <f>IF(ISBLANK('Raw counts'!G32),"",IF('3'!G93&gt;='3'!$V$3,"+1",IF('3'!G93&gt;=0,"+",IF('3'!G93&lt;=(-1*'3'!$V$3),"-1","-"))))</f>
        <v/>
      </c>
      <c r="H31" s="19" t="str">
        <f>IF(ISBLANK('Raw counts'!H32),"",IF('3'!H93&gt;='3'!$V$3,"+1",IF('3'!H93&gt;=0,"+",IF('3'!H93&lt;=(-1*'3'!$V$3),"-1","-"))))</f>
        <v/>
      </c>
      <c r="I31" s="19" t="str">
        <f>IF(ISBLANK('Raw counts'!I32),"",IF('3'!I93&gt;='3'!$V$3,"+1",IF('3'!I93&gt;=0,"+",IF('3'!I93&lt;=(-1*'3'!$V$3),"-1","-"))))</f>
        <v/>
      </c>
      <c r="J31" s="19" t="str">
        <f>IF(ISBLANK('Raw counts'!J32),"",IF('3'!J93&gt;='3'!$V$3,"+1",IF('3'!J93&gt;=0,"+",IF('3'!J93&lt;=(-1*'3'!$V$3),"-1","-"))))</f>
        <v/>
      </c>
      <c r="K31" s="19" t="str">
        <f>IF(ISBLANK('Raw counts'!K32),"",IF('3'!K93&gt;='3'!$V$3,"+1",IF('3'!K93&gt;=0,"+",IF('3'!K93&lt;=(-1*'3'!$V$3),"-1","-"))))</f>
        <v/>
      </c>
      <c r="L31" s="19" t="str">
        <f>IF(ISBLANK('Raw counts'!L32),"",IF('3'!L93&gt;='3'!$V$3,"+1",IF('3'!L93&gt;=0,"+",IF('3'!L93&lt;=(-1*'3'!$V$3),"-1","-"))))</f>
        <v/>
      </c>
      <c r="M31" s="19" t="str">
        <f>IF(ISBLANK('Raw counts'!M32),"",IF('3'!M93&gt;='3'!$V$3,"+1",IF('3'!M93&gt;=0,"+",IF('3'!M93&lt;=(-1*'3'!$V$3),"-1","-"))))</f>
        <v/>
      </c>
      <c r="N31" s="19" t="str">
        <f>IF(ISBLANK('Raw counts'!N32),"",IF('3'!N93&gt;='3'!$V$3,"+1",IF('3'!N93&gt;=0,"+",IF('3'!N93&lt;=(-1*'3'!$V$3),"-1","-"))))</f>
        <v/>
      </c>
      <c r="O31" s="19" t="str">
        <f>IF(ISBLANK('Raw counts'!O32),"",IF('3'!O93&gt;='3'!$V$3,"+1",IF('3'!O93&gt;=0,"+",IF('3'!O93&lt;=(-1*'3'!$V$3),"-1","-"))))</f>
        <v/>
      </c>
      <c r="P31" s="19" t="str">
        <f>IF(ISBLANK('Raw counts'!P32),"",IF('3'!P93&gt;='3'!$V$3,"+1",IF('3'!P93&gt;=0,"+",IF('3'!P93&lt;=(-1*'3'!$V$3),"-1","-"))))</f>
        <v/>
      </c>
      <c r="Q31" s="19" t="str">
        <f>IF(ISBLANK('Raw counts'!Q32),"",IF('3'!Q93&gt;='3'!$V$3,"+1",IF('3'!Q93&gt;=0,"+",IF('3'!Q93&lt;=(-1*'3'!$V$3),"-1","-"))))</f>
        <v/>
      </c>
      <c r="R31" s="19" t="str">
        <f>IF(ISBLANK('Raw counts'!R32),"",IF('3'!R93&gt;='3'!$V$3,"+1",IF('3'!R93&gt;=0,"+",IF('3'!R93&lt;=(-1*'3'!$V$3),"-1","-"))))</f>
        <v/>
      </c>
      <c r="S31" s="19" t="str">
        <f>IF(ISBLANK('Raw counts'!S32),"",IF('3'!S93&gt;='3'!$V$3,"+1",IF('3'!S93&gt;=0,"+",IF('3'!S93&lt;=(-1*'3'!$V$3),"-1","-"))))</f>
        <v/>
      </c>
      <c r="T31" s="19" t="str">
        <f>IF(ISBLANK('Raw counts'!T32),"",IF('3'!T93&gt;='3'!$V$3,"+1",IF('3'!T93&gt;=0,"+",IF('3'!T93&lt;=(-1*'3'!$V$3),"-1","-"))))</f>
        <v/>
      </c>
      <c r="U31" s="19" t="str">
        <f>IF(ISBLANK('Raw counts'!U32),"",IF('3'!U93&gt;='3'!$V$3,"+1",IF('3'!U93&gt;=0,"+",IF('3'!U93&lt;=(-1*'3'!$V$3),"-1","-"))))</f>
        <v/>
      </c>
    </row>
    <row r="32" spans="1:21" x14ac:dyDescent="0.15">
      <c r="A32" s="18" t="str">
        <f>IF(ISBLANK('Raw counts'!A33),"",'Raw counts'!A33)</f>
        <v>Attr29</v>
      </c>
      <c r="B32" s="19" t="str">
        <f>IF(ISBLANK('Raw counts'!B33),"",IF('3'!B94&gt;='3'!$V$3,"+1",IF('3'!B94&gt;=0,"+",IF('3'!B94&lt;=(-1*'3'!$V$3),"-1","-"))))</f>
        <v/>
      </c>
      <c r="C32" s="19" t="str">
        <f>IF(ISBLANK('Raw counts'!C33),"",IF('3'!C94&gt;='3'!$V$3,"+1",IF('3'!C94&gt;=0,"+",IF('3'!C94&lt;=(-1*'3'!$V$3),"-1","-"))))</f>
        <v/>
      </c>
      <c r="D32" s="19" t="str">
        <f>IF(ISBLANK('Raw counts'!D33),"",IF('3'!D94&gt;='3'!$V$3,"+1",IF('3'!D94&gt;=0,"+",IF('3'!D94&lt;=(-1*'3'!$V$3),"-1","-"))))</f>
        <v/>
      </c>
      <c r="E32" s="19" t="str">
        <f>IF(ISBLANK('Raw counts'!E33),"",IF('3'!E94&gt;='3'!$V$3,"+1",IF('3'!E94&gt;=0,"+",IF('3'!E94&lt;=(-1*'3'!$V$3),"-1","-"))))</f>
        <v/>
      </c>
      <c r="F32" s="19" t="str">
        <f>IF(ISBLANK('Raw counts'!F33),"",IF('3'!F94&gt;='3'!$V$3,"+1",IF('3'!F94&gt;=0,"+",IF('3'!F94&lt;=(-1*'3'!$V$3),"-1","-"))))</f>
        <v/>
      </c>
      <c r="G32" s="19" t="str">
        <f>IF(ISBLANK('Raw counts'!G33),"",IF('3'!G94&gt;='3'!$V$3,"+1",IF('3'!G94&gt;=0,"+",IF('3'!G94&lt;=(-1*'3'!$V$3),"-1","-"))))</f>
        <v/>
      </c>
      <c r="H32" s="19" t="str">
        <f>IF(ISBLANK('Raw counts'!H33),"",IF('3'!H94&gt;='3'!$V$3,"+1",IF('3'!H94&gt;=0,"+",IF('3'!H94&lt;=(-1*'3'!$V$3),"-1","-"))))</f>
        <v/>
      </c>
      <c r="I32" s="19" t="str">
        <f>IF(ISBLANK('Raw counts'!I33),"",IF('3'!I94&gt;='3'!$V$3,"+1",IF('3'!I94&gt;=0,"+",IF('3'!I94&lt;=(-1*'3'!$V$3),"-1","-"))))</f>
        <v/>
      </c>
      <c r="J32" s="19" t="str">
        <f>IF(ISBLANK('Raw counts'!J33),"",IF('3'!J94&gt;='3'!$V$3,"+1",IF('3'!J94&gt;=0,"+",IF('3'!J94&lt;=(-1*'3'!$V$3),"-1","-"))))</f>
        <v/>
      </c>
      <c r="K32" s="19" t="str">
        <f>IF(ISBLANK('Raw counts'!K33),"",IF('3'!K94&gt;='3'!$V$3,"+1",IF('3'!K94&gt;=0,"+",IF('3'!K94&lt;=(-1*'3'!$V$3),"-1","-"))))</f>
        <v/>
      </c>
      <c r="L32" s="19" t="str">
        <f>IF(ISBLANK('Raw counts'!L33),"",IF('3'!L94&gt;='3'!$V$3,"+1",IF('3'!L94&gt;=0,"+",IF('3'!L94&lt;=(-1*'3'!$V$3),"-1","-"))))</f>
        <v/>
      </c>
      <c r="M32" s="19" t="str">
        <f>IF(ISBLANK('Raw counts'!M33),"",IF('3'!M94&gt;='3'!$V$3,"+1",IF('3'!M94&gt;=0,"+",IF('3'!M94&lt;=(-1*'3'!$V$3),"-1","-"))))</f>
        <v/>
      </c>
      <c r="N32" s="19" t="str">
        <f>IF(ISBLANK('Raw counts'!N33),"",IF('3'!N94&gt;='3'!$V$3,"+1",IF('3'!N94&gt;=0,"+",IF('3'!N94&lt;=(-1*'3'!$V$3),"-1","-"))))</f>
        <v/>
      </c>
      <c r="O32" s="19" t="str">
        <f>IF(ISBLANK('Raw counts'!O33),"",IF('3'!O94&gt;='3'!$V$3,"+1",IF('3'!O94&gt;=0,"+",IF('3'!O94&lt;=(-1*'3'!$V$3),"-1","-"))))</f>
        <v/>
      </c>
      <c r="P32" s="19" t="str">
        <f>IF(ISBLANK('Raw counts'!P33),"",IF('3'!P94&gt;='3'!$V$3,"+1",IF('3'!P94&gt;=0,"+",IF('3'!P94&lt;=(-1*'3'!$V$3),"-1","-"))))</f>
        <v/>
      </c>
      <c r="Q32" s="19" t="str">
        <f>IF(ISBLANK('Raw counts'!Q33),"",IF('3'!Q94&gt;='3'!$V$3,"+1",IF('3'!Q94&gt;=0,"+",IF('3'!Q94&lt;=(-1*'3'!$V$3),"-1","-"))))</f>
        <v/>
      </c>
      <c r="R32" s="19" t="str">
        <f>IF(ISBLANK('Raw counts'!R33),"",IF('3'!R94&gt;='3'!$V$3,"+1",IF('3'!R94&gt;=0,"+",IF('3'!R94&lt;=(-1*'3'!$V$3),"-1","-"))))</f>
        <v/>
      </c>
      <c r="S32" s="19" t="str">
        <f>IF(ISBLANK('Raw counts'!S33),"",IF('3'!S94&gt;='3'!$V$3,"+1",IF('3'!S94&gt;=0,"+",IF('3'!S94&lt;=(-1*'3'!$V$3),"-1","-"))))</f>
        <v/>
      </c>
      <c r="T32" s="19" t="str">
        <f>IF(ISBLANK('Raw counts'!T33),"",IF('3'!T94&gt;='3'!$V$3,"+1",IF('3'!T94&gt;=0,"+",IF('3'!T94&lt;=(-1*'3'!$V$3),"-1","-"))))</f>
        <v/>
      </c>
      <c r="U32" s="19" t="str">
        <f>IF(ISBLANK('Raw counts'!U33),"",IF('3'!U94&gt;='3'!$V$3,"+1",IF('3'!U94&gt;=0,"+",IF('3'!U94&lt;=(-1*'3'!$V$3),"-1","-"))))</f>
        <v/>
      </c>
    </row>
    <row r="33" spans="1:21" x14ac:dyDescent="0.15">
      <c r="A33" s="18" t="str">
        <f>IF(ISBLANK('Raw counts'!A34),"",'Raw counts'!A34)</f>
        <v>Attr30</v>
      </c>
      <c r="B33" s="19" t="str">
        <f>IF(ISBLANK('Raw counts'!B34),"",IF('3'!B95&gt;='3'!$V$3,"+1",IF('3'!B95&gt;=0,"+",IF('3'!B95&lt;=(-1*'3'!$V$3),"-1","-"))))</f>
        <v/>
      </c>
      <c r="C33" s="19" t="str">
        <f>IF(ISBLANK('Raw counts'!C34),"",IF('3'!C95&gt;='3'!$V$3,"+1",IF('3'!C95&gt;=0,"+",IF('3'!C95&lt;=(-1*'3'!$V$3),"-1","-"))))</f>
        <v/>
      </c>
      <c r="D33" s="19" t="str">
        <f>IF(ISBLANK('Raw counts'!D34),"",IF('3'!D95&gt;='3'!$V$3,"+1",IF('3'!D95&gt;=0,"+",IF('3'!D95&lt;=(-1*'3'!$V$3),"-1","-"))))</f>
        <v/>
      </c>
      <c r="E33" s="19" t="str">
        <f>IF(ISBLANK('Raw counts'!E34),"",IF('3'!E95&gt;='3'!$V$3,"+1",IF('3'!E95&gt;=0,"+",IF('3'!E95&lt;=(-1*'3'!$V$3),"-1","-"))))</f>
        <v/>
      </c>
      <c r="F33" s="19" t="str">
        <f>IF(ISBLANK('Raw counts'!F34),"",IF('3'!F95&gt;='3'!$V$3,"+1",IF('3'!F95&gt;=0,"+",IF('3'!F95&lt;=(-1*'3'!$V$3),"-1","-"))))</f>
        <v/>
      </c>
      <c r="G33" s="19" t="str">
        <f>IF(ISBLANK('Raw counts'!G34),"",IF('3'!G95&gt;='3'!$V$3,"+1",IF('3'!G95&gt;=0,"+",IF('3'!G95&lt;=(-1*'3'!$V$3),"-1","-"))))</f>
        <v/>
      </c>
      <c r="H33" s="19" t="str">
        <f>IF(ISBLANK('Raw counts'!H34),"",IF('3'!H95&gt;='3'!$V$3,"+1",IF('3'!H95&gt;=0,"+",IF('3'!H95&lt;=(-1*'3'!$V$3),"-1","-"))))</f>
        <v/>
      </c>
      <c r="I33" s="19" t="str">
        <f>IF(ISBLANK('Raw counts'!I34),"",IF('3'!I95&gt;='3'!$V$3,"+1",IF('3'!I95&gt;=0,"+",IF('3'!I95&lt;=(-1*'3'!$V$3),"-1","-"))))</f>
        <v/>
      </c>
      <c r="J33" s="19" t="str">
        <f>IF(ISBLANK('Raw counts'!J34),"",IF('3'!J95&gt;='3'!$V$3,"+1",IF('3'!J95&gt;=0,"+",IF('3'!J95&lt;=(-1*'3'!$V$3),"-1","-"))))</f>
        <v/>
      </c>
      <c r="K33" s="19" t="str">
        <f>IF(ISBLANK('Raw counts'!K34),"",IF('3'!K95&gt;='3'!$V$3,"+1",IF('3'!K95&gt;=0,"+",IF('3'!K95&lt;=(-1*'3'!$V$3),"-1","-"))))</f>
        <v/>
      </c>
      <c r="L33" s="19" t="str">
        <f>IF(ISBLANK('Raw counts'!L34),"",IF('3'!L95&gt;='3'!$V$3,"+1",IF('3'!L95&gt;=0,"+",IF('3'!L95&lt;=(-1*'3'!$V$3),"-1","-"))))</f>
        <v/>
      </c>
      <c r="M33" s="19" t="str">
        <f>IF(ISBLANK('Raw counts'!M34),"",IF('3'!M95&gt;='3'!$V$3,"+1",IF('3'!M95&gt;=0,"+",IF('3'!M95&lt;=(-1*'3'!$V$3),"-1","-"))))</f>
        <v/>
      </c>
      <c r="N33" s="19" t="str">
        <f>IF(ISBLANK('Raw counts'!N34),"",IF('3'!N95&gt;='3'!$V$3,"+1",IF('3'!N95&gt;=0,"+",IF('3'!N95&lt;=(-1*'3'!$V$3),"-1","-"))))</f>
        <v/>
      </c>
      <c r="O33" s="19" t="str">
        <f>IF(ISBLANK('Raw counts'!O34),"",IF('3'!O95&gt;='3'!$V$3,"+1",IF('3'!O95&gt;=0,"+",IF('3'!O95&lt;=(-1*'3'!$V$3),"-1","-"))))</f>
        <v/>
      </c>
      <c r="P33" s="19" t="str">
        <f>IF(ISBLANK('Raw counts'!P34),"",IF('3'!P95&gt;='3'!$V$3,"+1",IF('3'!P95&gt;=0,"+",IF('3'!P95&lt;=(-1*'3'!$V$3),"-1","-"))))</f>
        <v/>
      </c>
      <c r="Q33" s="19" t="str">
        <f>IF(ISBLANK('Raw counts'!Q34),"",IF('3'!Q95&gt;='3'!$V$3,"+1",IF('3'!Q95&gt;=0,"+",IF('3'!Q95&lt;=(-1*'3'!$V$3),"-1","-"))))</f>
        <v/>
      </c>
      <c r="R33" s="19" t="str">
        <f>IF(ISBLANK('Raw counts'!R34),"",IF('3'!R95&gt;='3'!$V$3,"+1",IF('3'!R95&gt;=0,"+",IF('3'!R95&lt;=(-1*'3'!$V$3),"-1","-"))))</f>
        <v/>
      </c>
      <c r="S33" s="19" t="str">
        <f>IF(ISBLANK('Raw counts'!S34),"",IF('3'!S95&gt;='3'!$V$3,"+1",IF('3'!S95&gt;=0,"+",IF('3'!S95&lt;=(-1*'3'!$V$3),"-1","-"))))</f>
        <v/>
      </c>
      <c r="T33" s="19" t="str">
        <f>IF(ISBLANK('Raw counts'!T34),"",IF('3'!T95&gt;='3'!$V$3,"+1",IF('3'!T95&gt;=0,"+",IF('3'!T95&lt;=(-1*'3'!$V$3),"-1","-"))))</f>
        <v/>
      </c>
      <c r="U33" s="19" t="str">
        <f>IF(ISBLANK('Raw counts'!U34),"",IF('3'!U95&gt;='3'!$V$3,"+1",IF('3'!U95&gt;=0,"+",IF('3'!U95&lt;=(-1*'3'!$V$3),"-1","-"))))</f>
        <v/>
      </c>
    </row>
    <row r="34" spans="1:21" x14ac:dyDescent="0.15">
      <c r="A34" s="18" t="str">
        <f>IF(ISBLANK('Raw counts'!A35),"",'Raw counts'!A35)</f>
        <v>Attr31</v>
      </c>
      <c r="B34" s="19" t="str">
        <f>IF(ISBLANK('Raw counts'!B35),"",IF('3'!B96&gt;='3'!$V$3,"+1",IF('3'!B96&gt;=0,"+",IF('3'!B96&lt;=(-1*'3'!$V$3),"-1","-"))))</f>
        <v/>
      </c>
      <c r="C34" s="19" t="str">
        <f>IF(ISBLANK('Raw counts'!C35),"",IF('3'!C96&gt;='3'!$V$3,"+1",IF('3'!C96&gt;=0,"+",IF('3'!C96&lt;=(-1*'3'!$V$3),"-1","-"))))</f>
        <v/>
      </c>
      <c r="D34" s="19" t="str">
        <f>IF(ISBLANK('Raw counts'!D35),"",IF('3'!D96&gt;='3'!$V$3,"+1",IF('3'!D96&gt;=0,"+",IF('3'!D96&lt;=(-1*'3'!$V$3),"-1","-"))))</f>
        <v/>
      </c>
      <c r="E34" s="19" t="str">
        <f>IF(ISBLANK('Raw counts'!E35),"",IF('3'!E96&gt;='3'!$V$3,"+1",IF('3'!E96&gt;=0,"+",IF('3'!E96&lt;=(-1*'3'!$V$3),"-1","-"))))</f>
        <v/>
      </c>
      <c r="F34" s="19" t="str">
        <f>IF(ISBLANK('Raw counts'!F35),"",IF('3'!F96&gt;='3'!$V$3,"+1",IF('3'!F96&gt;=0,"+",IF('3'!F96&lt;=(-1*'3'!$V$3),"-1","-"))))</f>
        <v/>
      </c>
      <c r="G34" s="19" t="str">
        <f>IF(ISBLANK('Raw counts'!G35),"",IF('3'!G96&gt;='3'!$V$3,"+1",IF('3'!G96&gt;=0,"+",IF('3'!G96&lt;=(-1*'3'!$V$3),"-1","-"))))</f>
        <v/>
      </c>
      <c r="H34" s="19" t="str">
        <f>IF(ISBLANK('Raw counts'!H35),"",IF('3'!H96&gt;='3'!$V$3,"+1",IF('3'!H96&gt;=0,"+",IF('3'!H96&lt;=(-1*'3'!$V$3),"-1","-"))))</f>
        <v/>
      </c>
      <c r="I34" s="19" t="str">
        <f>IF(ISBLANK('Raw counts'!I35),"",IF('3'!I96&gt;='3'!$V$3,"+1",IF('3'!I96&gt;=0,"+",IF('3'!I96&lt;=(-1*'3'!$V$3),"-1","-"))))</f>
        <v/>
      </c>
      <c r="J34" s="19" t="str">
        <f>IF(ISBLANK('Raw counts'!J35),"",IF('3'!J96&gt;='3'!$V$3,"+1",IF('3'!J96&gt;=0,"+",IF('3'!J96&lt;=(-1*'3'!$V$3),"-1","-"))))</f>
        <v/>
      </c>
      <c r="K34" s="19" t="str">
        <f>IF(ISBLANK('Raw counts'!K35),"",IF('3'!K96&gt;='3'!$V$3,"+1",IF('3'!K96&gt;=0,"+",IF('3'!K96&lt;=(-1*'3'!$V$3),"-1","-"))))</f>
        <v/>
      </c>
      <c r="L34" s="19" t="str">
        <f>IF(ISBLANK('Raw counts'!L35),"",IF('3'!L96&gt;='3'!$V$3,"+1",IF('3'!L96&gt;=0,"+",IF('3'!L96&lt;=(-1*'3'!$V$3),"-1","-"))))</f>
        <v/>
      </c>
      <c r="M34" s="19" t="str">
        <f>IF(ISBLANK('Raw counts'!M35),"",IF('3'!M96&gt;='3'!$V$3,"+1",IF('3'!M96&gt;=0,"+",IF('3'!M96&lt;=(-1*'3'!$V$3),"-1","-"))))</f>
        <v/>
      </c>
      <c r="N34" s="19" t="str">
        <f>IF(ISBLANK('Raw counts'!N35),"",IF('3'!N96&gt;='3'!$V$3,"+1",IF('3'!N96&gt;=0,"+",IF('3'!N96&lt;=(-1*'3'!$V$3),"-1","-"))))</f>
        <v/>
      </c>
      <c r="O34" s="19" t="str">
        <f>IF(ISBLANK('Raw counts'!O35),"",IF('3'!O96&gt;='3'!$V$3,"+1",IF('3'!O96&gt;=0,"+",IF('3'!O96&lt;=(-1*'3'!$V$3),"-1","-"))))</f>
        <v/>
      </c>
      <c r="P34" s="19" t="str">
        <f>IF(ISBLANK('Raw counts'!P35),"",IF('3'!P96&gt;='3'!$V$3,"+1",IF('3'!P96&gt;=0,"+",IF('3'!P96&lt;=(-1*'3'!$V$3),"-1","-"))))</f>
        <v/>
      </c>
      <c r="Q34" s="19" t="str">
        <f>IF(ISBLANK('Raw counts'!Q35),"",IF('3'!Q96&gt;='3'!$V$3,"+1",IF('3'!Q96&gt;=0,"+",IF('3'!Q96&lt;=(-1*'3'!$V$3),"-1","-"))))</f>
        <v/>
      </c>
      <c r="R34" s="19" t="str">
        <f>IF(ISBLANK('Raw counts'!R35),"",IF('3'!R96&gt;='3'!$V$3,"+1",IF('3'!R96&gt;=0,"+",IF('3'!R96&lt;=(-1*'3'!$V$3),"-1","-"))))</f>
        <v/>
      </c>
      <c r="S34" s="19" t="str">
        <f>IF(ISBLANK('Raw counts'!S35),"",IF('3'!S96&gt;='3'!$V$3,"+1",IF('3'!S96&gt;=0,"+",IF('3'!S96&lt;=(-1*'3'!$V$3),"-1","-"))))</f>
        <v/>
      </c>
      <c r="T34" s="19" t="str">
        <f>IF(ISBLANK('Raw counts'!T35),"",IF('3'!T96&gt;='3'!$V$3,"+1",IF('3'!T96&gt;=0,"+",IF('3'!T96&lt;=(-1*'3'!$V$3),"-1","-"))))</f>
        <v/>
      </c>
      <c r="U34" s="19" t="str">
        <f>IF(ISBLANK('Raw counts'!U35),"",IF('3'!U96&gt;='3'!$V$3,"+1",IF('3'!U96&gt;=0,"+",IF('3'!U96&lt;=(-1*'3'!$V$3),"-1","-"))))</f>
        <v/>
      </c>
    </row>
    <row r="35" spans="1:21" x14ac:dyDescent="0.15">
      <c r="A35" s="18" t="str">
        <f>IF(ISBLANK('Raw counts'!A36),"",'Raw counts'!A36)</f>
        <v>Attr32</v>
      </c>
      <c r="B35" s="19" t="str">
        <f>IF(ISBLANK('Raw counts'!B36),"",IF('3'!B97&gt;='3'!$V$3,"+1",IF('3'!B97&gt;=0,"+",IF('3'!B97&lt;=(-1*'3'!$V$3),"-1","-"))))</f>
        <v/>
      </c>
      <c r="C35" s="19" t="str">
        <f>IF(ISBLANK('Raw counts'!C36),"",IF('3'!C97&gt;='3'!$V$3,"+1",IF('3'!C97&gt;=0,"+",IF('3'!C97&lt;=(-1*'3'!$V$3),"-1","-"))))</f>
        <v/>
      </c>
      <c r="D35" s="19" t="str">
        <f>IF(ISBLANK('Raw counts'!D36),"",IF('3'!D97&gt;='3'!$V$3,"+1",IF('3'!D97&gt;=0,"+",IF('3'!D97&lt;=(-1*'3'!$V$3),"-1","-"))))</f>
        <v/>
      </c>
      <c r="E35" s="19" t="str">
        <f>IF(ISBLANK('Raw counts'!E36),"",IF('3'!E97&gt;='3'!$V$3,"+1",IF('3'!E97&gt;=0,"+",IF('3'!E97&lt;=(-1*'3'!$V$3),"-1","-"))))</f>
        <v/>
      </c>
      <c r="F35" s="19" t="str">
        <f>IF(ISBLANK('Raw counts'!F36),"",IF('3'!F97&gt;='3'!$V$3,"+1",IF('3'!F97&gt;=0,"+",IF('3'!F97&lt;=(-1*'3'!$V$3),"-1","-"))))</f>
        <v/>
      </c>
      <c r="G35" s="19" t="str">
        <f>IF(ISBLANK('Raw counts'!G36),"",IF('3'!G97&gt;='3'!$V$3,"+1",IF('3'!G97&gt;=0,"+",IF('3'!G97&lt;=(-1*'3'!$V$3),"-1","-"))))</f>
        <v/>
      </c>
      <c r="H35" s="19" t="str">
        <f>IF(ISBLANK('Raw counts'!H36),"",IF('3'!H97&gt;='3'!$V$3,"+1",IF('3'!H97&gt;=0,"+",IF('3'!H97&lt;=(-1*'3'!$V$3),"-1","-"))))</f>
        <v/>
      </c>
      <c r="I35" s="19" t="str">
        <f>IF(ISBLANK('Raw counts'!I36),"",IF('3'!I97&gt;='3'!$V$3,"+1",IF('3'!I97&gt;=0,"+",IF('3'!I97&lt;=(-1*'3'!$V$3),"-1","-"))))</f>
        <v/>
      </c>
      <c r="J35" s="19" t="str">
        <f>IF(ISBLANK('Raw counts'!J36),"",IF('3'!J97&gt;='3'!$V$3,"+1",IF('3'!J97&gt;=0,"+",IF('3'!J97&lt;=(-1*'3'!$V$3),"-1","-"))))</f>
        <v/>
      </c>
      <c r="K35" s="19" t="str">
        <f>IF(ISBLANK('Raw counts'!K36),"",IF('3'!K97&gt;='3'!$V$3,"+1",IF('3'!K97&gt;=0,"+",IF('3'!K97&lt;=(-1*'3'!$V$3),"-1","-"))))</f>
        <v/>
      </c>
      <c r="L35" s="19" t="str">
        <f>IF(ISBLANK('Raw counts'!L36),"",IF('3'!L97&gt;='3'!$V$3,"+1",IF('3'!L97&gt;=0,"+",IF('3'!L97&lt;=(-1*'3'!$V$3),"-1","-"))))</f>
        <v/>
      </c>
      <c r="M35" s="19" t="str">
        <f>IF(ISBLANK('Raw counts'!M36),"",IF('3'!M97&gt;='3'!$V$3,"+1",IF('3'!M97&gt;=0,"+",IF('3'!M97&lt;=(-1*'3'!$V$3),"-1","-"))))</f>
        <v/>
      </c>
      <c r="N35" s="19" t="str">
        <f>IF(ISBLANK('Raw counts'!N36),"",IF('3'!N97&gt;='3'!$V$3,"+1",IF('3'!N97&gt;=0,"+",IF('3'!N97&lt;=(-1*'3'!$V$3),"-1","-"))))</f>
        <v/>
      </c>
      <c r="O35" s="19" t="str">
        <f>IF(ISBLANK('Raw counts'!O36),"",IF('3'!O97&gt;='3'!$V$3,"+1",IF('3'!O97&gt;=0,"+",IF('3'!O97&lt;=(-1*'3'!$V$3),"-1","-"))))</f>
        <v/>
      </c>
      <c r="P35" s="19" t="str">
        <f>IF(ISBLANK('Raw counts'!P36),"",IF('3'!P97&gt;='3'!$V$3,"+1",IF('3'!P97&gt;=0,"+",IF('3'!P97&lt;=(-1*'3'!$V$3),"-1","-"))))</f>
        <v/>
      </c>
      <c r="Q35" s="19" t="str">
        <f>IF(ISBLANK('Raw counts'!Q36),"",IF('3'!Q97&gt;='3'!$V$3,"+1",IF('3'!Q97&gt;=0,"+",IF('3'!Q97&lt;=(-1*'3'!$V$3),"-1","-"))))</f>
        <v/>
      </c>
      <c r="R35" s="19" t="str">
        <f>IF(ISBLANK('Raw counts'!R36),"",IF('3'!R97&gt;='3'!$V$3,"+1",IF('3'!R97&gt;=0,"+",IF('3'!R97&lt;=(-1*'3'!$V$3),"-1","-"))))</f>
        <v/>
      </c>
      <c r="S35" s="19" t="str">
        <f>IF(ISBLANK('Raw counts'!S36),"",IF('3'!S97&gt;='3'!$V$3,"+1",IF('3'!S97&gt;=0,"+",IF('3'!S97&lt;=(-1*'3'!$V$3),"-1","-"))))</f>
        <v/>
      </c>
      <c r="T35" s="19" t="str">
        <f>IF(ISBLANK('Raw counts'!T36),"",IF('3'!T97&gt;='3'!$V$3,"+1",IF('3'!T97&gt;=0,"+",IF('3'!T97&lt;=(-1*'3'!$V$3),"-1","-"))))</f>
        <v/>
      </c>
      <c r="U35" s="19" t="str">
        <f>IF(ISBLANK('Raw counts'!U36),"",IF('3'!U97&gt;='3'!$V$3,"+1",IF('3'!U97&gt;=0,"+",IF('3'!U97&lt;=(-1*'3'!$V$3),"-1","-"))))</f>
        <v/>
      </c>
    </row>
    <row r="36" spans="1:21" x14ac:dyDescent="0.15">
      <c r="A36" s="18" t="str">
        <f>IF(ISBLANK('Raw counts'!A37),"",'Raw counts'!A37)</f>
        <v>Attr33</v>
      </c>
      <c r="B36" s="19" t="str">
        <f>IF(ISBLANK('Raw counts'!B37),"",IF('3'!B98&gt;='3'!$V$3,"+1",IF('3'!B98&gt;=0,"+",IF('3'!B98&lt;=(-1*'3'!$V$3),"-1","-"))))</f>
        <v/>
      </c>
      <c r="C36" s="19" t="str">
        <f>IF(ISBLANK('Raw counts'!C37),"",IF('3'!C98&gt;='3'!$V$3,"+1",IF('3'!C98&gt;=0,"+",IF('3'!C98&lt;=(-1*'3'!$V$3),"-1","-"))))</f>
        <v/>
      </c>
      <c r="D36" s="19" t="str">
        <f>IF(ISBLANK('Raw counts'!D37),"",IF('3'!D98&gt;='3'!$V$3,"+1",IF('3'!D98&gt;=0,"+",IF('3'!D98&lt;=(-1*'3'!$V$3),"-1","-"))))</f>
        <v/>
      </c>
      <c r="E36" s="19" t="str">
        <f>IF(ISBLANK('Raw counts'!E37),"",IF('3'!E98&gt;='3'!$V$3,"+1",IF('3'!E98&gt;=0,"+",IF('3'!E98&lt;=(-1*'3'!$V$3),"-1","-"))))</f>
        <v/>
      </c>
      <c r="F36" s="19" t="str">
        <f>IF(ISBLANK('Raw counts'!F37),"",IF('3'!F98&gt;='3'!$V$3,"+1",IF('3'!F98&gt;=0,"+",IF('3'!F98&lt;=(-1*'3'!$V$3),"-1","-"))))</f>
        <v/>
      </c>
      <c r="G36" s="19" t="str">
        <f>IF(ISBLANK('Raw counts'!G37),"",IF('3'!G98&gt;='3'!$V$3,"+1",IF('3'!G98&gt;=0,"+",IF('3'!G98&lt;=(-1*'3'!$V$3),"-1","-"))))</f>
        <v/>
      </c>
      <c r="H36" s="19" t="str">
        <f>IF(ISBLANK('Raw counts'!H37),"",IF('3'!H98&gt;='3'!$V$3,"+1",IF('3'!H98&gt;=0,"+",IF('3'!H98&lt;=(-1*'3'!$V$3),"-1","-"))))</f>
        <v/>
      </c>
      <c r="I36" s="19" t="str">
        <f>IF(ISBLANK('Raw counts'!I37),"",IF('3'!I98&gt;='3'!$V$3,"+1",IF('3'!I98&gt;=0,"+",IF('3'!I98&lt;=(-1*'3'!$V$3),"-1","-"))))</f>
        <v/>
      </c>
      <c r="J36" s="19" t="str">
        <f>IF(ISBLANK('Raw counts'!J37),"",IF('3'!J98&gt;='3'!$V$3,"+1",IF('3'!J98&gt;=0,"+",IF('3'!J98&lt;=(-1*'3'!$V$3),"-1","-"))))</f>
        <v/>
      </c>
      <c r="K36" s="19" t="str">
        <f>IF(ISBLANK('Raw counts'!K37),"",IF('3'!K98&gt;='3'!$V$3,"+1",IF('3'!K98&gt;=0,"+",IF('3'!K98&lt;=(-1*'3'!$V$3),"-1","-"))))</f>
        <v/>
      </c>
      <c r="L36" s="19" t="str">
        <f>IF(ISBLANK('Raw counts'!L37),"",IF('3'!L98&gt;='3'!$V$3,"+1",IF('3'!L98&gt;=0,"+",IF('3'!L98&lt;=(-1*'3'!$V$3),"-1","-"))))</f>
        <v/>
      </c>
      <c r="M36" s="19" t="str">
        <f>IF(ISBLANK('Raw counts'!M37),"",IF('3'!M98&gt;='3'!$V$3,"+1",IF('3'!M98&gt;=0,"+",IF('3'!M98&lt;=(-1*'3'!$V$3),"-1","-"))))</f>
        <v/>
      </c>
      <c r="N36" s="19" t="str">
        <f>IF(ISBLANK('Raw counts'!N37),"",IF('3'!N98&gt;='3'!$V$3,"+1",IF('3'!N98&gt;=0,"+",IF('3'!N98&lt;=(-1*'3'!$V$3),"-1","-"))))</f>
        <v/>
      </c>
      <c r="O36" s="19" t="str">
        <f>IF(ISBLANK('Raw counts'!O37),"",IF('3'!O98&gt;='3'!$V$3,"+1",IF('3'!O98&gt;=0,"+",IF('3'!O98&lt;=(-1*'3'!$V$3),"-1","-"))))</f>
        <v/>
      </c>
      <c r="P36" s="19" t="str">
        <f>IF(ISBLANK('Raw counts'!P37),"",IF('3'!P98&gt;='3'!$V$3,"+1",IF('3'!P98&gt;=0,"+",IF('3'!P98&lt;=(-1*'3'!$V$3),"-1","-"))))</f>
        <v/>
      </c>
      <c r="Q36" s="19" t="str">
        <f>IF(ISBLANK('Raw counts'!Q37),"",IF('3'!Q98&gt;='3'!$V$3,"+1",IF('3'!Q98&gt;=0,"+",IF('3'!Q98&lt;=(-1*'3'!$V$3),"-1","-"))))</f>
        <v/>
      </c>
      <c r="R36" s="19" t="str">
        <f>IF(ISBLANK('Raw counts'!R37),"",IF('3'!R98&gt;='3'!$V$3,"+1",IF('3'!R98&gt;=0,"+",IF('3'!R98&lt;=(-1*'3'!$V$3),"-1","-"))))</f>
        <v/>
      </c>
      <c r="S36" s="19" t="str">
        <f>IF(ISBLANK('Raw counts'!S37),"",IF('3'!S98&gt;='3'!$V$3,"+1",IF('3'!S98&gt;=0,"+",IF('3'!S98&lt;=(-1*'3'!$V$3),"-1","-"))))</f>
        <v/>
      </c>
      <c r="T36" s="19" t="str">
        <f>IF(ISBLANK('Raw counts'!T37),"",IF('3'!T98&gt;='3'!$V$3,"+1",IF('3'!T98&gt;=0,"+",IF('3'!T98&lt;=(-1*'3'!$V$3),"-1","-"))))</f>
        <v/>
      </c>
      <c r="U36" s="19" t="str">
        <f>IF(ISBLANK('Raw counts'!U37),"",IF('3'!U98&gt;='3'!$V$3,"+1",IF('3'!U98&gt;=0,"+",IF('3'!U98&lt;=(-1*'3'!$V$3),"-1","-"))))</f>
        <v/>
      </c>
    </row>
    <row r="37" spans="1:21" x14ac:dyDescent="0.15">
      <c r="A37" s="18" t="str">
        <f>IF(ISBLANK('Raw counts'!A38),"",'Raw counts'!A38)</f>
        <v>Attr34</v>
      </c>
      <c r="B37" s="19" t="str">
        <f>IF(ISBLANK('Raw counts'!B38),"",IF('3'!B99&gt;='3'!$V$3,"+1",IF('3'!B99&gt;=0,"+",IF('3'!B99&lt;=(-1*'3'!$V$3),"-1","-"))))</f>
        <v/>
      </c>
      <c r="C37" s="19" t="str">
        <f>IF(ISBLANK('Raw counts'!C38),"",IF('3'!C99&gt;='3'!$V$3,"+1",IF('3'!C99&gt;=0,"+",IF('3'!C99&lt;=(-1*'3'!$V$3),"-1","-"))))</f>
        <v/>
      </c>
      <c r="D37" s="19" t="str">
        <f>IF(ISBLANK('Raw counts'!D38),"",IF('3'!D99&gt;='3'!$V$3,"+1",IF('3'!D99&gt;=0,"+",IF('3'!D99&lt;=(-1*'3'!$V$3),"-1","-"))))</f>
        <v/>
      </c>
      <c r="E37" s="19" t="str">
        <f>IF(ISBLANK('Raw counts'!E38),"",IF('3'!E99&gt;='3'!$V$3,"+1",IF('3'!E99&gt;=0,"+",IF('3'!E99&lt;=(-1*'3'!$V$3),"-1","-"))))</f>
        <v/>
      </c>
      <c r="F37" s="19" t="str">
        <f>IF(ISBLANK('Raw counts'!F38),"",IF('3'!F99&gt;='3'!$V$3,"+1",IF('3'!F99&gt;=0,"+",IF('3'!F99&lt;=(-1*'3'!$V$3),"-1","-"))))</f>
        <v/>
      </c>
      <c r="G37" s="19" t="str">
        <f>IF(ISBLANK('Raw counts'!G38),"",IF('3'!G99&gt;='3'!$V$3,"+1",IF('3'!G99&gt;=0,"+",IF('3'!G99&lt;=(-1*'3'!$V$3),"-1","-"))))</f>
        <v/>
      </c>
      <c r="H37" s="19" t="str">
        <f>IF(ISBLANK('Raw counts'!H38),"",IF('3'!H99&gt;='3'!$V$3,"+1",IF('3'!H99&gt;=0,"+",IF('3'!H99&lt;=(-1*'3'!$V$3),"-1","-"))))</f>
        <v/>
      </c>
      <c r="I37" s="19" t="str">
        <f>IF(ISBLANK('Raw counts'!I38),"",IF('3'!I99&gt;='3'!$V$3,"+1",IF('3'!I99&gt;=0,"+",IF('3'!I99&lt;=(-1*'3'!$V$3),"-1","-"))))</f>
        <v/>
      </c>
      <c r="J37" s="19" t="str">
        <f>IF(ISBLANK('Raw counts'!J38),"",IF('3'!J99&gt;='3'!$V$3,"+1",IF('3'!J99&gt;=0,"+",IF('3'!J99&lt;=(-1*'3'!$V$3),"-1","-"))))</f>
        <v/>
      </c>
      <c r="K37" s="19" t="str">
        <f>IF(ISBLANK('Raw counts'!K38),"",IF('3'!K99&gt;='3'!$V$3,"+1",IF('3'!K99&gt;=0,"+",IF('3'!K99&lt;=(-1*'3'!$V$3),"-1","-"))))</f>
        <v/>
      </c>
      <c r="L37" s="19" t="str">
        <f>IF(ISBLANK('Raw counts'!L38),"",IF('3'!L99&gt;='3'!$V$3,"+1",IF('3'!L99&gt;=0,"+",IF('3'!L99&lt;=(-1*'3'!$V$3),"-1","-"))))</f>
        <v/>
      </c>
      <c r="M37" s="19" t="str">
        <f>IF(ISBLANK('Raw counts'!M38),"",IF('3'!M99&gt;='3'!$V$3,"+1",IF('3'!M99&gt;=0,"+",IF('3'!M99&lt;=(-1*'3'!$V$3),"-1","-"))))</f>
        <v/>
      </c>
      <c r="N37" s="19" t="str">
        <f>IF(ISBLANK('Raw counts'!N38),"",IF('3'!N99&gt;='3'!$V$3,"+1",IF('3'!N99&gt;=0,"+",IF('3'!N99&lt;=(-1*'3'!$V$3),"-1","-"))))</f>
        <v/>
      </c>
      <c r="O37" s="19" t="str">
        <f>IF(ISBLANK('Raw counts'!O38),"",IF('3'!O99&gt;='3'!$V$3,"+1",IF('3'!O99&gt;=0,"+",IF('3'!O99&lt;=(-1*'3'!$V$3),"-1","-"))))</f>
        <v/>
      </c>
      <c r="P37" s="19" t="str">
        <f>IF(ISBLANK('Raw counts'!P38),"",IF('3'!P99&gt;='3'!$V$3,"+1",IF('3'!P99&gt;=0,"+",IF('3'!P99&lt;=(-1*'3'!$V$3),"-1","-"))))</f>
        <v/>
      </c>
      <c r="Q37" s="19" t="str">
        <f>IF(ISBLANK('Raw counts'!Q38),"",IF('3'!Q99&gt;='3'!$V$3,"+1",IF('3'!Q99&gt;=0,"+",IF('3'!Q99&lt;=(-1*'3'!$V$3),"-1","-"))))</f>
        <v/>
      </c>
      <c r="R37" s="19" t="str">
        <f>IF(ISBLANK('Raw counts'!R38),"",IF('3'!R99&gt;='3'!$V$3,"+1",IF('3'!R99&gt;=0,"+",IF('3'!R99&lt;=(-1*'3'!$V$3),"-1","-"))))</f>
        <v/>
      </c>
      <c r="S37" s="19" t="str">
        <f>IF(ISBLANK('Raw counts'!S38),"",IF('3'!S99&gt;='3'!$V$3,"+1",IF('3'!S99&gt;=0,"+",IF('3'!S99&lt;=(-1*'3'!$V$3),"-1","-"))))</f>
        <v/>
      </c>
      <c r="T37" s="19" t="str">
        <f>IF(ISBLANK('Raw counts'!T38),"",IF('3'!T99&gt;='3'!$V$3,"+1",IF('3'!T99&gt;=0,"+",IF('3'!T99&lt;=(-1*'3'!$V$3),"-1","-"))))</f>
        <v/>
      </c>
      <c r="U37" s="19" t="str">
        <f>IF(ISBLANK('Raw counts'!U38),"",IF('3'!U99&gt;='3'!$V$3,"+1",IF('3'!U99&gt;=0,"+",IF('3'!U99&lt;=(-1*'3'!$V$3),"-1","-"))))</f>
        <v/>
      </c>
    </row>
    <row r="38" spans="1:21" x14ac:dyDescent="0.15">
      <c r="A38" s="18" t="str">
        <f>IF(ISBLANK('Raw counts'!A39),"",'Raw counts'!A39)</f>
        <v>Attr35</v>
      </c>
      <c r="B38" s="19" t="str">
        <f>IF(ISBLANK('Raw counts'!B39),"",IF('3'!B100&gt;='3'!$V$3,"+1",IF('3'!B100&gt;=0,"+",IF('3'!B100&lt;=(-1*'3'!$V$3),"-1","-"))))</f>
        <v/>
      </c>
      <c r="C38" s="19" t="str">
        <f>IF(ISBLANK('Raw counts'!C39),"",IF('3'!C100&gt;='3'!$V$3,"+1",IF('3'!C100&gt;=0,"+",IF('3'!C100&lt;=(-1*'3'!$V$3),"-1","-"))))</f>
        <v/>
      </c>
      <c r="D38" s="19" t="str">
        <f>IF(ISBLANK('Raw counts'!D39),"",IF('3'!D100&gt;='3'!$V$3,"+1",IF('3'!D100&gt;=0,"+",IF('3'!D100&lt;=(-1*'3'!$V$3),"-1","-"))))</f>
        <v/>
      </c>
      <c r="E38" s="19" t="str">
        <f>IF(ISBLANK('Raw counts'!E39),"",IF('3'!E100&gt;='3'!$V$3,"+1",IF('3'!E100&gt;=0,"+",IF('3'!E100&lt;=(-1*'3'!$V$3),"-1","-"))))</f>
        <v/>
      </c>
      <c r="F38" s="19" t="str">
        <f>IF(ISBLANK('Raw counts'!F39),"",IF('3'!F100&gt;='3'!$V$3,"+1",IF('3'!F100&gt;=0,"+",IF('3'!F100&lt;=(-1*'3'!$V$3),"-1","-"))))</f>
        <v/>
      </c>
      <c r="G38" s="19" t="str">
        <f>IF(ISBLANK('Raw counts'!G39),"",IF('3'!G100&gt;='3'!$V$3,"+1",IF('3'!G100&gt;=0,"+",IF('3'!G100&lt;=(-1*'3'!$V$3),"-1","-"))))</f>
        <v/>
      </c>
      <c r="H38" s="19" t="str">
        <f>IF(ISBLANK('Raw counts'!H39),"",IF('3'!H100&gt;='3'!$V$3,"+1",IF('3'!H100&gt;=0,"+",IF('3'!H100&lt;=(-1*'3'!$V$3),"-1","-"))))</f>
        <v/>
      </c>
      <c r="I38" s="19" t="str">
        <f>IF(ISBLANK('Raw counts'!I39),"",IF('3'!I100&gt;='3'!$V$3,"+1",IF('3'!I100&gt;=0,"+",IF('3'!I100&lt;=(-1*'3'!$V$3),"-1","-"))))</f>
        <v/>
      </c>
      <c r="J38" s="19" t="str">
        <f>IF(ISBLANK('Raw counts'!J39),"",IF('3'!J100&gt;='3'!$V$3,"+1",IF('3'!J100&gt;=0,"+",IF('3'!J100&lt;=(-1*'3'!$V$3),"-1","-"))))</f>
        <v/>
      </c>
      <c r="K38" s="19" t="str">
        <f>IF(ISBLANK('Raw counts'!K39),"",IF('3'!K100&gt;='3'!$V$3,"+1",IF('3'!K100&gt;=0,"+",IF('3'!K100&lt;=(-1*'3'!$V$3),"-1","-"))))</f>
        <v/>
      </c>
      <c r="L38" s="19" t="str">
        <f>IF(ISBLANK('Raw counts'!L39),"",IF('3'!L100&gt;='3'!$V$3,"+1",IF('3'!L100&gt;=0,"+",IF('3'!L100&lt;=(-1*'3'!$V$3),"-1","-"))))</f>
        <v/>
      </c>
      <c r="M38" s="19" t="str">
        <f>IF(ISBLANK('Raw counts'!M39),"",IF('3'!M100&gt;='3'!$V$3,"+1",IF('3'!M100&gt;=0,"+",IF('3'!M100&lt;=(-1*'3'!$V$3),"-1","-"))))</f>
        <v/>
      </c>
      <c r="N38" s="19" t="str">
        <f>IF(ISBLANK('Raw counts'!N39),"",IF('3'!N100&gt;='3'!$V$3,"+1",IF('3'!N100&gt;=0,"+",IF('3'!N100&lt;=(-1*'3'!$V$3),"-1","-"))))</f>
        <v/>
      </c>
      <c r="O38" s="19" t="str">
        <f>IF(ISBLANK('Raw counts'!O39),"",IF('3'!O100&gt;='3'!$V$3,"+1",IF('3'!O100&gt;=0,"+",IF('3'!O100&lt;=(-1*'3'!$V$3),"-1","-"))))</f>
        <v/>
      </c>
      <c r="P38" s="19" t="str">
        <f>IF(ISBLANK('Raw counts'!P39),"",IF('3'!P100&gt;='3'!$V$3,"+1",IF('3'!P100&gt;=0,"+",IF('3'!P100&lt;=(-1*'3'!$V$3),"-1","-"))))</f>
        <v/>
      </c>
      <c r="Q38" s="19" t="str">
        <f>IF(ISBLANK('Raw counts'!Q39),"",IF('3'!Q100&gt;='3'!$V$3,"+1",IF('3'!Q100&gt;=0,"+",IF('3'!Q100&lt;=(-1*'3'!$V$3),"-1","-"))))</f>
        <v/>
      </c>
      <c r="R38" s="19" t="str">
        <f>IF(ISBLANK('Raw counts'!R39),"",IF('3'!R100&gt;='3'!$V$3,"+1",IF('3'!R100&gt;=0,"+",IF('3'!R100&lt;=(-1*'3'!$V$3),"-1","-"))))</f>
        <v/>
      </c>
      <c r="S38" s="19" t="str">
        <f>IF(ISBLANK('Raw counts'!S39),"",IF('3'!S100&gt;='3'!$V$3,"+1",IF('3'!S100&gt;=0,"+",IF('3'!S100&lt;=(-1*'3'!$V$3),"-1","-"))))</f>
        <v/>
      </c>
      <c r="T38" s="19" t="str">
        <f>IF(ISBLANK('Raw counts'!T39),"",IF('3'!T100&gt;='3'!$V$3,"+1",IF('3'!T100&gt;=0,"+",IF('3'!T100&lt;=(-1*'3'!$V$3),"-1","-"))))</f>
        <v/>
      </c>
      <c r="U38" s="19" t="str">
        <f>IF(ISBLANK('Raw counts'!U39),"",IF('3'!U100&gt;='3'!$V$3,"+1",IF('3'!U100&gt;=0,"+",IF('3'!U100&lt;=(-1*'3'!$V$3),"-1","-"))))</f>
        <v/>
      </c>
    </row>
    <row r="39" spans="1:21" x14ac:dyDescent="0.15">
      <c r="A39" s="18" t="str">
        <f>IF(ISBLANK('Raw counts'!A40),"",'Raw counts'!A40)</f>
        <v>Attr36</v>
      </c>
      <c r="B39" s="19" t="str">
        <f>IF(ISBLANK('Raw counts'!B40),"",IF('3'!B101&gt;='3'!$V$3,"+1",IF('3'!B101&gt;=0,"+",IF('3'!B101&lt;=(-1*'3'!$V$3),"-1","-"))))</f>
        <v/>
      </c>
      <c r="C39" s="19" t="str">
        <f>IF(ISBLANK('Raw counts'!C40),"",IF('3'!C101&gt;='3'!$V$3,"+1",IF('3'!C101&gt;=0,"+",IF('3'!C101&lt;=(-1*'3'!$V$3),"-1","-"))))</f>
        <v/>
      </c>
      <c r="D39" s="19" t="str">
        <f>IF(ISBLANK('Raw counts'!D40),"",IF('3'!D101&gt;='3'!$V$3,"+1",IF('3'!D101&gt;=0,"+",IF('3'!D101&lt;=(-1*'3'!$V$3),"-1","-"))))</f>
        <v/>
      </c>
      <c r="E39" s="19" t="str">
        <f>IF(ISBLANK('Raw counts'!E40),"",IF('3'!E101&gt;='3'!$V$3,"+1",IF('3'!E101&gt;=0,"+",IF('3'!E101&lt;=(-1*'3'!$V$3),"-1","-"))))</f>
        <v/>
      </c>
      <c r="F39" s="19" t="str">
        <f>IF(ISBLANK('Raw counts'!F40),"",IF('3'!F101&gt;='3'!$V$3,"+1",IF('3'!F101&gt;=0,"+",IF('3'!F101&lt;=(-1*'3'!$V$3),"-1","-"))))</f>
        <v/>
      </c>
      <c r="G39" s="19" t="str">
        <f>IF(ISBLANK('Raw counts'!G40),"",IF('3'!G101&gt;='3'!$V$3,"+1",IF('3'!G101&gt;=0,"+",IF('3'!G101&lt;=(-1*'3'!$V$3),"-1","-"))))</f>
        <v/>
      </c>
      <c r="H39" s="19" t="str">
        <f>IF(ISBLANK('Raw counts'!H40),"",IF('3'!H101&gt;='3'!$V$3,"+1",IF('3'!H101&gt;=0,"+",IF('3'!H101&lt;=(-1*'3'!$V$3),"-1","-"))))</f>
        <v/>
      </c>
      <c r="I39" s="19" t="str">
        <f>IF(ISBLANK('Raw counts'!I40),"",IF('3'!I101&gt;='3'!$V$3,"+1",IF('3'!I101&gt;=0,"+",IF('3'!I101&lt;=(-1*'3'!$V$3),"-1","-"))))</f>
        <v/>
      </c>
      <c r="J39" s="19" t="str">
        <f>IF(ISBLANK('Raw counts'!J40),"",IF('3'!J101&gt;='3'!$V$3,"+1",IF('3'!J101&gt;=0,"+",IF('3'!J101&lt;=(-1*'3'!$V$3),"-1","-"))))</f>
        <v/>
      </c>
      <c r="K39" s="19" t="str">
        <f>IF(ISBLANK('Raw counts'!K40),"",IF('3'!K101&gt;='3'!$V$3,"+1",IF('3'!K101&gt;=0,"+",IF('3'!K101&lt;=(-1*'3'!$V$3),"-1","-"))))</f>
        <v/>
      </c>
      <c r="L39" s="19" t="str">
        <f>IF(ISBLANK('Raw counts'!L40),"",IF('3'!L101&gt;='3'!$V$3,"+1",IF('3'!L101&gt;=0,"+",IF('3'!L101&lt;=(-1*'3'!$V$3),"-1","-"))))</f>
        <v/>
      </c>
      <c r="M39" s="19" t="str">
        <f>IF(ISBLANK('Raw counts'!M40),"",IF('3'!M101&gt;='3'!$V$3,"+1",IF('3'!M101&gt;=0,"+",IF('3'!M101&lt;=(-1*'3'!$V$3),"-1","-"))))</f>
        <v/>
      </c>
      <c r="N39" s="19" t="str">
        <f>IF(ISBLANK('Raw counts'!N40),"",IF('3'!N101&gt;='3'!$V$3,"+1",IF('3'!N101&gt;=0,"+",IF('3'!N101&lt;=(-1*'3'!$V$3),"-1","-"))))</f>
        <v/>
      </c>
      <c r="O39" s="19" t="str">
        <f>IF(ISBLANK('Raw counts'!O40),"",IF('3'!O101&gt;='3'!$V$3,"+1",IF('3'!O101&gt;=0,"+",IF('3'!O101&lt;=(-1*'3'!$V$3),"-1","-"))))</f>
        <v/>
      </c>
      <c r="P39" s="19" t="str">
        <f>IF(ISBLANK('Raw counts'!P40),"",IF('3'!P101&gt;='3'!$V$3,"+1",IF('3'!P101&gt;=0,"+",IF('3'!P101&lt;=(-1*'3'!$V$3),"-1","-"))))</f>
        <v/>
      </c>
      <c r="Q39" s="19" t="str">
        <f>IF(ISBLANK('Raw counts'!Q40),"",IF('3'!Q101&gt;='3'!$V$3,"+1",IF('3'!Q101&gt;=0,"+",IF('3'!Q101&lt;=(-1*'3'!$V$3),"-1","-"))))</f>
        <v/>
      </c>
      <c r="R39" s="19" t="str">
        <f>IF(ISBLANK('Raw counts'!R40),"",IF('3'!R101&gt;='3'!$V$3,"+1",IF('3'!R101&gt;=0,"+",IF('3'!R101&lt;=(-1*'3'!$V$3),"-1","-"))))</f>
        <v/>
      </c>
      <c r="S39" s="19" t="str">
        <f>IF(ISBLANK('Raw counts'!S40),"",IF('3'!S101&gt;='3'!$V$3,"+1",IF('3'!S101&gt;=0,"+",IF('3'!S101&lt;=(-1*'3'!$V$3),"-1","-"))))</f>
        <v/>
      </c>
      <c r="T39" s="19" t="str">
        <f>IF(ISBLANK('Raw counts'!T40),"",IF('3'!T101&gt;='3'!$V$3,"+1",IF('3'!T101&gt;=0,"+",IF('3'!T101&lt;=(-1*'3'!$V$3),"-1","-"))))</f>
        <v/>
      </c>
      <c r="U39" s="19" t="str">
        <f>IF(ISBLANK('Raw counts'!U40),"",IF('3'!U101&gt;='3'!$V$3,"+1",IF('3'!U101&gt;=0,"+",IF('3'!U101&lt;=(-1*'3'!$V$3),"-1","-"))))</f>
        <v/>
      </c>
    </row>
    <row r="40" spans="1:21" x14ac:dyDescent="0.15">
      <c r="A40" s="18" t="str">
        <f>IF(ISBLANK('Raw counts'!A41),"",'Raw counts'!A41)</f>
        <v>Attr37</v>
      </c>
      <c r="B40" s="19" t="str">
        <f>IF(ISBLANK('Raw counts'!B41),"",IF('3'!B102&gt;='3'!$V$3,"+1",IF('3'!B102&gt;=0,"+",IF('3'!B102&lt;=(-1*'3'!$V$3),"-1","-"))))</f>
        <v/>
      </c>
      <c r="C40" s="19" t="str">
        <f>IF(ISBLANK('Raw counts'!C41),"",IF('3'!C102&gt;='3'!$V$3,"+1",IF('3'!C102&gt;=0,"+",IF('3'!C102&lt;=(-1*'3'!$V$3),"-1","-"))))</f>
        <v/>
      </c>
      <c r="D40" s="19" t="str">
        <f>IF(ISBLANK('Raw counts'!D41),"",IF('3'!D102&gt;='3'!$V$3,"+1",IF('3'!D102&gt;=0,"+",IF('3'!D102&lt;=(-1*'3'!$V$3),"-1","-"))))</f>
        <v/>
      </c>
      <c r="E40" s="19" t="str">
        <f>IF(ISBLANK('Raw counts'!E41),"",IF('3'!E102&gt;='3'!$V$3,"+1",IF('3'!E102&gt;=0,"+",IF('3'!E102&lt;=(-1*'3'!$V$3),"-1","-"))))</f>
        <v/>
      </c>
      <c r="F40" s="19" t="str">
        <f>IF(ISBLANK('Raw counts'!F41),"",IF('3'!F102&gt;='3'!$V$3,"+1",IF('3'!F102&gt;=0,"+",IF('3'!F102&lt;=(-1*'3'!$V$3),"-1","-"))))</f>
        <v/>
      </c>
      <c r="G40" s="19" t="str">
        <f>IF(ISBLANK('Raw counts'!G41),"",IF('3'!G102&gt;='3'!$V$3,"+1",IF('3'!G102&gt;=0,"+",IF('3'!G102&lt;=(-1*'3'!$V$3),"-1","-"))))</f>
        <v/>
      </c>
      <c r="H40" s="19" t="str">
        <f>IF(ISBLANK('Raw counts'!H41),"",IF('3'!H102&gt;='3'!$V$3,"+1",IF('3'!H102&gt;=0,"+",IF('3'!H102&lt;=(-1*'3'!$V$3),"-1","-"))))</f>
        <v/>
      </c>
      <c r="I40" s="19" t="str">
        <f>IF(ISBLANK('Raw counts'!I41),"",IF('3'!I102&gt;='3'!$V$3,"+1",IF('3'!I102&gt;=0,"+",IF('3'!I102&lt;=(-1*'3'!$V$3),"-1","-"))))</f>
        <v/>
      </c>
      <c r="J40" s="19" t="str">
        <f>IF(ISBLANK('Raw counts'!J41),"",IF('3'!J102&gt;='3'!$V$3,"+1",IF('3'!J102&gt;=0,"+",IF('3'!J102&lt;=(-1*'3'!$V$3),"-1","-"))))</f>
        <v/>
      </c>
      <c r="K40" s="19" t="str">
        <f>IF(ISBLANK('Raw counts'!K41),"",IF('3'!K102&gt;='3'!$V$3,"+1",IF('3'!K102&gt;=0,"+",IF('3'!K102&lt;=(-1*'3'!$V$3),"-1","-"))))</f>
        <v/>
      </c>
      <c r="L40" s="19" t="str">
        <f>IF(ISBLANK('Raw counts'!L41),"",IF('3'!L102&gt;='3'!$V$3,"+1",IF('3'!L102&gt;=0,"+",IF('3'!L102&lt;=(-1*'3'!$V$3),"-1","-"))))</f>
        <v/>
      </c>
      <c r="M40" s="19" t="str">
        <f>IF(ISBLANK('Raw counts'!M41),"",IF('3'!M102&gt;='3'!$V$3,"+1",IF('3'!M102&gt;=0,"+",IF('3'!M102&lt;=(-1*'3'!$V$3),"-1","-"))))</f>
        <v/>
      </c>
      <c r="N40" s="19" t="str">
        <f>IF(ISBLANK('Raw counts'!N41),"",IF('3'!N102&gt;='3'!$V$3,"+1",IF('3'!N102&gt;=0,"+",IF('3'!N102&lt;=(-1*'3'!$V$3),"-1","-"))))</f>
        <v/>
      </c>
      <c r="O40" s="19" t="str">
        <f>IF(ISBLANK('Raw counts'!O41),"",IF('3'!O102&gt;='3'!$V$3,"+1",IF('3'!O102&gt;=0,"+",IF('3'!O102&lt;=(-1*'3'!$V$3),"-1","-"))))</f>
        <v/>
      </c>
      <c r="P40" s="19" t="str">
        <f>IF(ISBLANK('Raw counts'!P41),"",IF('3'!P102&gt;='3'!$V$3,"+1",IF('3'!P102&gt;=0,"+",IF('3'!P102&lt;=(-1*'3'!$V$3),"-1","-"))))</f>
        <v/>
      </c>
      <c r="Q40" s="19" t="str">
        <f>IF(ISBLANK('Raw counts'!Q41),"",IF('3'!Q102&gt;='3'!$V$3,"+1",IF('3'!Q102&gt;=0,"+",IF('3'!Q102&lt;=(-1*'3'!$V$3),"-1","-"))))</f>
        <v/>
      </c>
      <c r="R40" s="19" t="str">
        <f>IF(ISBLANK('Raw counts'!R41),"",IF('3'!R102&gt;='3'!$V$3,"+1",IF('3'!R102&gt;=0,"+",IF('3'!R102&lt;=(-1*'3'!$V$3),"-1","-"))))</f>
        <v/>
      </c>
      <c r="S40" s="19" t="str">
        <f>IF(ISBLANK('Raw counts'!S41),"",IF('3'!S102&gt;='3'!$V$3,"+1",IF('3'!S102&gt;=0,"+",IF('3'!S102&lt;=(-1*'3'!$V$3),"-1","-"))))</f>
        <v/>
      </c>
      <c r="T40" s="19" t="str">
        <f>IF(ISBLANK('Raw counts'!T41),"",IF('3'!T102&gt;='3'!$V$3,"+1",IF('3'!T102&gt;=0,"+",IF('3'!T102&lt;=(-1*'3'!$V$3),"-1","-"))))</f>
        <v/>
      </c>
      <c r="U40" s="19" t="str">
        <f>IF(ISBLANK('Raw counts'!U41),"",IF('3'!U102&gt;='3'!$V$3,"+1",IF('3'!U102&gt;=0,"+",IF('3'!U102&lt;=(-1*'3'!$V$3),"-1","-"))))</f>
        <v/>
      </c>
    </row>
    <row r="41" spans="1:21" x14ac:dyDescent="0.15">
      <c r="A41" s="18" t="str">
        <f>IF(ISBLANK('Raw counts'!A42),"",'Raw counts'!A42)</f>
        <v>Attr38</v>
      </c>
      <c r="B41" s="19" t="str">
        <f>IF(ISBLANK('Raw counts'!B42),"",IF('3'!B103&gt;='3'!$V$3,"+1",IF('3'!B103&gt;=0,"+",IF('3'!B103&lt;=(-1*'3'!$V$3),"-1","-"))))</f>
        <v/>
      </c>
      <c r="C41" s="19" t="str">
        <f>IF(ISBLANK('Raw counts'!C42),"",IF('3'!C103&gt;='3'!$V$3,"+1",IF('3'!C103&gt;=0,"+",IF('3'!C103&lt;=(-1*'3'!$V$3),"-1","-"))))</f>
        <v/>
      </c>
      <c r="D41" s="19" t="str">
        <f>IF(ISBLANK('Raw counts'!D42),"",IF('3'!D103&gt;='3'!$V$3,"+1",IF('3'!D103&gt;=0,"+",IF('3'!D103&lt;=(-1*'3'!$V$3),"-1","-"))))</f>
        <v/>
      </c>
      <c r="E41" s="19" t="str">
        <f>IF(ISBLANK('Raw counts'!E42),"",IF('3'!E103&gt;='3'!$V$3,"+1",IF('3'!E103&gt;=0,"+",IF('3'!E103&lt;=(-1*'3'!$V$3),"-1","-"))))</f>
        <v/>
      </c>
      <c r="F41" s="19" t="str">
        <f>IF(ISBLANK('Raw counts'!F42),"",IF('3'!F103&gt;='3'!$V$3,"+1",IF('3'!F103&gt;=0,"+",IF('3'!F103&lt;=(-1*'3'!$V$3),"-1","-"))))</f>
        <v/>
      </c>
      <c r="G41" s="19" t="str">
        <f>IF(ISBLANK('Raw counts'!G42),"",IF('3'!G103&gt;='3'!$V$3,"+1",IF('3'!G103&gt;=0,"+",IF('3'!G103&lt;=(-1*'3'!$V$3),"-1","-"))))</f>
        <v/>
      </c>
      <c r="H41" s="19" t="str">
        <f>IF(ISBLANK('Raw counts'!H42),"",IF('3'!H103&gt;='3'!$V$3,"+1",IF('3'!H103&gt;=0,"+",IF('3'!H103&lt;=(-1*'3'!$V$3),"-1","-"))))</f>
        <v/>
      </c>
      <c r="I41" s="19" t="str">
        <f>IF(ISBLANK('Raw counts'!I42),"",IF('3'!I103&gt;='3'!$V$3,"+1",IF('3'!I103&gt;=0,"+",IF('3'!I103&lt;=(-1*'3'!$V$3),"-1","-"))))</f>
        <v/>
      </c>
      <c r="J41" s="19" t="str">
        <f>IF(ISBLANK('Raw counts'!J42),"",IF('3'!J103&gt;='3'!$V$3,"+1",IF('3'!J103&gt;=0,"+",IF('3'!J103&lt;=(-1*'3'!$V$3),"-1","-"))))</f>
        <v/>
      </c>
      <c r="K41" s="19" t="str">
        <f>IF(ISBLANK('Raw counts'!K42),"",IF('3'!K103&gt;='3'!$V$3,"+1",IF('3'!K103&gt;=0,"+",IF('3'!K103&lt;=(-1*'3'!$V$3),"-1","-"))))</f>
        <v/>
      </c>
      <c r="L41" s="19" t="str">
        <f>IF(ISBLANK('Raw counts'!L42),"",IF('3'!L103&gt;='3'!$V$3,"+1",IF('3'!L103&gt;=0,"+",IF('3'!L103&lt;=(-1*'3'!$V$3),"-1","-"))))</f>
        <v/>
      </c>
      <c r="M41" s="19" t="str">
        <f>IF(ISBLANK('Raw counts'!M42),"",IF('3'!M103&gt;='3'!$V$3,"+1",IF('3'!M103&gt;=0,"+",IF('3'!M103&lt;=(-1*'3'!$V$3),"-1","-"))))</f>
        <v/>
      </c>
      <c r="N41" s="19" t="str">
        <f>IF(ISBLANK('Raw counts'!N42),"",IF('3'!N103&gt;='3'!$V$3,"+1",IF('3'!N103&gt;=0,"+",IF('3'!N103&lt;=(-1*'3'!$V$3),"-1","-"))))</f>
        <v/>
      </c>
      <c r="O41" s="19" t="str">
        <f>IF(ISBLANK('Raw counts'!O42),"",IF('3'!O103&gt;='3'!$V$3,"+1",IF('3'!O103&gt;=0,"+",IF('3'!O103&lt;=(-1*'3'!$V$3),"-1","-"))))</f>
        <v/>
      </c>
      <c r="P41" s="19" t="str">
        <f>IF(ISBLANK('Raw counts'!P42),"",IF('3'!P103&gt;='3'!$V$3,"+1",IF('3'!P103&gt;=0,"+",IF('3'!P103&lt;=(-1*'3'!$V$3),"-1","-"))))</f>
        <v/>
      </c>
      <c r="Q41" s="19" t="str">
        <f>IF(ISBLANK('Raw counts'!Q42),"",IF('3'!Q103&gt;='3'!$V$3,"+1",IF('3'!Q103&gt;=0,"+",IF('3'!Q103&lt;=(-1*'3'!$V$3),"-1","-"))))</f>
        <v/>
      </c>
      <c r="R41" s="19" t="str">
        <f>IF(ISBLANK('Raw counts'!R42),"",IF('3'!R103&gt;='3'!$V$3,"+1",IF('3'!R103&gt;=0,"+",IF('3'!R103&lt;=(-1*'3'!$V$3),"-1","-"))))</f>
        <v/>
      </c>
      <c r="S41" s="19" t="str">
        <f>IF(ISBLANK('Raw counts'!S42),"",IF('3'!S103&gt;='3'!$V$3,"+1",IF('3'!S103&gt;=0,"+",IF('3'!S103&lt;=(-1*'3'!$V$3),"-1","-"))))</f>
        <v/>
      </c>
      <c r="T41" s="19" t="str">
        <f>IF(ISBLANK('Raw counts'!T42),"",IF('3'!T103&gt;='3'!$V$3,"+1",IF('3'!T103&gt;=0,"+",IF('3'!T103&lt;=(-1*'3'!$V$3),"-1","-"))))</f>
        <v/>
      </c>
      <c r="U41" s="19" t="str">
        <f>IF(ISBLANK('Raw counts'!U42),"",IF('3'!U103&gt;='3'!$V$3,"+1",IF('3'!U103&gt;=0,"+",IF('3'!U103&lt;=(-1*'3'!$V$3),"-1","-"))))</f>
        <v/>
      </c>
    </row>
    <row r="42" spans="1:21" x14ac:dyDescent="0.15">
      <c r="A42" s="18" t="str">
        <f>IF(ISBLANK('Raw counts'!A43),"",'Raw counts'!A43)</f>
        <v>Attr39</v>
      </c>
      <c r="B42" s="19" t="str">
        <f>IF(ISBLANK('Raw counts'!B43),"",IF('3'!B104&gt;='3'!$V$3,"+1",IF('3'!B104&gt;=0,"+",IF('3'!B104&lt;=(-1*'3'!$V$3),"-1","-"))))</f>
        <v/>
      </c>
      <c r="C42" s="19" t="str">
        <f>IF(ISBLANK('Raw counts'!C43),"",IF('3'!C104&gt;='3'!$V$3,"+1",IF('3'!C104&gt;=0,"+",IF('3'!C104&lt;=(-1*'3'!$V$3),"-1","-"))))</f>
        <v/>
      </c>
      <c r="D42" s="19" t="str">
        <f>IF(ISBLANK('Raw counts'!D43),"",IF('3'!D104&gt;='3'!$V$3,"+1",IF('3'!D104&gt;=0,"+",IF('3'!D104&lt;=(-1*'3'!$V$3),"-1","-"))))</f>
        <v/>
      </c>
      <c r="E42" s="19" t="str">
        <f>IF(ISBLANK('Raw counts'!E43),"",IF('3'!E104&gt;='3'!$V$3,"+1",IF('3'!E104&gt;=0,"+",IF('3'!E104&lt;=(-1*'3'!$V$3),"-1","-"))))</f>
        <v/>
      </c>
      <c r="F42" s="19" t="str">
        <f>IF(ISBLANK('Raw counts'!F43),"",IF('3'!F104&gt;='3'!$V$3,"+1",IF('3'!F104&gt;=0,"+",IF('3'!F104&lt;=(-1*'3'!$V$3),"-1","-"))))</f>
        <v/>
      </c>
      <c r="G42" s="19" t="str">
        <f>IF(ISBLANK('Raw counts'!G43),"",IF('3'!G104&gt;='3'!$V$3,"+1",IF('3'!G104&gt;=0,"+",IF('3'!G104&lt;=(-1*'3'!$V$3),"-1","-"))))</f>
        <v/>
      </c>
      <c r="H42" s="19" t="str">
        <f>IF(ISBLANK('Raw counts'!H43),"",IF('3'!H104&gt;='3'!$V$3,"+1",IF('3'!H104&gt;=0,"+",IF('3'!H104&lt;=(-1*'3'!$V$3),"-1","-"))))</f>
        <v/>
      </c>
      <c r="I42" s="19" t="str">
        <f>IF(ISBLANK('Raw counts'!I43),"",IF('3'!I104&gt;='3'!$V$3,"+1",IF('3'!I104&gt;=0,"+",IF('3'!I104&lt;=(-1*'3'!$V$3),"-1","-"))))</f>
        <v/>
      </c>
      <c r="J42" s="19" t="str">
        <f>IF(ISBLANK('Raw counts'!J43),"",IF('3'!J104&gt;='3'!$V$3,"+1",IF('3'!J104&gt;=0,"+",IF('3'!J104&lt;=(-1*'3'!$V$3),"-1","-"))))</f>
        <v/>
      </c>
      <c r="K42" s="19" t="str">
        <f>IF(ISBLANK('Raw counts'!K43),"",IF('3'!K104&gt;='3'!$V$3,"+1",IF('3'!K104&gt;=0,"+",IF('3'!K104&lt;=(-1*'3'!$V$3),"-1","-"))))</f>
        <v/>
      </c>
      <c r="L42" s="19" t="str">
        <f>IF(ISBLANK('Raw counts'!L43),"",IF('3'!L104&gt;='3'!$V$3,"+1",IF('3'!L104&gt;=0,"+",IF('3'!L104&lt;=(-1*'3'!$V$3),"-1","-"))))</f>
        <v/>
      </c>
      <c r="M42" s="19" t="str">
        <f>IF(ISBLANK('Raw counts'!M43),"",IF('3'!M104&gt;='3'!$V$3,"+1",IF('3'!M104&gt;=0,"+",IF('3'!M104&lt;=(-1*'3'!$V$3),"-1","-"))))</f>
        <v/>
      </c>
      <c r="N42" s="19" t="str">
        <f>IF(ISBLANK('Raw counts'!N43),"",IF('3'!N104&gt;='3'!$V$3,"+1",IF('3'!N104&gt;=0,"+",IF('3'!N104&lt;=(-1*'3'!$V$3),"-1","-"))))</f>
        <v/>
      </c>
      <c r="O42" s="19" t="str">
        <f>IF(ISBLANK('Raw counts'!O43),"",IF('3'!O104&gt;='3'!$V$3,"+1",IF('3'!O104&gt;=0,"+",IF('3'!O104&lt;=(-1*'3'!$V$3),"-1","-"))))</f>
        <v/>
      </c>
      <c r="P42" s="19" t="str">
        <f>IF(ISBLANK('Raw counts'!P43),"",IF('3'!P104&gt;='3'!$V$3,"+1",IF('3'!P104&gt;=0,"+",IF('3'!P104&lt;=(-1*'3'!$V$3),"-1","-"))))</f>
        <v/>
      </c>
      <c r="Q42" s="19" t="str">
        <f>IF(ISBLANK('Raw counts'!Q43),"",IF('3'!Q104&gt;='3'!$V$3,"+1",IF('3'!Q104&gt;=0,"+",IF('3'!Q104&lt;=(-1*'3'!$V$3),"-1","-"))))</f>
        <v/>
      </c>
      <c r="R42" s="19" t="str">
        <f>IF(ISBLANK('Raw counts'!R43),"",IF('3'!R104&gt;='3'!$V$3,"+1",IF('3'!R104&gt;=0,"+",IF('3'!R104&lt;=(-1*'3'!$V$3),"-1","-"))))</f>
        <v/>
      </c>
      <c r="S42" s="19" t="str">
        <f>IF(ISBLANK('Raw counts'!S43),"",IF('3'!S104&gt;='3'!$V$3,"+1",IF('3'!S104&gt;=0,"+",IF('3'!S104&lt;=(-1*'3'!$V$3),"-1","-"))))</f>
        <v/>
      </c>
      <c r="T42" s="19" t="str">
        <f>IF(ISBLANK('Raw counts'!T43),"",IF('3'!T104&gt;='3'!$V$3,"+1",IF('3'!T104&gt;=0,"+",IF('3'!T104&lt;=(-1*'3'!$V$3),"-1","-"))))</f>
        <v/>
      </c>
      <c r="U42" s="19" t="str">
        <f>IF(ISBLANK('Raw counts'!U43),"",IF('3'!U104&gt;='3'!$V$3,"+1",IF('3'!U104&gt;=0,"+",IF('3'!U104&lt;=(-1*'3'!$V$3),"-1","-"))))</f>
        <v/>
      </c>
    </row>
    <row r="43" spans="1:21" x14ac:dyDescent="0.15">
      <c r="A43" s="18" t="str">
        <f>IF(ISBLANK('Raw counts'!A44),"",'Raw counts'!A44)</f>
        <v>Attr40</v>
      </c>
      <c r="B43" s="19" t="str">
        <f>IF(ISBLANK('Raw counts'!B44),"",IF('3'!B105&gt;='3'!$V$3,"+1",IF('3'!B105&gt;=0,"+",IF('3'!B105&lt;=(-1*'3'!$V$3),"-1","-"))))</f>
        <v/>
      </c>
      <c r="C43" s="19" t="str">
        <f>IF(ISBLANK('Raw counts'!C44),"",IF('3'!C105&gt;='3'!$V$3,"+1",IF('3'!C105&gt;=0,"+",IF('3'!C105&lt;=(-1*'3'!$V$3),"-1","-"))))</f>
        <v/>
      </c>
      <c r="D43" s="19" t="str">
        <f>IF(ISBLANK('Raw counts'!D44),"",IF('3'!D105&gt;='3'!$V$3,"+1",IF('3'!D105&gt;=0,"+",IF('3'!D105&lt;=(-1*'3'!$V$3),"-1","-"))))</f>
        <v/>
      </c>
      <c r="E43" s="19" t="str">
        <f>IF(ISBLANK('Raw counts'!E44),"",IF('3'!E105&gt;='3'!$V$3,"+1",IF('3'!E105&gt;=0,"+",IF('3'!E105&lt;=(-1*'3'!$V$3),"-1","-"))))</f>
        <v/>
      </c>
      <c r="F43" s="19" t="str">
        <f>IF(ISBLANK('Raw counts'!F44),"",IF('3'!F105&gt;='3'!$V$3,"+1",IF('3'!F105&gt;=0,"+",IF('3'!F105&lt;=(-1*'3'!$V$3),"-1","-"))))</f>
        <v/>
      </c>
      <c r="G43" s="19" t="str">
        <f>IF(ISBLANK('Raw counts'!G44),"",IF('3'!G105&gt;='3'!$V$3,"+1",IF('3'!G105&gt;=0,"+",IF('3'!G105&lt;=(-1*'3'!$V$3),"-1","-"))))</f>
        <v/>
      </c>
      <c r="H43" s="19" t="str">
        <f>IF(ISBLANK('Raw counts'!H44),"",IF('3'!H105&gt;='3'!$V$3,"+1",IF('3'!H105&gt;=0,"+",IF('3'!H105&lt;=(-1*'3'!$V$3),"-1","-"))))</f>
        <v/>
      </c>
      <c r="I43" s="19" t="str">
        <f>IF(ISBLANK('Raw counts'!I44),"",IF('3'!I105&gt;='3'!$V$3,"+1",IF('3'!I105&gt;=0,"+",IF('3'!I105&lt;=(-1*'3'!$V$3),"-1","-"))))</f>
        <v/>
      </c>
      <c r="J43" s="19" t="str">
        <f>IF(ISBLANK('Raw counts'!J44),"",IF('3'!J105&gt;='3'!$V$3,"+1",IF('3'!J105&gt;=0,"+",IF('3'!J105&lt;=(-1*'3'!$V$3),"-1","-"))))</f>
        <v/>
      </c>
      <c r="K43" s="19" t="str">
        <f>IF(ISBLANK('Raw counts'!K44),"",IF('3'!K105&gt;='3'!$V$3,"+1",IF('3'!K105&gt;=0,"+",IF('3'!K105&lt;=(-1*'3'!$V$3),"-1","-"))))</f>
        <v/>
      </c>
      <c r="L43" s="19" t="str">
        <f>IF(ISBLANK('Raw counts'!L44),"",IF('3'!L105&gt;='3'!$V$3,"+1",IF('3'!L105&gt;=0,"+",IF('3'!L105&lt;=(-1*'3'!$V$3),"-1","-"))))</f>
        <v/>
      </c>
      <c r="M43" s="19" t="str">
        <f>IF(ISBLANK('Raw counts'!M44),"",IF('3'!M105&gt;='3'!$V$3,"+1",IF('3'!M105&gt;=0,"+",IF('3'!M105&lt;=(-1*'3'!$V$3),"-1","-"))))</f>
        <v/>
      </c>
      <c r="N43" s="19" t="str">
        <f>IF(ISBLANK('Raw counts'!N44),"",IF('3'!N105&gt;='3'!$V$3,"+1",IF('3'!N105&gt;=0,"+",IF('3'!N105&lt;=(-1*'3'!$V$3),"-1","-"))))</f>
        <v/>
      </c>
      <c r="O43" s="19" t="str">
        <f>IF(ISBLANK('Raw counts'!O44),"",IF('3'!O105&gt;='3'!$V$3,"+1",IF('3'!O105&gt;=0,"+",IF('3'!O105&lt;=(-1*'3'!$V$3),"-1","-"))))</f>
        <v/>
      </c>
      <c r="P43" s="19" t="str">
        <f>IF(ISBLANK('Raw counts'!P44),"",IF('3'!P105&gt;='3'!$V$3,"+1",IF('3'!P105&gt;=0,"+",IF('3'!P105&lt;=(-1*'3'!$V$3),"-1","-"))))</f>
        <v/>
      </c>
      <c r="Q43" s="19" t="str">
        <f>IF(ISBLANK('Raw counts'!Q44),"",IF('3'!Q105&gt;='3'!$V$3,"+1",IF('3'!Q105&gt;=0,"+",IF('3'!Q105&lt;=(-1*'3'!$V$3),"-1","-"))))</f>
        <v/>
      </c>
      <c r="R43" s="19" t="str">
        <f>IF(ISBLANK('Raw counts'!R44),"",IF('3'!R105&gt;='3'!$V$3,"+1",IF('3'!R105&gt;=0,"+",IF('3'!R105&lt;=(-1*'3'!$V$3),"-1","-"))))</f>
        <v/>
      </c>
      <c r="S43" s="19" t="str">
        <f>IF(ISBLANK('Raw counts'!S44),"",IF('3'!S105&gt;='3'!$V$3,"+1",IF('3'!S105&gt;=0,"+",IF('3'!S105&lt;=(-1*'3'!$V$3),"-1","-"))))</f>
        <v/>
      </c>
      <c r="T43" s="19" t="str">
        <f>IF(ISBLANK('Raw counts'!T44),"",IF('3'!T105&gt;='3'!$V$3,"+1",IF('3'!T105&gt;=0,"+",IF('3'!T105&lt;=(-1*'3'!$V$3),"-1","-"))))</f>
        <v/>
      </c>
      <c r="U43" s="19" t="str">
        <f>IF(ISBLANK('Raw counts'!U44),"",IF('3'!U105&gt;='3'!$V$3,"+1",IF('3'!U105&gt;=0,"+",IF('3'!U105&lt;=(-1*'3'!$V$3),"-1","-"))))</f>
        <v/>
      </c>
    </row>
    <row r="44" spans="1:21" x14ac:dyDescent="0.15">
      <c r="A44" s="18" t="str">
        <f>IF(ISBLANK('Raw counts'!A45),"",'Raw counts'!A45)</f>
        <v>Attr41</v>
      </c>
      <c r="B44" s="19" t="str">
        <f>IF(ISBLANK('Raw counts'!B45),"",IF('3'!B106&gt;='3'!$V$3,"+1",IF('3'!B106&gt;=0,"+",IF('3'!B106&lt;=(-1*'3'!$V$3),"-1","-"))))</f>
        <v/>
      </c>
      <c r="C44" s="19" t="str">
        <f>IF(ISBLANK('Raw counts'!C45),"",IF('3'!C106&gt;='3'!$V$3,"+1",IF('3'!C106&gt;=0,"+",IF('3'!C106&lt;=(-1*'3'!$V$3),"-1","-"))))</f>
        <v/>
      </c>
      <c r="D44" s="19" t="str">
        <f>IF(ISBLANK('Raw counts'!D45),"",IF('3'!D106&gt;='3'!$V$3,"+1",IF('3'!D106&gt;=0,"+",IF('3'!D106&lt;=(-1*'3'!$V$3),"-1","-"))))</f>
        <v/>
      </c>
      <c r="E44" s="19" t="str">
        <f>IF(ISBLANK('Raw counts'!E45),"",IF('3'!E106&gt;='3'!$V$3,"+1",IF('3'!E106&gt;=0,"+",IF('3'!E106&lt;=(-1*'3'!$V$3),"-1","-"))))</f>
        <v/>
      </c>
      <c r="F44" s="19" t="str">
        <f>IF(ISBLANK('Raw counts'!F45),"",IF('3'!F106&gt;='3'!$V$3,"+1",IF('3'!F106&gt;=0,"+",IF('3'!F106&lt;=(-1*'3'!$V$3),"-1","-"))))</f>
        <v/>
      </c>
      <c r="G44" s="19" t="str">
        <f>IF(ISBLANK('Raw counts'!G45),"",IF('3'!G106&gt;='3'!$V$3,"+1",IF('3'!G106&gt;=0,"+",IF('3'!G106&lt;=(-1*'3'!$V$3),"-1","-"))))</f>
        <v/>
      </c>
      <c r="H44" s="19" t="str">
        <f>IF(ISBLANK('Raw counts'!H45),"",IF('3'!H106&gt;='3'!$V$3,"+1",IF('3'!H106&gt;=0,"+",IF('3'!H106&lt;=(-1*'3'!$V$3),"-1","-"))))</f>
        <v/>
      </c>
      <c r="I44" s="19" t="str">
        <f>IF(ISBLANK('Raw counts'!I45),"",IF('3'!I106&gt;='3'!$V$3,"+1",IF('3'!I106&gt;=0,"+",IF('3'!I106&lt;=(-1*'3'!$V$3),"-1","-"))))</f>
        <v/>
      </c>
      <c r="J44" s="19" t="str">
        <f>IF(ISBLANK('Raw counts'!J45),"",IF('3'!J106&gt;='3'!$V$3,"+1",IF('3'!J106&gt;=0,"+",IF('3'!J106&lt;=(-1*'3'!$V$3),"-1","-"))))</f>
        <v/>
      </c>
      <c r="K44" s="19" t="str">
        <f>IF(ISBLANK('Raw counts'!K45),"",IF('3'!K106&gt;='3'!$V$3,"+1",IF('3'!K106&gt;=0,"+",IF('3'!K106&lt;=(-1*'3'!$V$3),"-1","-"))))</f>
        <v/>
      </c>
      <c r="L44" s="19" t="str">
        <f>IF(ISBLANK('Raw counts'!L45),"",IF('3'!L106&gt;='3'!$V$3,"+1",IF('3'!L106&gt;=0,"+",IF('3'!L106&lt;=(-1*'3'!$V$3),"-1","-"))))</f>
        <v/>
      </c>
      <c r="M44" s="19" t="str">
        <f>IF(ISBLANK('Raw counts'!M45),"",IF('3'!M106&gt;='3'!$V$3,"+1",IF('3'!M106&gt;=0,"+",IF('3'!M106&lt;=(-1*'3'!$V$3),"-1","-"))))</f>
        <v/>
      </c>
      <c r="N44" s="19" t="str">
        <f>IF(ISBLANK('Raw counts'!N45),"",IF('3'!N106&gt;='3'!$V$3,"+1",IF('3'!N106&gt;=0,"+",IF('3'!N106&lt;=(-1*'3'!$V$3),"-1","-"))))</f>
        <v/>
      </c>
      <c r="O44" s="19" t="str">
        <f>IF(ISBLANK('Raw counts'!O45),"",IF('3'!O106&gt;='3'!$V$3,"+1",IF('3'!O106&gt;=0,"+",IF('3'!O106&lt;=(-1*'3'!$V$3),"-1","-"))))</f>
        <v/>
      </c>
      <c r="P44" s="19" t="str">
        <f>IF(ISBLANK('Raw counts'!P45),"",IF('3'!P106&gt;='3'!$V$3,"+1",IF('3'!P106&gt;=0,"+",IF('3'!P106&lt;=(-1*'3'!$V$3),"-1","-"))))</f>
        <v/>
      </c>
      <c r="Q44" s="19" t="str">
        <f>IF(ISBLANK('Raw counts'!Q45),"",IF('3'!Q106&gt;='3'!$V$3,"+1",IF('3'!Q106&gt;=0,"+",IF('3'!Q106&lt;=(-1*'3'!$V$3),"-1","-"))))</f>
        <v/>
      </c>
      <c r="R44" s="19" t="str">
        <f>IF(ISBLANK('Raw counts'!R45),"",IF('3'!R106&gt;='3'!$V$3,"+1",IF('3'!R106&gt;=0,"+",IF('3'!R106&lt;=(-1*'3'!$V$3),"-1","-"))))</f>
        <v/>
      </c>
      <c r="S44" s="19" t="str">
        <f>IF(ISBLANK('Raw counts'!S45),"",IF('3'!S106&gt;='3'!$V$3,"+1",IF('3'!S106&gt;=0,"+",IF('3'!S106&lt;=(-1*'3'!$V$3),"-1","-"))))</f>
        <v/>
      </c>
      <c r="T44" s="19" t="str">
        <f>IF(ISBLANK('Raw counts'!T45),"",IF('3'!T106&gt;='3'!$V$3,"+1",IF('3'!T106&gt;=0,"+",IF('3'!T106&lt;=(-1*'3'!$V$3),"-1","-"))))</f>
        <v/>
      </c>
      <c r="U44" s="19" t="str">
        <f>IF(ISBLANK('Raw counts'!U45),"",IF('3'!U106&gt;='3'!$V$3,"+1",IF('3'!U106&gt;=0,"+",IF('3'!U106&lt;=(-1*'3'!$V$3),"-1","-"))))</f>
        <v/>
      </c>
    </row>
    <row r="45" spans="1:21" x14ac:dyDescent="0.15">
      <c r="A45" s="18" t="str">
        <f>IF(ISBLANK('Raw counts'!A46),"",'Raw counts'!A46)</f>
        <v>Attr42</v>
      </c>
      <c r="B45" s="19" t="str">
        <f>IF(ISBLANK('Raw counts'!B46),"",IF('3'!B107&gt;='3'!$V$3,"+1",IF('3'!B107&gt;=0,"+",IF('3'!B107&lt;=(-1*'3'!$V$3),"-1","-"))))</f>
        <v/>
      </c>
      <c r="C45" s="19" t="str">
        <f>IF(ISBLANK('Raw counts'!C46),"",IF('3'!C107&gt;='3'!$V$3,"+1",IF('3'!C107&gt;=0,"+",IF('3'!C107&lt;=(-1*'3'!$V$3),"-1","-"))))</f>
        <v/>
      </c>
      <c r="D45" s="19" t="str">
        <f>IF(ISBLANK('Raw counts'!D46),"",IF('3'!D107&gt;='3'!$V$3,"+1",IF('3'!D107&gt;=0,"+",IF('3'!D107&lt;=(-1*'3'!$V$3),"-1","-"))))</f>
        <v/>
      </c>
      <c r="E45" s="19" t="str">
        <f>IF(ISBLANK('Raw counts'!E46),"",IF('3'!E107&gt;='3'!$V$3,"+1",IF('3'!E107&gt;=0,"+",IF('3'!E107&lt;=(-1*'3'!$V$3),"-1","-"))))</f>
        <v/>
      </c>
      <c r="F45" s="19" t="str">
        <f>IF(ISBLANK('Raw counts'!F46),"",IF('3'!F107&gt;='3'!$V$3,"+1",IF('3'!F107&gt;=0,"+",IF('3'!F107&lt;=(-1*'3'!$V$3),"-1","-"))))</f>
        <v/>
      </c>
      <c r="G45" s="19" t="str">
        <f>IF(ISBLANK('Raw counts'!G46),"",IF('3'!G107&gt;='3'!$V$3,"+1",IF('3'!G107&gt;=0,"+",IF('3'!G107&lt;=(-1*'3'!$V$3),"-1","-"))))</f>
        <v/>
      </c>
      <c r="H45" s="19" t="str">
        <f>IF(ISBLANK('Raw counts'!H46),"",IF('3'!H107&gt;='3'!$V$3,"+1",IF('3'!H107&gt;=0,"+",IF('3'!H107&lt;=(-1*'3'!$V$3),"-1","-"))))</f>
        <v/>
      </c>
      <c r="I45" s="19" t="str">
        <f>IF(ISBLANK('Raw counts'!I46),"",IF('3'!I107&gt;='3'!$V$3,"+1",IF('3'!I107&gt;=0,"+",IF('3'!I107&lt;=(-1*'3'!$V$3),"-1","-"))))</f>
        <v/>
      </c>
      <c r="J45" s="19" t="str">
        <f>IF(ISBLANK('Raw counts'!J46),"",IF('3'!J107&gt;='3'!$V$3,"+1",IF('3'!J107&gt;=0,"+",IF('3'!J107&lt;=(-1*'3'!$V$3),"-1","-"))))</f>
        <v/>
      </c>
      <c r="K45" s="19" t="str">
        <f>IF(ISBLANK('Raw counts'!K46),"",IF('3'!K107&gt;='3'!$V$3,"+1",IF('3'!K107&gt;=0,"+",IF('3'!K107&lt;=(-1*'3'!$V$3),"-1","-"))))</f>
        <v/>
      </c>
      <c r="L45" s="19" t="str">
        <f>IF(ISBLANK('Raw counts'!L46),"",IF('3'!L107&gt;='3'!$V$3,"+1",IF('3'!L107&gt;=0,"+",IF('3'!L107&lt;=(-1*'3'!$V$3),"-1","-"))))</f>
        <v/>
      </c>
      <c r="M45" s="19" t="str">
        <f>IF(ISBLANK('Raw counts'!M46),"",IF('3'!M107&gt;='3'!$V$3,"+1",IF('3'!M107&gt;=0,"+",IF('3'!M107&lt;=(-1*'3'!$V$3),"-1","-"))))</f>
        <v/>
      </c>
      <c r="N45" s="19" t="str">
        <f>IF(ISBLANK('Raw counts'!N46),"",IF('3'!N107&gt;='3'!$V$3,"+1",IF('3'!N107&gt;=0,"+",IF('3'!N107&lt;=(-1*'3'!$V$3),"-1","-"))))</f>
        <v/>
      </c>
      <c r="O45" s="19" t="str">
        <f>IF(ISBLANK('Raw counts'!O46),"",IF('3'!O107&gt;='3'!$V$3,"+1",IF('3'!O107&gt;=0,"+",IF('3'!O107&lt;=(-1*'3'!$V$3),"-1","-"))))</f>
        <v/>
      </c>
      <c r="P45" s="19" t="str">
        <f>IF(ISBLANK('Raw counts'!P46),"",IF('3'!P107&gt;='3'!$V$3,"+1",IF('3'!P107&gt;=0,"+",IF('3'!P107&lt;=(-1*'3'!$V$3),"-1","-"))))</f>
        <v/>
      </c>
      <c r="Q45" s="19" t="str">
        <f>IF(ISBLANK('Raw counts'!Q46),"",IF('3'!Q107&gt;='3'!$V$3,"+1",IF('3'!Q107&gt;=0,"+",IF('3'!Q107&lt;=(-1*'3'!$V$3),"-1","-"))))</f>
        <v/>
      </c>
      <c r="R45" s="19" t="str">
        <f>IF(ISBLANK('Raw counts'!R46),"",IF('3'!R107&gt;='3'!$V$3,"+1",IF('3'!R107&gt;=0,"+",IF('3'!R107&lt;=(-1*'3'!$V$3),"-1","-"))))</f>
        <v/>
      </c>
      <c r="S45" s="19" t="str">
        <f>IF(ISBLANK('Raw counts'!S46),"",IF('3'!S107&gt;='3'!$V$3,"+1",IF('3'!S107&gt;=0,"+",IF('3'!S107&lt;=(-1*'3'!$V$3),"-1","-"))))</f>
        <v/>
      </c>
      <c r="T45" s="19" t="str">
        <f>IF(ISBLANK('Raw counts'!T46),"",IF('3'!T107&gt;='3'!$V$3,"+1",IF('3'!T107&gt;=0,"+",IF('3'!T107&lt;=(-1*'3'!$V$3),"-1","-"))))</f>
        <v/>
      </c>
      <c r="U45" s="19" t="str">
        <f>IF(ISBLANK('Raw counts'!U46),"",IF('3'!U107&gt;='3'!$V$3,"+1",IF('3'!U107&gt;=0,"+",IF('3'!U107&lt;=(-1*'3'!$V$3),"-1","-"))))</f>
        <v/>
      </c>
    </row>
    <row r="46" spans="1:21" x14ac:dyDescent="0.15">
      <c r="A46" s="18" t="str">
        <f>IF(ISBLANK('Raw counts'!A47),"",'Raw counts'!A47)</f>
        <v>Attr43</v>
      </c>
      <c r="B46" s="19" t="str">
        <f>IF(ISBLANK('Raw counts'!B47),"",IF('3'!B108&gt;='3'!$V$3,"+1",IF('3'!B108&gt;=0,"+",IF('3'!B108&lt;=(-1*'3'!$V$3),"-1","-"))))</f>
        <v/>
      </c>
      <c r="C46" s="19" t="str">
        <f>IF(ISBLANK('Raw counts'!C47),"",IF('3'!C108&gt;='3'!$V$3,"+1",IF('3'!C108&gt;=0,"+",IF('3'!C108&lt;=(-1*'3'!$V$3),"-1","-"))))</f>
        <v/>
      </c>
      <c r="D46" s="19" t="str">
        <f>IF(ISBLANK('Raw counts'!D47),"",IF('3'!D108&gt;='3'!$V$3,"+1",IF('3'!D108&gt;=0,"+",IF('3'!D108&lt;=(-1*'3'!$V$3),"-1","-"))))</f>
        <v/>
      </c>
      <c r="E46" s="19" t="str">
        <f>IF(ISBLANK('Raw counts'!E47),"",IF('3'!E108&gt;='3'!$V$3,"+1",IF('3'!E108&gt;=0,"+",IF('3'!E108&lt;=(-1*'3'!$V$3),"-1","-"))))</f>
        <v/>
      </c>
      <c r="F46" s="19" t="str">
        <f>IF(ISBLANK('Raw counts'!F47),"",IF('3'!F108&gt;='3'!$V$3,"+1",IF('3'!F108&gt;=0,"+",IF('3'!F108&lt;=(-1*'3'!$V$3),"-1","-"))))</f>
        <v/>
      </c>
      <c r="G46" s="19" t="str">
        <f>IF(ISBLANK('Raw counts'!G47),"",IF('3'!G108&gt;='3'!$V$3,"+1",IF('3'!G108&gt;=0,"+",IF('3'!G108&lt;=(-1*'3'!$V$3),"-1","-"))))</f>
        <v/>
      </c>
      <c r="H46" s="19" t="str">
        <f>IF(ISBLANK('Raw counts'!H47),"",IF('3'!H108&gt;='3'!$V$3,"+1",IF('3'!H108&gt;=0,"+",IF('3'!H108&lt;=(-1*'3'!$V$3),"-1","-"))))</f>
        <v/>
      </c>
      <c r="I46" s="19" t="str">
        <f>IF(ISBLANK('Raw counts'!I47),"",IF('3'!I108&gt;='3'!$V$3,"+1",IF('3'!I108&gt;=0,"+",IF('3'!I108&lt;=(-1*'3'!$V$3),"-1","-"))))</f>
        <v/>
      </c>
      <c r="J46" s="19" t="str">
        <f>IF(ISBLANK('Raw counts'!J47),"",IF('3'!J108&gt;='3'!$V$3,"+1",IF('3'!J108&gt;=0,"+",IF('3'!J108&lt;=(-1*'3'!$V$3),"-1","-"))))</f>
        <v/>
      </c>
      <c r="K46" s="19" t="str">
        <f>IF(ISBLANK('Raw counts'!K47),"",IF('3'!K108&gt;='3'!$V$3,"+1",IF('3'!K108&gt;=0,"+",IF('3'!K108&lt;=(-1*'3'!$V$3),"-1","-"))))</f>
        <v/>
      </c>
      <c r="L46" s="19" t="str">
        <f>IF(ISBLANK('Raw counts'!L47),"",IF('3'!L108&gt;='3'!$V$3,"+1",IF('3'!L108&gt;=0,"+",IF('3'!L108&lt;=(-1*'3'!$V$3),"-1","-"))))</f>
        <v/>
      </c>
      <c r="M46" s="19" t="str">
        <f>IF(ISBLANK('Raw counts'!M47),"",IF('3'!M108&gt;='3'!$V$3,"+1",IF('3'!M108&gt;=0,"+",IF('3'!M108&lt;=(-1*'3'!$V$3),"-1","-"))))</f>
        <v/>
      </c>
      <c r="N46" s="19" t="str">
        <f>IF(ISBLANK('Raw counts'!N47),"",IF('3'!N108&gt;='3'!$V$3,"+1",IF('3'!N108&gt;=0,"+",IF('3'!N108&lt;=(-1*'3'!$V$3),"-1","-"))))</f>
        <v/>
      </c>
      <c r="O46" s="19" t="str">
        <f>IF(ISBLANK('Raw counts'!O47),"",IF('3'!O108&gt;='3'!$V$3,"+1",IF('3'!O108&gt;=0,"+",IF('3'!O108&lt;=(-1*'3'!$V$3),"-1","-"))))</f>
        <v/>
      </c>
      <c r="P46" s="19" t="str">
        <f>IF(ISBLANK('Raw counts'!P47),"",IF('3'!P108&gt;='3'!$V$3,"+1",IF('3'!P108&gt;=0,"+",IF('3'!P108&lt;=(-1*'3'!$V$3),"-1","-"))))</f>
        <v/>
      </c>
      <c r="Q46" s="19" t="str">
        <f>IF(ISBLANK('Raw counts'!Q47),"",IF('3'!Q108&gt;='3'!$V$3,"+1",IF('3'!Q108&gt;=0,"+",IF('3'!Q108&lt;=(-1*'3'!$V$3),"-1","-"))))</f>
        <v/>
      </c>
      <c r="R46" s="19" t="str">
        <f>IF(ISBLANK('Raw counts'!R47),"",IF('3'!R108&gt;='3'!$V$3,"+1",IF('3'!R108&gt;=0,"+",IF('3'!R108&lt;=(-1*'3'!$V$3),"-1","-"))))</f>
        <v/>
      </c>
      <c r="S46" s="19" t="str">
        <f>IF(ISBLANK('Raw counts'!S47),"",IF('3'!S108&gt;='3'!$V$3,"+1",IF('3'!S108&gt;=0,"+",IF('3'!S108&lt;=(-1*'3'!$V$3),"-1","-"))))</f>
        <v/>
      </c>
      <c r="T46" s="19" t="str">
        <f>IF(ISBLANK('Raw counts'!T47),"",IF('3'!T108&gt;='3'!$V$3,"+1",IF('3'!T108&gt;=0,"+",IF('3'!T108&lt;=(-1*'3'!$V$3),"-1","-"))))</f>
        <v/>
      </c>
      <c r="U46" s="19" t="str">
        <f>IF(ISBLANK('Raw counts'!U47),"",IF('3'!U108&gt;='3'!$V$3,"+1",IF('3'!U108&gt;=0,"+",IF('3'!U108&lt;=(-1*'3'!$V$3),"-1","-"))))</f>
        <v/>
      </c>
    </row>
    <row r="47" spans="1:21" x14ac:dyDescent="0.15">
      <c r="A47" s="18" t="str">
        <f>IF(ISBLANK('Raw counts'!A48),"",'Raw counts'!A48)</f>
        <v>Attr44</v>
      </c>
      <c r="B47" s="19" t="str">
        <f>IF(ISBLANK('Raw counts'!B48),"",IF('3'!B109&gt;='3'!$V$3,"+1",IF('3'!B109&gt;=0,"+",IF('3'!B109&lt;=(-1*'3'!$V$3),"-1","-"))))</f>
        <v/>
      </c>
      <c r="C47" s="19" t="str">
        <f>IF(ISBLANK('Raw counts'!C48),"",IF('3'!C109&gt;='3'!$V$3,"+1",IF('3'!C109&gt;=0,"+",IF('3'!C109&lt;=(-1*'3'!$V$3),"-1","-"))))</f>
        <v/>
      </c>
      <c r="D47" s="19" t="str">
        <f>IF(ISBLANK('Raw counts'!D48),"",IF('3'!D109&gt;='3'!$V$3,"+1",IF('3'!D109&gt;=0,"+",IF('3'!D109&lt;=(-1*'3'!$V$3),"-1","-"))))</f>
        <v/>
      </c>
      <c r="E47" s="19" t="str">
        <f>IF(ISBLANK('Raw counts'!E48),"",IF('3'!E109&gt;='3'!$V$3,"+1",IF('3'!E109&gt;=0,"+",IF('3'!E109&lt;=(-1*'3'!$V$3),"-1","-"))))</f>
        <v/>
      </c>
      <c r="F47" s="19" t="str">
        <f>IF(ISBLANK('Raw counts'!F48),"",IF('3'!F109&gt;='3'!$V$3,"+1",IF('3'!F109&gt;=0,"+",IF('3'!F109&lt;=(-1*'3'!$V$3),"-1","-"))))</f>
        <v/>
      </c>
      <c r="G47" s="19" t="str">
        <f>IF(ISBLANK('Raw counts'!G48),"",IF('3'!G109&gt;='3'!$V$3,"+1",IF('3'!G109&gt;=0,"+",IF('3'!G109&lt;=(-1*'3'!$V$3),"-1","-"))))</f>
        <v/>
      </c>
      <c r="H47" s="19" t="str">
        <f>IF(ISBLANK('Raw counts'!H48),"",IF('3'!H109&gt;='3'!$V$3,"+1",IF('3'!H109&gt;=0,"+",IF('3'!H109&lt;=(-1*'3'!$V$3),"-1","-"))))</f>
        <v/>
      </c>
      <c r="I47" s="19" t="str">
        <f>IF(ISBLANK('Raw counts'!I48),"",IF('3'!I109&gt;='3'!$V$3,"+1",IF('3'!I109&gt;=0,"+",IF('3'!I109&lt;=(-1*'3'!$V$3),"-1","-"))))</f>
        <v/>
      </c>
      <c r="J47" s="19" t="str">
        <f>IF(ISBLANK('Raw counts'!J48),"",IF('3'!J109&gt;='3'!$V$3,"+1",IF('3'!J109&gt;=0,"+",IF('3'!J109&lt;=(-1*'3'!$V$3),"-1","-"))))</f>
        <v/>
      </c>
      <c r="K47" s="19" t="str">
        <f>IF(ISBLANK('Raw counts'!K48),"",IF('3'!K109&gt;='3'!$V$3,"+1",IF('3'!K109&gt;=0,"+",IF('3'!K109&lt;=(-1*'3'!$V$3),"-1","-"))))</f>
        <v/>
      </c>
      <c r="L47" s="19" t="str">
        <f>IF(ISBLANK('Raw counts'!L48),"",IF('3'!L109&gt;='3'!$V$3,"+1",IF('3'!L109&gt;=0,"+",IF('3'!L109&lt;=(-1*'3'!$V$3),"-1","-"))))</f>
        <v/>
      </c>
      <c r="M47" s="19" t="str">
        <f>IF(ISBLANK('Raw counts'!M48),"",IF('3'!M109&gt;='3'!$V$3,"+1",IF('3'!M109&gt;=0,"+",IF('3'!M109&lt;=(-1*'3'!$V$3),"-1","-"))))</f>
        <v/>
      </c>
      <c r="N47" s="19" t="str">
        <f>IF(ISBLANK('Raw counts'!N48),"",IF('3'!N109&gt;='3'!$V$3,"+1",IF('3'!N109&gt;=0,"+",IF('3'!N109&lt;=(-1*'3'!$V$3),"-1","-"))))</f>
        <v/>
      </c>
      <c r="O47" s="19" t="str">
        <f>IF(ISBLANK('Raw counts'!O48),"",IF('3'!O109&gt;='3'!$V$3,"+1",IF('3'!O109&gt;=0,"+",IF('3'!O109&lt;=(-1*'3'!$V$3),"-1","-"))))</f>
        <v/>
      </c>
      <c r="P47" s="19" t="str">
        <f>IF(ISBLANK('Raw counts'!P48),"",IF('3'!P109&gt;='3'!$V$3,"+1",IF('3'!P109&gt;=0,"+",IF('3'!P109&lt;=(-1*'3'!$V$3),"-1","-"))))</f>
        <v/>
      </c>
      <c r="Q47" s="19" t="str">
        <f>IF(ISBLANK('Raw counts'!Q48),"",IF('3'!Q109&gt;='3'!$V$3,"+1",IF('3'!Q109&gt;=0,"+",IF('3'!Q109&lt;=(-1*'3'!$V$3),"-1","-"))))</f>
        <v/>
      </c>
      <c r="R47" s="19" t="str">
        <f>IF(ISBLANK('Raw counts'!R48),"",IF('3'!R109&gt;='3'!$V$3,"+1",IF('3'!R109&gt;=0,"+",IF('3'!R109&lt;=(-1*'3'!$V$3),"-1","-"))))</f>
        <v/>
      </c>
      <c r="S47" s="19" t="str">
        <f>IF(ISBLANK('Raw counts'!S48),"",IF('3'!S109&gt;='3'!$V$3,"+1",IF('3'!S109&gt;=0,"+",IF('3'!S109&lt;=(-1*'3'!$V$3),"-1","-"))))</f>
        <v/>
      </c>
      <c r="T47" s="19" t="str">
        <f>IF(ISBLANK('Raw counts'!T48),"",IF('3'!T109&gt;='3'!$V$3,"+1",IF('3'!T109&gt;=0,"+",IF('3'!T109&lt;=(-1*'3'!$V$3),"-1","-"))))</f>
        <v/>
      </c>
      <c r="U47" s="19" t="str">
        <f>IF(ISBLANK('Raw counts'!U48),"",IF('3'!U109&gt;='3'!$V$3,"+1",IF('3'!U109&gt;=0,"+",IF('3'!U109&lt;=(-1*'3'!$V$3),"-1","-"))))</f>
        <v/>
      </c>
    </row>
    <row r="48" spans="1:21" x14ac:dyDescent="0.15">
      <c r="A48" s="18" t="str">
        <f>IF(ISBLANK('Raw counts'!A49),"",'Raw counts'!A49)</f>
        <v>Attr45</v>
      </c>
      <c r="B48" s="19" t="str">
        <f>IF(ISBLANK('Raw counts'!B49),"",IF('3'!B110&gt;='3'!$V$3,"+1",IF('3'!B110&gt;=0,"+",IF('3'!B110&lt;=(-1*'3'!$V$3),"-1","-"))))</f>
        <v/>
      </c>
      <c r="C48" s="19" t="str">
        <f>IF(ISBLANK('Raw counts'!C49),"",IF('3'!C110&gt;='3'!$V$3,"+1",IF('3'!C110&gt;=0,"+",IF('3'!C110&lt;=(-1*'3'!$V$3),"-1","-"))))</f>
        <v/>
      </c>
      <c r="D48" s="19" t="str">
        <f>IF(ISBLANK('Raw counts'!D49),"",IF('3'!D110&gt;='3'!$V$3,"+1",IF('3'!D110&gt;=0,"+",IF('3'!D110&lt;=(-1*'3'!$V$3),"-1","-"))))</f>
        <v/>
      </c>
      <c r="E48" s="19" t="str">
        <f>IF(ISBLANK('Raw counts'!E49),"",IF('3'!E110&gt;='3'!$V$3,"+1",IF('3'!E110&gt;=0,"+",IF('3'!E110&lt;=(-1*'3'!$V$3),"-1","-"))))</f>
        <v/>
      </c>
      <c r="F48" s="19" t="str">
        <f>IF(ISBLANK('Raw counts'!F49),"",IF('3'!F110&gt;='3'!$V$3,"+1",IF('3'!F110&gt;=0,"+",IF('3'!F110&lt;=(-1*'3'!$V$3),"-1","-"))))</f>
        <v/>
      </c>
      <c r="G48" s="19" t="str">
        <f>IF(ISBLANK('Raw counts'!G49),"",IF('3'!G110&gt;='3'!$V$3,"+1",IF('3'!G110&gt;=0,"+",IF('3'!G110&lt;=(-1*'3'!$V$3),"-1","-"))))</f>
        <v/>
      </c>
      <c r="H48" s="19" t="str">
        <f>IF(ISBLANK('Raw counts'!H49),"",IF('3'!H110&gt;='3'!$V$3,"+1",IF('3'!H110&gt;=0,"+",IF('3'!H110&lt;=(-1*'3'!$V$3),"-1","-"))))</f>
        <v/>
      </c>
      <c r="I48" s="19" t="str">
        <f>IF(ISBLANK('Raw counts'!I49),"",IF('3'!I110&gt;='3'!$V$3,"+1",IF('3'!I110&gt;=0,"+",IF('3'!I110&lt;=(-1*'3'!$V$3),"-1","-"))))</f>
        <v/>
      </c>
      <c r="J48" s="19" t="str">
        <f>IF(ISBLANK('Raw counts'!J49),"",IF('3'!J110&gt;='3'!$V$3,"+1",IF('3'!J110&gt;=0,"+",IF('3'!J110&lt;=(-1*'3'!$V$3),"-1","-"))))</f>
        <v/>
      </c>
      <c r="K48" s="19" t="str">
        <f>IF(ISBLANK('Raw counts'!K49),"",IF('3'!K110&gt;='3'!$V$3,"+1",IF('3'!K110&gt;=0,"+",IF('3'!K110&lt;=(-1*'3'!$V$3),"-1","-"))))</f>
        <v/>
      </c>
      <c r="L48" s="19" t="str">
        <f>IF(ISBLANK('Raw counts'!L49),"",IF('3'!L110&gt;='3'!$V$3,"+1",IF('3'!L110&gt;=0,"+",IF('3'!L110&lt;=(-1*'3'!$V$3),"-1","-"))))</f>
        <v/>
      </c>
      <c r="M48" s="19" t="str">
        <f>IF(ISBLANK('Raw counts'!M49),"",IF('3'!M110&gt;='3'!$V$3,"+1",IF('3'!M110&gt;=0,"+",IF('3'!M110&lt;=(-1*'3'!$V$3),"-1","-"))))</f>
        <v/>
      </c>
      <c r="N48" s="19" t="str">
        <f>IF(ISBLANK('Raw counts'!N49),"",IF('3'!N110&gt;='3'!$V$3,"+1",IF('3'!N110&gt;=0,"+",IF('3'!N110&lt;=(-1*'3'!$V$3),"-1","-"))))</f>
        <v/>
      </c>
      <c r="O48" s="19" t="str">
        <f>IF(ISBLANK('Raw counts'!O49),"",IF('3'!O110&gt;='3'!$V$3,"+1",IF('3'!O110&gt;=0,"+",IF('3'!O110&lt;=(-1*'3'!$V$3),"-1","-"))))</f>
        <v/>
      </c>
      <c r="P48" s="19" t="str">
        <f>IF(ISBLANK('Raw counts'!P49),"",IF('3'!P110&gt;='3'!$V$3,"+1",IF('3'!P110&gt;=0,"+",IF('3'!P110&lt;=(-1*'3'!$V$3),"-1","-"))))</f>
        <v/>
      </c>
      <c r="Q48" s="19" t="str">
        <f>IF(ISBLANK('Raw counts'!Q49),"",IF('3'!Q110&gt;='3'!$V$3,"+1",IF('3'!Q110&gt;=0,"+",IF('3'!Q110&lt;=(-1*'3'!$V$3),"-1","-"))))</f>
        <v/>
      </c>
      <c r="R48" s="19" t="str">
        <f>IF(ISBLANK('Raw counts'!R49),"",IF('3'!R110&gt;='3'!$V$3,"+1",IF('3'!R110&gt;=0,"+",IF('3'!R110&lt;=(-1*'3'!$V$3),"-1","-"))))</f>
        <v/>
      </c>
      <c r="S48" s="19" t="str">
        <f>IF(ISBLANK('Raw counts'!S49),"",IF('3'!S110&gt;='3'!$V$3,"+1",IF('3'!S110&gt;=0,"+",IF('3'!S110&lt;=(-1*'3'!$V$3),"-1","-"))))</f>
        <v/>
      </c>
      <c r="T48" s="19" t="str">
        <f>IF(ISBLANK('Raw counts'!T49),"",IF('3'!T110&gt;='3'!$V$3,"+1",IF('3'!T110&gt;=0,"+",IF('3'!T110&lt;=(-1*'3'!$V$3),"-1","-"))))</f>
        <v/>
      </c>
      <c r="U48" s="19" t="str">
        <f>IF(ISBLANK('Raw counts'!U49),"",IF('3'!U110&gt;='3'!$V$3,"+1",IF('3'!U110&gt;=0,"+",IF('3'!U110&lt;=(-1*'3'!$V$3),"-1","-"))))</f>
        <v/>
      </c>
    </row>
    <row r="49" spans="1:21" x14ac:dyDescent="0.15">
      <c r="A49" s="18" t="str">
        <f>IF(ISBLANK('Raw counts'!A50),"",'Raw counts'!A50)</f>
        <v>Attr46</v>
      </c>
      <c r="B49" s="19" t="str">
        <f>IF(ISBLANK('Raw counts'!B50),"",IF('3'!B111&gt;='3'!$V$3,"+1",IF('3'!B111&gt;=0,"+",IF('3'!B111&lt;=(-1*'3'!$V$3),"-1","-"))))</f>
        <v/>
      </c>
      <c r="C49" s="19" t="str">
        <f>IF(ISBLANK('Raw counts'!C50),"",IF('3'!C111&gt;='3'!$V$3,"+1",IF('3'!C111&gt;=0,"+",IF('3'!C111&lt;=(-1*'3'!$V$3),"-1","-"))))</f>
        <v/>
      </c>
      <c r="D49" s="19" t="str">
        <f>IF(ISBLANK('Raw counts'!D50),"",IF('3'!D111&gt;='3'!$V$3,"+1",IF('3'!D111&gt;=0,"+",IF('3'!D111&lt;=(-1*'3'!$V$3),"-1","-"))))</f>
        <v/>
      </c>
      <c r="E49" s="19" t="str">
        <f>IF(ISBLANK('Raw counts'!E50),"",IF('3'!E111&gt;='3'!$V$3,"+1",IF('3'!E111&gt;=0,"+",IF('3'!E111&lt;=(-1*'3'!$V$3),"-1","-"))))</f>
        <v/>
      </c>
      <c r="F49" s="19" t="str">
        <f>IF(ISBLANK('Raw counts'!F50),"",IF('3'!F111&gt;='3'!$V$3,"+1",IF('3'!F111&gt;=0,"+",IF('3'!F111&lt;=(-1*'3'!$V$3),"-1","-"))))</f>
        <v/>
      </c>
      <c r="G49" s="19" t="str">
        <f>IF(ISBLANK('Raw counts'!G50),"",IF('3'!G111&gt;='3'!$V$3,"+1",IF('3'!G111&gt;=0,"+",IF('3'!G111&lt;=(-1*'3'!$V$3),"-1","-"))))</f>
        <v/>
      </c>
      <c r="H49" s="19" t="str">
        <f>IF(ISBLANK('Raw counts'!H50),"",IF('3'!H111&gt;='3'!$V$3,"+1",IF('3'!H111&gt;=0,"+",IF('3'!H111&lt;=(-1*'3'!$V$3),"-1","-"))))</f>
        <v/>
      </c>
      <c r="I49" s="19" t="str">
        <f>IF(ISBLANK('Raw counts'!I50),"",IF('3'!I111&gt;='3'!$V$3,"+1",IF('3'!I111&gt;=0,"+",IF('3'!I111&lt;=(-1*'3'!$V$3),"-1","-"))))</f>
        <v/>
      </c>
      <c r="J49" s="19" t="str">
        <f>IF(ISBLANK('Raw counts'!J50),"",IF('3'!J111&gt;='3'!$V$3,"+1",IF('3'!J111&gt;=0,"+",IF('3'!J111&lt;=(-1*'3'!$V$3),"-1","-"))))</f>
        <v/>
      </c>
      <c r="K49" s="19" t="str">
        <f>IF(ISBLANK('Raw counts'!K50),"",IF('3'!K111&gt;='3'!$V$3,"+1",IF('3'!K111&gt;=0,"+",IF('3'!K111&lt;=(-1*'3'!$V$3),"-1","-"))))</f>
        <v/>
      </c>
      <c r="L49" s="19" t="str">
        <f>IF(ISBLANK('Raw counts'!L50),"",IF('3'!L111&gt;='3'!$V$3,"+1",IF('3'!L111&gt;=0,"+",IF('3'!L111&lt;=(-1*'3'!$V$3),"-1","-"))))</f>
        <v/>
      </c>
      <c r="M49" s="19" t="str">
        <f>IF(ISBLANK('Raw counts'!M50),"",IF('3'!M111&gt;='3'!$V$3,"+1",IF('3'!M111&gt;=0,"+",IF('3'!M111&lt;=(-1*'3'!$V$3),"-1","-"))))</f>
        <v/>
      </c>
      <c r="N49" s="19" t="str">
        <f>IF(ISBLANK('Raw counts'!N50),"",IF('3'!N111&gt;='3'!$V$3,"+1",IF('3'!N111&gt;=0,"+",IF('3'!N111&lt;=(-1*'3'!$V$3),"-1","-"))))</f>
        <v/>
      </c>
      <c r="O49" s="19" t="str">
        <f>IF(ISBLANK('Raw counts'!O50),"",IF('3'!O111&gt;='3'!$V$3,"+1",IF('3'!O111&gt;=0,"+",IF('3'!O111&lt;=(-1*'3'!$V$3),"-1","-"))))</f>
        <v/>
      </c>
      <c r="P49" s="19" t="str">
        <f>IF(ISBLANK('Raw counts'!P50),"",IF('3'!P111&gt;='3'!$V$3,"+1",IF('3'!P111&gt;=0,"+",IF('3'!P111&lt;=(-1*'3'!$V$3),"-1","-"))))</f>
        <v/>
      </c>
      <c r="Q49" s="19" t="str">
        <f>IF(ISBLANK('Raw counts'!Q50),"",IF('3'!Q111&gt;='3'!$V$3,"+1",IF('3'!Q111&gt;=0,"+",IF('3'!Q111&lt;=(-1*'3'!$V$3),"-1","-"))))</f>
        <v/>
      </c>
      <c r="R49" s="19" t="str">
        <f>IF(ISBLANK('Raw counts'!R50),"",IF('3'!R111&gt;='3'!$V$3,"+1",IF('3'!R111&gt;=0,"+",IF('3'!R111&lt;=(-1*'3'!$V$3),"-1","-"))))</f>
        <v/>
      </c>
      <c r="S49" s="19" t="str">
        <f>IF(ISBLANK('Raw counts'!S50),"",IF('3'!S111&gt;='3'!$V$3,"+1",IF('3'!S111&gt;=0,"+",IF('3'!S111&lt;=(-1*'3'!$V$3),"-1","-"))))</f>
        <v/>
      </c>
      <c r="T49" s="19" t="str">
        <f>IF(ISBLANK('Raw counts'!T50),"",IF('3'!T111&gt;='3'!$V$3,"+1",IF('3'!T111&gt;=0,"+",IF('3'!T111&lt;=(-1*'3'!$V$3),"-1","-"))))</f>
        <v/>
      </c>
      <c r="U49" s="19" t="str">
        <f>IF(ISBLANK('Raw counts'!U50),"",IF('3'!U111&gt;='3'!$V$3,"+1",IF('3'!U111&gt;=0,"+",IF('3'!U111&lt;=(-1*'3'!$V$3),"-1","-"))))</f>
        <v/>
      </c>
    </row>
    <row r="50" spans="1:21" x14ac:dyDescent="0.15">
      <c r="A50" s="18" t="str">
        <f>IF(ISBLANK('Raw counts'!A51),"",'Raw counts'!A51)</f>
        <v>Attr47</v>
      </c>
      <c r="B50" s="19" t="str">
        <f>IF(ISBLANK('Raw counts'!B51),"",IF('3'!B112&gt;='3'!$V$3,"+1",IF('3'!B112&gt;=0,"+",IF('3'!B112&lt;=(-1*'3'!$V$3),"-1","-"))))</f>
        <v/>
      </c>
      <c r="C50" s="19" t="str">
        <f>IF(ISBLANK('Raw counts'!C51),"",IF('3'!C112&gt;='3'!$V$3,"+1",IF('3'!C112&gt;=0,"+",IF('3'!C112&lt;=(-1*'3'!$V$3),"-1","-"))))</f>
        <v/>
      </c>
      <c r="D50" s="19" t="str">
        <f>IF(ISBLANK('Raw counts'!D51),"",IF('3'!D112&gt;='3'!$V$3,"+1",IF('3'!D112&gt;=0,"+",IF('3'!D112&lt;=(-1*'3'!$V$3),"-1","-"))))</f>
        <v/>
      </c>
      <c r="E50" s="19" t="str">
        <f>IF(ISBLANK('Raw counts'!E51),"",IF('3'!E112&gt;='3'!$V$3,"+1",IF('3'!E112&gt;=0,"+",IF('3'!E112&lt;=(-1*'3'!$V$3),"-1","-"))))</f>
        <v/>
      </c>
      <c r="F50" s="19" t="str">
        <f>IF(ISBLANK('Raw counts'!F51),"",IF('3'!F112&gt;='3'!$V$3,"+1",IF('3'!F112&gt;=0,"+",IF('3'!F112&lt;=(-1*'3'!$V$3),"-1","-"))))</f>
        <v/>
      </c>
      <c r="G50" s="19" t="str">
        <f>IF(ISBLANK('Raw counts'!G51),"",IF('3'!G112&gt;='3'!$V$3,"+1",IF('3'!G112&gt;=0,"+",IF('3'!G112&lt;=(-1*'3'!$V$3),"-1","-"))))</f>
        <v/>
      </c>
      <c r="H50" s="19" t="str">
        <f>IF(ISBLANK('Raw counts'!H51),"",IF('3'!H112&gt;='3'!$V$3,"+1",IF('3'!H112&gt;=0,"+",IF('3'!H112&lt;=(-1*'3'!$V$3),"-1","-"))))</f>
        <v/>
      </c>
      <c r="I50" s="19" t="str">
        <f>IF(ISBLANK('Raw counts'!I51),"",IF('3'!I112&gt;='3'!$V$3,"+1",IF('3'!I112&gt;=0,"+",IF('3'!I112&lt;=(-1*'3'!$V$3),"-1","-"))))</f>
        <v/>
      </c>
      <c r="J50" s="19" t="str">
        <f>IF(ISBLANK('Raw counts'!J51),"",IF('3'!J112&gt;='3'!$V$3,"+1",IF('3'!J112&gt;=0,"+",IF('3'!J112&lt;=(-1*'3'!$V$3),"-1","-"))))</f>
        <v/>
      </c>
      <c r="K50" s="19" t="str">
        <f>IF(ISBLANK('Raw counts'!K51),"",IF('3'!K112&gt;='3'!$V$3,"+1",IF('3'!K112&gt;=0,"+",IF('3'!K112&lt;=(-1*'3'!$V$3),"-1","-"))))</f>
        <v/>
      </c>
      <c r="L50" s="19" t="str">
        <f>IF(ISBLANK('Raw counts'!L51),"",IF('3'!L112&gt;='3'!$V$3,"+1",IF('3'!L112&gt;=0,"+",IF('3'!L112&lt;=(-1*'3'!$V$3),"-1","-"))))</f>
        <v/>
      </c>
      <c r="M50" s="19" t="str">
        <f>IF(ISBLANK('Raw counts'!M51),"",IF('3'!M112&gt;='3'!$V$3,"+1",IF('3'!M112&gt;=0,"+",IF('3'!M112&lt;=(-1*'3'!$V$3),"-1","-"))))</f>
        <v/>
      </c>
      <c r="N50" s="19" t="str">
        <f>IF(ISBLANK('Raw counts'!N51),"",IF('3'!N112&gt;='3'!$V$3,"+1",IF('3'!N112&gt;=0,"+",IF('3'!N112&lt;=(-1*'3'!$V$3),"-1","-"))))</f>
        <v/>
      </c>
      <c r="O50" s="19" t="str">
        <f>IF(ISBLANK('Raw counts'!O51),"",IF('3'!O112&gt;='3'!$V$3,"+1",IF('3'!O112&gt;=0,"+",IF('3'!O112&lt;=(-1*'3'!$V$3),"-1","-"))))</f>
        <v/>
      </c>
      <c r="P50" s="19" t="str">
        <f>IF(ISBLANK('Raw counts'!P51),"",IF('3'!P112&gt;='3'!$V$3,"+1",IF('3'!P112&gt;=0,"+",IF('3'!P112&lt;=(-1*'3'!$V$3),"-1","-"))))</f>
        <v/>
      </c>
      <c r="Q50" s="19" t="str">
        <f>IF(ISBLANK('Raw counts'!Q51),"",IF('3'!Q112&gt;='3'!$V$3,"+1",IF('3'!Q112&gt;=0,"+",IF('3'!Q112&lt;=(-1*'3'!$V$3),"-1","-"))))</f>
        <v/>
      </c>
      <c r="R50" s="19" t="str">
        <f>IF(ISBLANK('Raw counts'!R51),"",IF('3'!R112&gt;='3'!$V$3,"+1",IF('3'!R112&gt;=0,"+",IF('3'!R112&lt;=(-1*'3'!$V$3),"-1","-"))))</f>
        <v/>
      </c>
      <c r="S50" s="19" t="str">
        <f>IF(ISBLANK('Raw counts'!S51),"",IF('3'!S112&gt;='3'!$V$3,"+1",IF('3'!S112&gt;=0,"+",IF('3'!S112&lt;=(-1*'3'!$V$3),"-1","-"))))</f>
        <v/>
      </c>
      <c r="T50" s="19" t="str">
        <f>IF(ISBLANK('Raw counts'!T51),"",IF('3'!T112&gt;='3'!$V$3,"+1",IF('3'!T112&gt;=0,"+",IF('3'!T112&lt;=(-1*'3'!$V$3),"-1","-"))))</f>
        <v/>
      </c>
      <c r="U50" s="19" t="str">
        <f>IF(ISBLANK('Raw counts'!U51),"",IF('3'!U112&gt;='3'!$V$3,"+1",IF('3'!U112&gt;=0,"+",IF('3'!U112&lt;=(-1*'3'!$V$3),"-1","-"))))</f>
        <v/>
      </c>
    </row>
    <row r="51" spans="1:21" x14ac:dyDescent="0.15">
      <c r="A51" s="18" t="str">
        <f>IF(ISBLANK('Raw counts'!A52),"",'Raw counts'!A52)</f>
        <v>Attr48</v>
      </c>
      <c r="B51" s="19" t="str">
        <f>IF(ISBLANK('Raw counts'!B52),"",IF('3'!B113&gt;='3'!$V$3,"+1",IF('3'!B113&gt;=0,"+",IF('3'!B113&lt;=(-1*'3'!$V$3),"-1","-"))))</f>
        <v/>
      </c>
      <c r="C51" s="19" t="str">
        <f>IF(ISBLANK('Raw counts'!C52),"",IF('3'!C113&gt;='3'!$V$3,"+1",IF('3'!C113&gt;=0,"+",IF('3'!C113&lt;=(-1*'3'!$V$3),"-1","-"))))</f>
        <v/>
      </c>
      <c r="D51" s="19" t="str">
        <f>IF(ISBLANK('Raw counts'!D52),"",IF('3'!D113&gt;='3'!$V$3,"+1",IF('3'!D113&gt;=0,"+",IF('3'!D113&lt;=(-1*'3'!$V$3),"-1","-"))))</f>
        <v/>
      </c>
      <c r="E51" s="19" t="str">
        <f>IF(ISBLANK('Raw counts'!E52),"",IF('3'!E113&gt;='3'!$V$3,"+1",IF('3'!E113&gt;=0,"+",IF('3'!E113&lt;=(-1*'3'!$V$3),"-1","-"))))</f>
        <v/>
      </c>
      <c r="F51" s="19" t="str">
        <f>IF(ISBLANK('Raw counts'!F52),"",IF('3'!F113&gt;='3'!$V$3,"+1",IF('3'!F113&gt;=0,"+",IF('3'!F113&lt;=(-1*'3'!$V$3),"-1","-"))))</f>
        <v/>
      </c>
      <c r="G51" s="19" t="str">
        <f>IF(ISBLANK('Raw counts'!G52),"",IF('3'!G113&gt;='3'!$V$3,"+1",IF('3'!G113&gt;=0,"+",IF('3'!G113&lt;=(-1*'3'!$V$3),"-1","-"))))</f>
        <v/>
      </c>
      <c r="H51" s="19" t="str">
        <f>IF(ISBLANK('Raw counts'!H52),"",IF('3'!H113&gt;='3'!$V$3,"+1",IF('3'!H113&gt;=0,"+",IF('3'!H113&lt;=(-1*'3'!$V$3),"-1","-"))))</f>
        <v/>
      </c>
      <c r="I51" s="19" t="str">
        <f>IF(ISBLANK('Raw counts'!I52),"",IF('3'!I113&gt;='3'!$V$3,"+1",IF('3'!I113&gt;=0,"+",IF('3'!I113&lt;=(-1*'3'!$V$3),"-1","-"))))</f>
        <v/>
      </c>
      <c r="J51" s="19" t="str">
        <f>IF(ISBLANK('Raw counts'!J52),"",IF('3'!J113&gt;='3'!$V$3,"+1",IF('3'!J113&gt;=0,"+",IF('3'!J113&lt;=(-1*'3'!$V$3),"-1","-"))))</f>
        <v/>
      </c>
      <c r="K51" s="19" t="str">
        <f>IF(ISBLANK('Raw counts'!K52),"",IF('3'!K113&gt;='3'!$V$3,"+1",IF('3'!K113&gt;=0,"+",IF('3'!K113&lt;=(-1*'3'!$V$3),"-1","-"))))</f>
        <v/>
      </c>
      <c r="L51" s="19" t="str">
        <f>IF(ISBLANK('Raw counts'!L52),"",IF('3'!L113&gt;='3'!$V$3,"+1",IF('3'!L113&gt;=0,"+",IF('3'!L113&lt;=(-1*'3'!$V$3),"-1","-"))))</f>
        <v/>
      </c>
      <c r="M51" s="19" t="str">
        <f>IF(ISBLANK('Raw counts'!M52),"",IF('3'!M113&gt;='3'!$V$3,"+1",IF('3'!M113&gt;=0,"+",IF('3'!M113&lt;=(-1*'3'!$V$3),"-1","-"))))</f>
        <v/>
      </c>
      <c r="N51" s="19" t="str">
        <f>IF(ISBLANK('Raw counts'!N52),"",IF('3'!N113&gt;='3'!$V$3,"+1",IF('3'!N113&gt;=0,"+",IF('3'!N113&lt;=(-1*'3'!$V$3),"-1","-"))))</f>
        <v/>
      </c>
      <c r="O51" s="19" t="str">
        <f>IF(ISBLANK('Raw counts'!O52),"",IF('3'!O113&gt;='3'!$V$3,"+1",IF('3'!O113&gt;=0,"+",IF('3'!O113&lt;=(-1*'3'!$V$3),"-1","-"))))</f>
        <v/>
      </c>
      <c r="P51" s="19" t="str">
        <f>IF(ISBLANK('Raw counts'!P52),"",IF('3'!P113&gt;='3'!$V$3,"+1",IF('3'!P113&gt;=0,"+",IF('3'!P113&lt;=(-1*'3'!$V$3),"-1","-"))))</f>
        <v/>
      </c>
      <c r="Q51" s="19" t="str">
        <f>IF(ISBLANK('Raw counts'!Q52),"",IF('3'!Q113&gt;='3'!$V$3,"+1",IF('3'!Q113&gt;=0,"+",IF('3'!Q113&lt;=(-1*'3'!$V$3),"-1","-"))))</f>
        <v/>
      </c>
      <c r="R51" s="19" t="str">
        <f>IF(ISBLANK('Raw counts'!R52),"",IF('3'!R113&gt;='3'!$V$3,"+1",IF('3'!R113&gt;=0,"+",IF('3'!R113&lt;=(-1*'3'!$V$3),"-1","-"))))</f>
        <v/>
      </c>
      <c r="S51" s="19" t="str">
        <f>IF(ISBLANK('Raw counts'!S52),"",IF('3'!S113&gt;='3'!$V$3,"+1",IF('3'!S113&gt;=0,"+",IF('3'!S113&lt;=(-1*'3'!$V$3),"-1","-"))))</f>
        <v/>
      </c>
      <c r="T51" s="19" t="str">
        <f>IF(ISBLANK('Raw counts'!T52),"",IF('3'!T113&gt;='3'!$V$3,"+1",IF('3'!T113&gt;=0,"+",IF('3'!T113&lt;=(-1*'3'!$V$3),"-1","-"))))</f>
        <v/>
      </c>
      <c r="U51" s="19" t="str">
        <f>IF(ISBLANK('Raw counts'!U52),"",IF('3'!U113&gt;='3'!$V$3,"+1",IF('3'!U113&gt;=0,"+",IF('3'!U113&lt;=(-1*'3'!$V$3),"-1","-"))))</f>
        <v/>
      </c>
    </row>
    <row r="52" spans="1:21" x14ac:dyDescent="0.15">
      <c r="A52" s="18" t="str">
        <f>IF(ISBLANK('Raw counts'!A53),"",'Raw counts'!A53)</f>
        <v>Attr49</v>
      </c>
      <c r="B52" s="19" t="str">
        <f>IF(ISBLANK('Raw counts'!B53),"",IF('3'!B114&gt;='3'!$V$3,"+1",IF('3'!B114&gt;=0,"+",IF('3'!B114&lt;=(-1*'3'!$V$3),"-1","-"))))</f>
        <v/>
      </c>
      <c r="C52" s="19" t="str">
        <f>IF(ISBLANK('Raw counts'!C53),"",IF('3'!C114&gt;='3'!$V$3,"+1",IF('3'!C114&gt;=0,"+",IF('3'!C114&lt;=(-1*'3'!$V$3),"-1","-"))))</f>
        <v/>
      </c>
      <c r="D52" s="19" t="str">
        <f>IF(ISBLANK('Raw counts'!D53),"",IF('3'!D114&gt;='3'!$V$3,"+1",IF('3'!D114&gt;=0,"+",IF('3'!D114&lt;=(-1*'3'!$V$3),"-1","-"))))</f>
        <v/>
      </c>
      <c r="E52" s="19" t="str">
        <f>IF(ISBLANK('Raw counts'!E53),"",IF('3'!E114&gt;='3'!$V$3,"+1",IF('3'!E114&gt;=0,"+",IF('3'!E114&lt;=(-1*'3'!$V$3),"-1","-"))))</f>
        <v/>
      </c>
      <c r="F52" s="19" t="str">
        <f>IF(ISBLANK('Raw counts'!F53),"",IF('3'!F114&gt;='3'!$V$3,"+1",IF('3'!F114&gt;=0,"+",IF('3'!F114&lt;=(-1*'3'!$V$3),"-1","-"))))</f>
        <v/>
      </c>
      <c r="G52" s="19" t="str">
        <f>IF(ISBLANK('Raw counts'!G53),"",IF('3'!G114&gt;='3'!$V$3,"+1",IF('3'!G114&gt;=0,"+",IF('3'!G114&lt;=(-1*'3'!$V$3),"-1","-"))))</f>
        <v/>
      </c>
      <c r="H52" s="19" t="str">
        <f>IF(ISBLANK('Raw counts'!H53),"",IF('3'!H114&gt;='3'!$V$3,"+1",IF('3'!H114&gt;=0,"+",IF('3'!H114&lt;=(-1*'3'!$V$3),"-1","-"))))</f>
        <v/>
      </c>
      <c r="I52" s="19" t="str">
        <f>IF(ISBLANK('Raw counts'!I53),"",IF('3'!I114&gt;='3'!$V$3,"+1",IF('3'!I114&gt;=0,"+",IF('3'!I114&lt;=(-1*'3'!$V$3),"-1","-"))))</f>
        <v/>
      </c>
      <c r="J52" s="19" t="str">
        <f>IF(ISBLANK('Raw counts'!J53),"",IF('3'!J114&gt;='3'!$V$3,"+1",IF('3'!J114&gt;=0,"+",IF('3'!J114&lt;=(-1*'3'!$V$3),"-1","-"))))</f>
        <v/>
      </c>
      <c r="K52" s="19" t="str">
        <f>IF(ISBLANK('Raw counts'!K53),"",IF('3'!K114&gt;='3'!$V$3,"+1",IF('3'!K114&gt;=0,"+",IF('3'!K114&lt;=(-1*'3'!$V$3),"-1","-"))))</f>
        <v/>
      </c>
      <c r="L52" s="19" t="str">
        <f>IF(ISBLANK('Raw counts'!L53),"",IF('3'!L114&gt;='3'!$V$3,"+1",IF('3'!L114&gt;=0,"+",IF('3'!L114&lt;=(-1*'3'!$V$3),"-1","-"))))</f>
        <v/>
      </c>
      <c r="M52" s="19" t="str">
        <f>IF(ISBLANK('Raw counts'!M53),"",IF('3'!M114&gt;='3'!$V$3,"+1",IF('3'!M114&gt;=0,"+",IF('3'!M114&lt;=(-1*'3'!$V$3),"-1","-"))))</f>
        <v/>
      </c>
      <c r="N52" s="19" t="str">
        <f>IF(ISBLANK('Raw counts'!N53),"",IF('3'!N114&gt;='3'!$V$3,"+1",IF('3'!N114&gt;=0,"+",IF('3'!N114&lt;=(-1*'3'!$V$3),"-1","-"))))</f>
        <v/>
      </c>
      <c r="O52" s="19" t="str">
        <f>IF(ISBLANK('Raw counts'!O53),"",IF('3'!O114&gt;='3'!$V$3,"+1",IF('3'!O114&gt;=0,"+",IF('3'!O114&lt;=(-1*'3'!$V$3),"-1","-"))))</f>
        <v/>
      </c>
      <c r="P52" s="19" t="str">
        <f>IF(ISBLANK('Raw counts'!P53),"",IF('3'!P114&gt;='3'!$V$3,"+1",IF('3'!P114&gt;=0,"+",IF('3'!P114&lt;=(-1*'3'!$V$3),"-1","-"))))</f>
        <v/>
      </c>
      <c r="Q52" s="19" t="str">
        <f>IF(ISBLANK('Raw counts'!Q53),"",IF('3'!Q114&gt;='3'!$V$3,"+1",IF('3'!Q114&gt;=0,"+",IF('3'!Q114&lt;=(-1*'3'!$V$3),"-1","-"))))</f>
        <v/>
      </c>
      <c r="R52" s="19" t="str">
        <f>IF(ISBLANK('Raw counts'!R53),"",IF('3'!R114&gt;='3'!$V$3,"+1",IF('3'!R114&gt;=0,"+",IF('3'!R114&lt;=(-1*'3'!$V$3),"-1","-"))))</f>
        <v/>
      </c>
      <c r="S52" s="19" t="str">
        <f>IF(ISBLANK('Raw counts'!S53),"",IF('3'!S114&gt;='3'!$V$3,"+1",IF('3'!S114&gt;=0,"+",IF('3'!S114&lt;=(-1*'3'!$V$3),"-1","-"))))</f>
        <v/>
      </c>
      <c r="T52" s="19" t="str">
        <f>IF(ISBLANK('Raw counts'!T53),"",IF('3'!T114&gt;='3'!$V$3,"+1",IF('3'!T114&gt;=0,"+",IF('3'!T114&lt;=(-1*'3'!$V$3),"-1","-"))))</f>
        <v/>
      </c>
      <c r="U52" s="19" t="str">
        <f>IF(ISBLANK('Raw counts'!U53),"",IF('3'!U114&gt;='3'!$V$3,"+1",IF('3'!U114&gt;=0,"+",IF('3'!U114&lt;=(-1*'3'!$V$3),"-1","-"))))</f>
        <v/>
      </c>
    </row>
    <row r="53" spans="1:21" x14ac:dyDescent="0.15">
      <c r="A53" s="18" t="str">
        <f>IF(ISBLANK('Raw counts'!A54),"",'Raw counts'!A54)</f>
        <v>Attr50</v>
      </c>
      <c r="B53" s="19" t="str">
        <f>IF(ISBLANK('Raw counts'!B54),"",IF('3'!B115&gt;='3'!$V$3,"+1",IF('3'!B115&gt;=0,"+",IF('3'!B115&lt;=(-1*'3'!$V$3),"-1","-"))))</f>
        <v/>
      </c>
      <c r="C53" s="19" t="str">
        <f>IF(ISBLANK('Raw counts'!C54),"",IF('3'!C115&gt;='3'!$V$3,"+1",IF('3'!C115&gt;=0,"+",IF('3'!C115&lt;=(-1*'3'!$V$3),"-1","-"))))</f>
        <v/>
      </c>
      <c r="D53" s="19" t="str">
        <f>IF(ISBLANK('Raw counts'!D54),"",IF('3'!D115&gt;='3'!$V$3,"+1",IF('3'!D115&gt;=0,"+",IF('3'!D115&lt;=(-1*'3'!$V$3),"-1","-"))))</f>
        <v/>
      </c>
      <c r="E53" s="19" t="str">
        <f>IF(ISBLANK('Raw counts'!E54),"",IF('3'!E115&gt;='3'!$V$3,"+1",IF('3'!E115&gt;=0,"+",IF('3'!E115&lt;=(-1*'3'!$V$3),"-1","-"))))</f>
        <v/>
      </c>
      <c r="F53" s="19" t="str">
        <f>IF(ISBLANK('Raw counts'!F54),"",IF('3'!F115&gt;='3'!$V$3,"+1",IF('3'!F115&gt;=0,"+",IF('3'!F115&lt;=(-1*'3'!$V$3),"-1","-"))))</f>
        <v/>
      </c>
      <c r="G53" s="19" t="str">
        <f>IF(ISBLANK('Raw counts'!G54),"",IF('3'!G115&gt;='3'!$V$3,"+1",IF('3'!G115&gt;=0,"+",IF('3'!G115&lt;=(-1*'3'!$V$3),"-1","-"))))</f>
        <v/>
      </c>
      <c r="H53" s="19" t="str">
        <f>IF(ISBLANK('Raw counts'!H54),"",IF('3'!H115&gt;='3'!$V$3,"+1",IF('3'!H115&gt;=0,"+",IF('3'!H115&lt;=(-1*'3'!$V$3),"-1","-"))))</f>
        <v/>
      </c>
      <c r="I53" s="19" t="str">
        <f>IF(ISBLANK('Raw counts'!I54),"",IF('3'!I115&gt;='3'!$V$3,"+1",IF('3'!I115&gt;=0,"+",IF('3'!I115&lt;=(-1*'3'!$V$3),"-1","-"))))</f>
        <v/>
      </c>
      <c r="J53" s="19" t="str">
        <f>IF(ISBLANK('Raw counts'!J54),"",IF('3'!J115&gt;='3'!$V$3,"+1",IF('3'!J115&gt;=0,"+",IF('3'!J115&lt;=(-1*'3'!$V$3),"-1","-"))))</f>
        <v/>
      </c>
      <c r="K53" s="19" t="str">
        <f>IF(ISBLANK('Raw counts'!K54),"",IF('3'!K115&gt;='3'!$V$3,"+1",IF('3'!K115&gt;=0,"+",IF('3'!K115&lt;=(-1*'3'!$V$3),"-1","-"))))</f>
        <v/>
      </c>
      <c r="L53" s="19" t="str">
        <f>IF(ISBLANK('Raw counts'!L54),"",IF('3'!L115&gt;='3'!$V$3,"+1",IF('3'!L115&gt;=0,"+",IF('3'!L115&lt;=(-1*'3'!$V$3),"-1","-"))))</f>
        <v/>
      </c>
      <c r="M53" s="19" t="str">
        <f>IF(ISBLANK('Raw counts'!M54),"",IF('3'!M115&gt;='3'!$V$3,"+1",IF('3'!M115&gt;=0,"+",IF('3'!M115&lt;=(-1*'3'!$V$3),"-1","-"))))</f>
        <v/>
      </c>
      <c r="N53" s="19" t="str">
        <f>IF(ISBLANK('Raw counts'!N54),"",IF('3'!N115&gt;='3'!$V$3,"+1",IF('3'!N115&gt;=0,"+",IF('3'!N115&lt;=(-1*'3'!$V$3),"-1","-"))))</f>
        <v/>
      </c>
      <c r="O53" s="19" t="str">
        <f>IF(ISBLANK('Raw counts'!O54),"",IF('3'!O115&gt;='3'!$V$3,"+1",IF('3'!O115&gt;=0,"+",IF('3'!O115&lt;=(-1*'3'!$V$3),"-1","-"))))</f>
        <v/>
      </c>
      <c r="P53" s="19" t="str">
        <f>IF(ISBLANK('Raw counts'!P54),"",IF('3'!P115&gt;='3'!$V$3,"+1",IF('3'!P115&gt;=0,"+",IF('3'!P115&lt;=(-1*'3'!$V$3),"-1","-"))))</f>
        <v/>
      </c>
      <c r="Q53" s="19" t="str">
        <f>IF(ISBLANK('Raw counts'!Q54),"",IF('3'!Q115&gt;='3'!$V$3,"+1",IF('3'!Q115&gt;=0,"+",IF('3'!Q115&lt;=(-1*'3'!$V$3),"-1","-"))))</f>
        <v/>
      </c>
      <c r="R53" s="19" t="str">
        <f>IF(ISBLANK('Raw counts'!R54),"",IF('3'!R115&gt;='3'!$V$3,"+1",IF('3'!R115&gt;=0,"+",IF('3'!R115&lt;=(-1*'3'!$V$3),"-1","-"))))</f>
        <v/>
      </c>
      <c r="S53" s="19" t="str">
        <f>IF(ISBLANK('Raw counts'!S54),"",IF('3'!S115&gt;='3'!$V$3,"+1",IF('3'!S115&gt;=0,"+",IF('3'!S115&lt;=(-1*'3'!$V$3),"-1","-"))))</f>
        <v/>
      </c>
      <c r="T53" s="19" t="str">
        <f>IF(ISBLANK('Raw counts'!T54),"",IF('3'!T115&gt;='3'!$V$3,"+1",IF('3'!T115&gt;=0,"+",IF('3'!T115&lt;=(-1*'3'!$V$3),"-1","-"))))</f>
        <v/>
      </c>
      <c r="U53" s="19" t="str">
        <f>IF(ISBLANK('Raw counts'!U54),"",IF('3'!U115&gt;='3'!$V$3,"+1",IF('3'!U115&gt;=0,"+",IF('3'!U115&lt;=(-1*'3'!$V$3),"-1","-"))))</f>
        <v/>
      </c>
    </row>
    <row r="54" spans="1:21" x14ac:dyDescent="0.15">
      <c r="A54" s="18" t="str">
        <f>IF(ISBLANK('Raw counts'!A55),"",'Raw counts'!A55)</f>
        <v>Attr51</v>
      </c>
      <c r="B54" s="19" t="str">
        <f>IF(ISBLANK('Raw counts'!B55),"",IF('3'!B116&gt;='3'!$V$3,"+1",IF('3'!B116&gt;=0,"+",IF('3'!B116&lt;=(-1*'3'!$V$3),"-1","-"))))</f>
        <v/>
      </c>
      <c r="C54" s="19" t="str">
        <f>IF(ISBLANK('Raw counts'!C55),"",IF('3'!C116&gt;='3'!$V$3,"+1",IF('3'!C116&gt;=0,"+",IF('3'!C116&lt;=(-1*'3'!$V$3),"-1","-"))))</f>
        <v/>
      </c>
      <c r="D54" s="19" t="str">
        <f>IF(ISBLANK('Raw counts'!D55),"",IF('3'!D116&gt;='3'!$V$3,"+1",IF('3'!D116&gt;=0,"+",IF('3'!D116&lt;=(-1*'3'!$V$3),"-1","-"))))</f>
        <v/>
      </c>
      <c r="E54" s="19" t="str">
        <f>IF(ISBLANK('Raw counts'!E55),"",IF('3'!E116&gt;='3'!$V$3,"+1",IF('3'!E116&gt;=0,"+",IF('3'!E116&lt;=(-1*'3'!$V$3),"-1","-"))))</f>
        <v/>
      </c>
      <c r="F54" s="19" t="str">
        <f>IF(ISBLANK('Raw counts'!F55),"",IF('3'!F116&gt;='3'!$V$3,"+1",IF('3'!F116&gt;=0,"+",IF('3'!F116&lt;=(-1*'3'!$V$3),"-1","-"))))</f>
        <v/>
      </c>
      <c r="G54" s="19" t="str">
        <f>IF(ISBLANK('Raw counts'!G55),"",IF('3'!G116&gt;='3'!$V$3,"+1",IF('3'!G116&gt;=0,"+",IF('3'!G116&lt;=(-1*'3'!$V$3),"-1","-"))))</f>
        <v/>
      </c>
      <c r="H54" s="19" t="str">
        <f>IF(ISBLANK('Raw counts'!H55),"",IF('3'!H116&gt;='3'!$V$3,"+1",IF('3'!H116&gt;=0,"+",IF('3'!H116&lt;=(-1*'3'!$V$3),"-1","-"))))</f>
        <v/>
      </c>
      <c r="I54" s="19" t="str">
        <f>IF(ISBLANK('Raw counts'!I55),"",IF('3'!I116&gt;='3'!$V$3,"+1",IF('3'!I116&gt;=0,"+",IF('3'!I116&lt;=(-1*'3'!$V$3),"-1","-"))))</f>
        <v/>
      </c>
      <c r="J54" s="19" t="str">
        <f>IF(ISBLANK('Raw counts'!J55),"",IF('3'!J116&gt;='3'!$V$3,"+1",IF('3'!J116&gt;=0,"+",IF('3'!J116&lt;=(-1*'3'!$V$3),"-1","-"))))</f>
        <v/>
      </c>
      <c r="K54" s="19" t="str">
        <f>IF(ISBLANK('Raw counts'!K55),"",IF('3'!K116&gt;='3'!$V$3,"+1",IF('3'!K116&gt;=0,"+",IF('3'!K116&lt;=(-1*'3'!$V$3),"-1","-"))))</f>
        <v/>
      </c>
      <c r="L54" s="19" t="str">
        <f>IF(ISBLANK('Raw counts'!L55),"",IF('3'!L116&gt;='3'!$V$3,"+1",IF('3'!L116&gt;=0,"+",IF('3'!L116&lt;=(-1*'3'!$V$3),"-1","-"))))</f>
        <v/>
      </c>
      <c r="M54" s="19" t="str">
        <f>IF(ISBLANK('Raw counts'!M55),"",IF('3'!M116&gt;='3'!$V$3,"+1",IF('3'!M116&gt;=0,"+",IF('3'!M116&lt;=(-1*'3'!$V$3),"-1","-"))))</f>
        <v/>
      </c>
      <c r="N54" s="19" t="str">
        <f>IF(ISBLANK('Raw counts'!N55),"",IF('3'!N116&gt;='3'!$V$3,"+1",IF('3'!N116&gt;=0,"+",IF('3'!N116&lt;=(-1*'3'!$V$3),"-1","-"))))</f>
        <v/>
      </c>
      <c r="O54" s="19" t="str">
        <f>IF(ISBLANK('Raw counts'!O55),"",IF('3'!O116&gt;='3'!$V$3,"+1",IF('3'!O116&gt;=0,"+",IF('3'!O116&lt;=(-1*'3'!$V$3),"-1","-"))))</f>
        <v/>
      </c>
      <c r="P54" s="19" t="str">
        <f>IF(ISBLANK('Raw counts'!P55),"",IF('3'!P116&gt;='3'!$V$3,"+1",IF('3'!P116&gt;=0,"+",IF('3'!P116&lt;=(-1*'3'!$V$3),"-1","-"))))</f>
        <v/>
      </c>
      <c r="Q54" s="19" t="str">
        <f>IF(ISBLANK('Raw counts'!Q55),"",IF('3'!Q116&gt;='3'!$V$3,"+1",IF('3'!Q116&gt;=0,"+",IF('3'!Q116&lt;=(-1*'3'!$V$3),"-1","-"))))</f>
        <v/>
      </c>
      <c r="R54" s="19" t="str">
        <f>IF(ISBLANK('Raw counts'!R55),"",IF('3'!R116&gt;='3'!$V$3,"+1",IF('3'!R116&gt;=0,"+",IF('3'!R116&lt;=(-1*'3'!$V$3),"-1","-"))))</f>
        <v/>
      </c>
      <c r="S54" s="19" t="str">
        <f>IF(ISBLANK('Raw counts'!S55),"",IF('3'!S116&gt;='3'!$V$3,"+1",IF('3'!S116&gt;=0,"+",IF('3'!S116&lt;=(-1*'3'!$V$3),"-1","-"))))</f>
        <v/>
      </c>
      <c r="T54" s="19" t="str">
        <f>IF(ISBLANK('Raw counts'!T55),"",IF('3'!T116&gt;='3'!$V$3,"+1",IF('3'!T116&gt;=0,"+",IF('3'!T116&lt;=(-1*'3'!$V$3),"-1","-"))))</f>
        <v/>
      </c>
      <c r="U54" s="19" t="str">
        <f>IF(ISBLANK('Raw counts'!U55),"",IF('3'!U116&gt;='3'!$V$3,"+1",IF('3'!U116&gt;=0,"+",IF('3'!U116&lt;=(-1*'3'!$V$3),"-1","-"))))</f>
        <v/>
      </c>
    </row>
    <row r="55" spans="1:21" x14ac:dyDescent="0.15">
      <c r="A55" s="18" t="str">
        <f>IF(ISBLANK('Raw counts'!A56),"",'Raw counts'!A56)</f>
        <v>Attr52</v>
      </c>
      <c r="B55" s="19" t="str">
        <f>IF(ISBLANK('Raw counts'!B56),"",IF('3'!B117&gt;='3'!$V$3,"+1",IF('3'!B117&gt;=0,"+",IF('3'!B117&lt;=(-1*'3'!$V$3),"-1","-"))))</f>
        <v/>
      </c>
      <c r="C55" s="19" t="str">
        <f>IF(ISBLANK('Raw counts'!C56),"",IF('3'!C117&gt;='3'!$V$3,"+1",IF('3'!C117&gt;=0,"+",IF('3'!C117&lt;=(-1*'3'!$V$3),"-1","-"))))</f>
        <v/>
      </c>
      <c r="D55" s="19" t="str">
        <f>IF(ISBLANK('Raw counts'!D56),"",IF('3'!D117&gt;='3'!$V$3,"+1",IF('3'!D117&gt;=0,"+",IF('3'!D117&lt;=(-1*'3'!$V$3),"-1","-"))))</f>
        <v/>
      </c>
      <c r="E55" s="19" t="str">
        <f>IF(ISBLANK('Raw counts'!E56),"",IF('3'!E117&gt;='3'!$V$3,"+1",IF('3'!E117&gt;=0,"+",IF('3'!E117&lt;=(-1*'3'!$V$3),"-1","-"))))</f>
        <v/>
      </c>
      <c r="F55" s="19" t="str">
        <f>IF(ISBLANK('Raw counts'!F56),"",IF('3'!F117&gt;='3'!$V$3,"+1",IF('3'!F117&gt;=0,"+",IF('3'!F117&lt;=(-1*'3'!$V$3),"-1","-"))))</f>
        <v/>
      </c>
      <c r="G55" s="19" t="str">
        <f>IF(ISBLANK('Raw counts'!G56),"",IF('3'!G117&gt;='3'!$V$3,"+1",IF('3'!G117&gt;=0,"+",IF('3'!G117&lt;=(-1*'3'!$V$3),"-1","-"))))</f>
        <v/>
      </c>
      <c r="H55" s="19" t="str">
        <f>IF(ISBLANK('Raw counts'!H56),"",IF('3'!H117&gt;='3'!$V$3,"+1",IF('3'!H117&gt;=0,"+",IF('3'!H117&lt;=(-1*'3'!$V$3),"-1","-"))))</f>
        <v/>
      </c>
      <c r="I55" s="19" t="str">
        <f>IF(ISBLANK('Raw counts'!I56),"",IF('3'!I117&gt;='3'!$V$3,"+1",IF('3'!I117&gt;=0,"+",IF('3'!I117&lt;=(-1*'3'!$V$3),"-1","-"))))</f>
        <v/>
      </c>
      <c r="J55" s="19" t="str">
        <f>IF(ISBLANK('Raw counts'!J56),"",IF('3'!J117&gt;='3'!$V$3,"+1",IF('3'!J117&gt;=0,"+",IF('3'!J117&lt;=(-1*'3'!$V$3),"-1","-"))))</f>
        <v/>
      </c>
      <c r="K55" s="19" t="str">
        <f>IF(ISBLANK('Raw counts'!K56),"",IF('3'!K117&gt;='3'!$V$3,"+1",IF('3'!K117&gt;=0,"+",IF('3'!K117&lt;=(-1*'3'!$V$3),"-1","-"))))</f>
        <v/>
      </c>
      <c r="L55" s="19" t="str">
        <f>IF(ISBLANK('Raw counts'!L56),"",IF('3'!L117&gt;='3'!$V$3,"+1",IF('3'!L117&gt;=0,"+",IF('3'!L117&lt;=(-1*'3'!$V$3),"-1","-"))))</f>
        <v/>
      </c>
      <c r="M55" s="19" t="str">
        <f>IF(ISBLANK('Raw counts'!M56),"",IF('3'!M117&gt;='3'!$V$3,"+1",IF('3'!M117&gt;=0,"+",IF('3'!M117&lt;=(-1*'3'!$V$3),"-1","-"))))</f>
        <v/>
      </c>
      <c r="N55" s="19" t="str">
        <f>IF(ISBLANK('Raw counts'!N56),"",IF('3'!N117&gt;='3'!$V$3,"+1",IF('3'!N117&gt;=0,"+",IF('3'!N117&lt;=(-1*'3'!$V$3),"-1","-"))))</f>
        <v/>
      </c>
      <c r="O55" s="19" t="str">
        <f>IF(ISBLANK('Raw counts'!O56),"",IF('3'!O117&gt;='3'!$V$3,"+1",IF('3'!O117&gt;=0,"+",IF('3'!O117&lt;=(-1*'3'!$V$3),"-1","-"))))</f>
        <v/>
      </c>
      <c r="P55" s="19" t="str">
        <f>IF(ISBLANK('Raw counts'!P56),"",IF('3'!P117&gt;='3'!$V$3,"+1",IF('3'!P117&gt;=0,"+",IF('3'!P117&lt;=(-1*'3'!$V$3),"-1","-"))))</f>
        <v/>
      </c>
      <c r="Q55" s="19" t="str">
        <f>IF(ISBLANK('Raw counts'!Q56),"",IF('3'!Q117&gt;='3'!$V$3,"+1",IF('3'!Q117&gt;=0,"+",IF('3'!Q117&lt;=(-1*'3'!$V$3),"-1","-"))))</f>
        <v/>
      </c>
      <c r="R55" s="19" t="str">
        <f>IF(ISBLANK('Raw counts'!R56),"",IF('3'!R117&gt;='3'!$V$3,"+1",IF('3'!R117&gt;=0,"+",IF('3'!R117&lt;=(-1*'3'!$V$3),"-1","-"))))</f>
        <v/>
      </c>
      <c r="S55" s="19" t="str">
        <f>IF(ISBLANK('Raw counts'!S56),"",IF('3'!S117&gt;='3'!$V$3,"+1",IF('3'!S117&gt;=0,"+",IF('3'!S117&lt;=(-1*'3'!$V$3),"-1","-"))))</f>
        <v/>
      </c>
      <c r="T55" s="19" t="str">
        <f>IF(ISBLANK('Raw counts'!T56),"",IF('3'!T117&gt;='3'!$V$3,"+1",IF('3'!T117&gt;=0,"+",IF('3'!T117&lt;=(-1*'3'!$V$3),"-1","-"))))</f>
        <v/>
      </c>
      <c r="U55" s="19" t="str">
        <f>IF(ISBLANK('Raw counts'!U56),"",IF('3'!U117&gt;='3'!$V$3,"+1",IF('3'!U117&gt;=0,"+",IF('3'!U117&lt;=(-1*'3'!$V$3),"-1","-"))))</f>
        <v/>
      </c>
    </row>
    <row r="56" spans="1:21" x14ac:dyDescent="0.15">
      <c r="A56" s="18" t="str">
        <f>IF(ISBLANK('Raw counts'!A57),"",'Raw counts'!A57)</f>
        <v>Attr53</v>
      </c>
      <c r="B56" s="19" t="str">
        <f>IF(ISBLANK('Raw counts'!B57),"",IF('3'!B118&gt;='3'!$V$3,"+1",IF('3'!B118&gt;=0,"+",IF('3'!B118&lt;=(-1*'3'!$V$3),"-1","-"))))</f>
        <v/>
      </c>
      <c r="C56" s="19" t="str">
        <f>IF(ISBLANK('Raw counts'!C57),"",IF('3'!C118&gt;='3'!$V$3,"+1",IF('3'!C118&gt;=0,"+",IF('3'!C118&lt;=(-1*'3'!$V$3),"-1","-"))))</f>
        <v/>
      </c>
      <c r="D56" s="19" t="str">
        <f>IF(ISBLANK('Raw counts'!D57),"",IF('3'!D118&gt;='3'!$V$3,"+1",IF('3'!D118&gt;=0,"+",IF('3'!D118&lt;=(-1*'3'!$V$3),"-1","-"))))</f>
        <v/>
      </c>
      <c r="E56" s="19" t="str">
        <f>IF(ISBLANK('Raw counts'!E57),"",IF('3'!E118&gt;='3'!$V$3,"+1",IF('3'!E118&gt;=0,"+",IF('3'!E118&lt;=(-1*'3'!$V$3),"-1","-"))))</f>
        <v/>
      </c>
      <c r="F56" s="19" t="str">
        <f>IF(ISBLANK('Raw counts'!F57),"",IF('3'!F118&gt;='3'!$V$3,"+1",IF('3'!F118&gt;=0,"+",IF('3'!F118&lt;=(-1*'3'!$V$3),"-1","-"))))</f>
        <v/>
      </c>
      <c r="G56" s="19" t="str">
        <f>IF(ISBLANK('Raw counts'!G57),"",IF('3'!G118&gt;='3'!$V$3,"+1",IF('3'!G118&gt;=0,"+",IF('3'!G118&lt;=(-1*'3'!$V$3),"-1","-"))))</f>
        <v/>
      </c>
      <c r="H56" s="19" t="str">
        <f>IF(ISBLANK('Raw counts'!H57),"",IF('3'!H118&gt;='3'!$V$3,"+1",IF('3'!H118&gt;=0,"+",IF('3'!H118&lt;=(-1*'3'!$V$3),"-1","-"))))</f>
        <v/>
      </c>
      <c r="I56" s="19" t="str">
        <f>IF(ISBLANK('Raw counts'!I57),"",IF('3'!I118&gt;='3'!$V$3,"+1",IF('3'!I118&gt;=0,"+",IF('3'!I118&lt;=(-1*'3'!$V$3),"-1","-"))))</f>
        <v/>
      </c>
      <c r="J56" s="19" t="str">
        <f>IF(ISBLANK('Raw counts'!J57),"",IF('3'!J118&gt;='3'!$V$3,"+1",IF('3'!J118&gt;=0,"+",IF('3'!J118&lt;=(-1*'3'!$V$3),"-1","-"))))</f>
        <v/>
      </c>
      <c r="K56" s="19" t="str">
        <f>IF(ISBLANK('Raw counts'!K57),"",IF('3'!K118&gt;='3'!$V$3,"+1",IF('3'!K118&gt;=0,"+",IF('3'!K118&lt;=(-1*'3'!$V$3),"-1","-"))))</f>
        <v/>
      </c>
      <c r="L56" s="19" t="str">
        <f>IF(ISBLANK('Raw counts'!L57),"",IF('3'!L118&gt;='3'!$V$3,"+1",IF('3'!L118&gt;=0,"+",IF('3'!L118&lt;=(-1*'3'!$V$3),"-1","-"))))</f>
        <v/>
      </c>
      <c r="M56" s="19" t="str">
        <f>IF(ISBLANK('Raw counts'!M57),"",IF('3'!M118&gt;='3'!$V$3,"+1",IF('3'!M118&gt;=0,"+",IF('3'!M118&lt;=(-1*'3'!$V$3),"-1","-"))))</f>
        <v/>
      </c>
      <c r="N56" s="19" t="str">
        <f>IF(ISBLANK('Raw counts'!N57),"",IF('3'!N118&gt;='3'!$V$3,"+1",IF('3'!N118&gt;=0,"+",IF('3'!N118&lt;=(-1*'3'!$V$3),"-1","-"))))</f>
        <v/>
      </c>
      <c r="O56" s="19" t="str">
        <f>IF(ISBLANK('Raw counts'!O57),"",IF('3'!O118&gt;='3'!$V$3,"+1",IF('3'!O118&gt;=0,"+",IF('3'!O118&lt;=(-1*'3'!$V$3),"-1","-"))))</f>
        <v/>
      </c>
      <c r="P56" s="19" t="str">
        <f>IF(ISBLANK('Raw counts'!P57),"",IF('3'!P118&gt;='3'!$V$3,"+1",IF('3'!P118&gt;=0,"+",IF('3'!P118&lt;=(-1*'3'!$V$3),"-1","-"))))</f>
        <v/>
      </c>
      <c r="Q56" s="19" t="str">
        <f>IF(ISBLANK('Raw counts'!Q57),"",IF('3'!Q118&gt;='3'!$V$3,"+1",IF('3'!Q118&gt;=0,"+",IF('3'!Q118&lt;=(-1*'3'!$V$3),"-1","-"))))</f>
        <v/>
      </c>
      <c r="R56" s="19" t="str">
        <f>IF(ISBLANK('Raw counts'!R57),"",IF('3'!R118&gt;='3'!$V$3,"+1",IF('3'!R118&gt;=0,"+",IF('3'!R118&lt;=(-1*'3'!$V$3),"-1","-"))))</f>
        <v/>
      </c>
      <c r="S56" s="19" t="str">
        <f>IF(ISBLANK('Raw counts'!S57),"",IF('3'!S118&gt;='3'!$V$3,"+1",IF('3'!S118&gt;=0,"+",IF('3'!S118&lt;=(-1*'3'!$V$3),"-1","-"))))</f>
        <v/>
      </c>
      <c r="T56" s="19" t="str">
        <f>IF(ISBLANK('Raw counts'!T57),"",IF('3'!T118&gt;='3'!$V$3,"+1",IF('3'!T118&gt;=0,"+",IF('3'!T118&lt;=(-1*'3'!$V$3),"-1","-"))))</f>
        <v/>
      </c>
      <c r="U56" s="19" t="str">
        <f>IF(ISBLANK('Raw counts'!U57),"",IF('3'!U118&gt;='3'!$V$3,"+1",IF('3'!U118&gt;=0,"+",IF('3'!U118&lt;=(-1*'3'!$V$3),"-1","-"))))</f>
        <v/>
      </c>
    </row>
    <row r="57" spans="1:21" x14ac:dyDescent="0.15">
      <c r="A57" s="18" t="str">
        <f>IF(ISBLANK('Raw counts'!A58),"",'Raw counts'!A58)</f>
        <v>Attr54</v>
      </c>
      <c r="B57" s="19" t="str">
        <f>IF(ISBLANK('Raw counts'!B58),"",IF('3'!B119&gt;='3'!$V$3,"+1",IF('3'!B119&gt;=0,"+",IF('3'!B119&lt;=(-1*'3'!$V$3),"-1","-"))))</f>
        <v/>
      </c>
      <c r="C57" s="19" t="str">
        <f>IF(ISBLANK('Raw counts'!C58),"",IF('3'!C119&gt;='3'!$V$3,"+1",IF('3'!C119&gt;=0,"+",IF('3'!C119&lt;=(-1*'3'!$V$3),"-1","-"))))</f>
        <v/>
      </c>
      <c r="D57" s="19" t="str">
        <f>IF(ISBLANK('Raw counts'!D58),"",IF('3'!D119&gt;='3'!$V$3,"+1",IF('3'!D119&gt;=0,"+",IF('3'!D119&lt;=(-1*'3'!$V$3),"-1","-"))))</f>
        <v/>
      </c>
      <c r="E57" s="19" t="str">
        <f>IF(ISBLANK('Raw counts'!E58),"",IF('3'!E119&gt;='3'!$V$3,"+1",IF('3'!E119&gt;=0,"+",IF('3'!E119&lt;=(-1*'3'!$V$3),"-1","-"))))</f>
        <v/>
      </c>
      <c r="F57" s="19" t="str">
        <f>IF(ISBLANK('Raw counts'!F58),"",IF('3'!F119&gt;='3'!$V$3,"+1",IF('3'!F119&gt;=0,"+",IF('3'!F119&lt;=(-1*'3'!$V$3),"-1","-"))))</f>
        <v/>
      </c>
      <c r="G57" s="19" t="str">
        <f>IF(ISBLANK('Raw counts'!G58),"",IF('3'!G119&gt;='3'!$V$3,"+1",IF('3'!G119&gt;=0,"+",IF('3'!G119&lt;=(-1*'3'!$V$3),"-1","-"))))</f>
        <v/>
      </c>
      <c r="H57" s="19" t="str">
        <f>IF(ISBLANK('Raw counts'!H58),"",IF('3'!H119&gt;='3'!$V$3,"+1",IF('3'!H119&gt;=0,"+",IF('3'!H119&lt;=(-1*'3'!$V$3),"-1","-"))))</f>
        <v/>
      </c>
      <c r="I57" s="19" t="str">
        <f>IF(ISBLANK('Raw counts'!I58),"",IF('3'!I119&gt;='3'!$V$3,"+1",IF('3'!I119&gt;=0,"+",IF('3'!I119&lt;=(-1*'3'!$V$3),"-1","-"))))</f>
        <v/>
      </c>
      <c r="J57" s="19" t="str">
        <f>IF(ISBLANK('Raw counts'!J58),"",IF('3'!J119&gt;='3'!$V$3,"+1",IF('3'!J119&gt;=0,"+",IF('3'!J119&lt;=(-1*'3'!$V$3),"-1","-"))))</f>
        <v/>
      </c>
      <c r="K57" s="19" t="str">
        <f>IF(ISBLANK('Raw counts'!K58),"",IF('3'!K119&gt;='3'!$V$3,"+1",IF('3'!K119&gt;=0,"+",IF('3'!K119&lt;=(-1*'3'!$V$3),"-1","-"))))</f>
        <v/>
      </c>
      <c r="L57" s="19" t="str">
        <f>IF(ISBLANK('Raw counts'!L58),"",IF('3'!L119&gt;='3'!$V$3,"+1",IF('3'!L119&gt;=0,"+",IF('3'!L119&lt;=(-1*'3'!$V$3),"-1","-"))))</f>
        <v/>
      </c>
      <c r="M57" s="19" t="str">
        <f>IF(ISBLANK('Raw counts'!M58),"",IF('3'!M119&gt;='3'!$V$3,"+1",IF('3'!M119&gt;=0,"+",IF('3'!M119&lt;=(-1*'3'!$V$3),"-1","-"))))</f>
        <v/>
      </c>
      <c r="N57" s="19" t="str">
        <f>IF(ISBLANK('Raw counts'!N58),"",IF('3'!N119&gt;='3'!$V$3,"+1",IF('3'!N119&gt;=0,"+",IF('3'!N119&lt;=(-1*'3'!$V$3),"-1","-"))))</f>
        <v/>
      </c>
      <c r="O57" s="19" t="str">
        <f>IF(ISBLANK('Raw counts'!O58),"",IF('3'!O119&gt;='3'!$V$3,"+1",IF('3'!O119&gt;=0,"+",IF('3'!O119&lt;=(-1*'3'!$V$3),"-1","-"))))</f>
        <v/>
      </c>
      <c r="P57" s="19" t="str">
        <f>IF(ISBLANK('Raw counts'!P58),"",IF('3'!P119&gt;='3'!$V$3,"+1",IF('3'!P119&gt;=0,"+",IF('3'!P119&lt;=(-1*'3'!$V$3),"-1","-"))))</f>
        <v/>
      </c>
      <c r="Q57" s="19" t="str">
        <f>IF(ISBLANK('Raw counts'!Q58),"",IF('3'!Q119&gt;='3'!$V$3,"+1",IF('3'!Q119&gt;=0,"+",IF('3'!Q119&lt;=(-1*'3'!$V$3),"-1","-"))))</f>
        <v/>
      </c>
      <c r="R57" s="19" t="str">
        <f>IF(ISBLANK('Raw counts'!R58),"",IF('3'!R119&gt;='3'!$V$3,"+1",IF('3'!R119&gt;=0,"+",IF('3'!R119&lt;=(-1*'3'!$V$3),"-1","-"))))</f>
        <v/>
      </c>
      <c r="S57" s="19" t="str">
        <f>IF(ISBLANK('Raw counts'!S58),"",IF('3'!S119&gt;='3'!$V$3,"+1",IF('3'!S119&gt;=0,"+",IF('3'!S119&lt;=(-1*'3'!$V$3),"-1","-"))))</f>
        <v/>
      </c>
      <c r="T57" s="19" t="str">
        <f>IF(ISBLANK('Raw counts'!T58),"",IF('3'!T119&gt;='3'!$V$3,"+1",IF('3'!T119&gt;=0,"+",IF('3'!T119&lt;=(-1*'3'!$V$3),"-1","-"))))</f>
        <v/>
      </c>
      <c r="U57" s="19" t="str">
        <f>IF(ISBLANK('Raw counts'!U58),"",IF('3'!U119&gt;='3'!$V$3,"+1",IF('3'!U119&gt;=0,"+",IF('3'!U119&lt;=(-1*'3'!$V$3),"-1","-"))))</f>
        <v/>
      </c>
    </row>
    <row r="58" spans="1:21" x14ac:dyDescent="0.15">
      <c r="A58" s="18" t="str">
        <f>IF(ISBLANK('Raw counts'!A59),"",'Raw counts'!A59)</f>
        <v>Attr55</v>
      </c>
      <c r="B58" s="19" t="str">
        <f>IF(ISBLANK('Raw counts'!B59),"",IF('3'!B120&gt;='3'!$V$3,"+1",IF('3'!B120&gt;=0,"+",IF('3'!B120&lt;=(-1*'3'!$V$3),"-1","-"))))</f>
        <v/>
      </c>
      <c r="C58" s="19" t="str">
        <f>IF(ISBLANK('Raw counts'!C59),"",IF('3'!C120&gt;='3'!$V$3,"+1",IF('3'!C120&gt;=0,"+",IF('3'!C120&lt;=(-1*'3'!$V$3),"-1","-"))))</f>
        <v/>
      </c>
      <c r="D58" s="19" t="str">
        <f>IF(ISBLANK('Raw counts'!D59),"",IF('3'!D120&gt;='3'!$V$3,"+1",IF('3'!D120&gt;=0,"+",IF('3'!D120&lt;=(-1*'3'!$V$3),"-1","-"))))</f>
        <v/>
      </c>
      <c r="E58" s="19" t="str">
        <f>IF(ISBLANK('Raw counts'!E59),"",IF('3'!E120&gt;='3'!$V$3,"+1",IF('3'!E120&gt;=0,"+",IF('3'!E120&lt;=(-1*'3'!$V$3),"-1","-"))))</f>
        <v/>
      </c>
      <c r="F58" s="19" t="str">
        <f>IF(ISBLANK('Raw counts'!F59),"",IF('3'!F120&gt;='3'!$V$3,"+1",IF('3'!F120&gt;=0,"+",IF('3'!F120&lt;=(-1*'3'!$V$3),"-1","-"))))</f>
        <v/>
      </c>
      <c r="G58" s="19" t="str">
        <f>IF(ISBLANK('Raw counts'!G59),"",IF('3'!G120&gt;='3'!$V$3,"+1",IF('3'!G120&gt;=0,"+",IF('3'!G120&lt;=(-1*'3'!$V$3),"-1","-"))))</f>
        <v/>
      </c>
      <c r="H58" s="19" t="str">
        <f>IF(ISBLANK('Raw counts'!H59),"",IF('3'!H120&gt;='3'!$V$3,"+1",IF('3'!H120&gt;=0,"+",IF('3'!H120&lt;=(-1*'3'!$V$3),"-1","-"))))</f>
        <v/>
      </c>
      <c r="I58" s="19" t="str">
        <f>IF(ISBLANK('Raw counts'!I59),"",IF('3'!I120&gt;='3'!$V$3,"+1",IF('3'!I120&gt;=0,"+",IF('3'!I120&lt;=(-1*'3'!$V$3),"-1","-"))))</f>
        <v/>
      </c>
      <c r="J58" s="19" t="str">
        <f>IF(ISBLANK('Raw counts'!J59),"",IF('3'!J120&gt;='3'!$V$3,"+1",IF('3'!J120&gt;=0,"+",IF('3'!J120&lt;=(-1*'3'!$V$3),"-1","-"))))</f>
        <v/>
      </c>
      <c r="K58" s="19" t="str">
        <f>IF(ISBLANK('Raw counts'!K59),"",IF('3'!K120&gt;='3'!$V$3,"+1",IF('3'!K120&gt;=0,"+",IF('3'!K120&lt;=(-1*'3'!$V$3),"-1","-"))))</f>
        <v/>
      </c>
      <c r="L58" s="19" t="str">
        <f>IF(ISBLANK('Raw counts'!L59),"",IF('3'!L120&gt;='3'!$V$3,"+1",IF('3'!L120&gt;=0,"+",IF('3'!L120&lt;=(-1*'3'!$V$3),"-1","-"))))</f>
        <v/>
      </c>
      <c r="M58" s="19" t="str">
        <f>IF(ISBLANK('Raw counts'!M59),"",IF('3'!M120&gt;='3'!$V$3,"+1",IF('3'!M120&gt;=0,"+",IF('3'!M120&lt;=(-1*'3'!$V$3),"-1","-"))))</f>
        <v/>
      </c>
      <c r="N58" s="19" t="str">
        <f>IF(ISBLANK('Raw counts'!N59),"",IF('3'!N120&gt;='3'!$V$3,"+1",IF('3'!N120&gt;=0,"+",IF('3'!N120&lt;=(-1*'3'!$V$3),"-1","-"))))</f>
        <v/>
      </c>
      <c r="O58" s="19" t="str">
        <f>IF(ISBLANK('Raw counts'!O59),"",IF('3'!O120&gt;='3'!$V$3,"+1",IF('3'!O120&gt;=0,"+",IF('3'!O120&lt;=(-1*'3'!$V$3),"-1","-"))))</f>
        <v/>
      </c>
      <c r="P58" s="19" t="str">
        <f>IF(ISBLANK('Raw counts'!P59),"",IF('3'!P120&gt;='3'!$V$3,"+1",IF('3'!P120&gt;=0,"+",IF('3'!P120&lt;=(-1*'3'!$V$3),"-1","-"))))</f>
        <v/>
      </c>
      <c r="Q58" s="19" t="str">
        <f>IF(ISBLANK('Raw counts'!Q59),"",IF('3'!Q120&gt;='3'!$V$3,"+1",IF('3'!Q120&gt;=0,"+",IF('3'!Q120&lt;=(-1*'3'!$V$3),"-1","-"))))</f>
        <v/>
      </c>
      <c r="R58" s="19" t="str">
        <f>IF(ISBLANK('Raw counts'!R59),"",IF('3'!R120&gt;='3'!$V$3,"+1",IF('3'!R120&gt;=0,"+",IF('3'!R120&lt;=(-1*'3'!$V$3),"-1","-"))))</f>
        <v/>
      </c>
      <c r="S58" s="19" t="str">
        <f>IF(ISBLANK('Raw counts'!S59),"",IF('3'!S120&gt;='3'!$V$3,"+1",IF('3'!S120&gt;=0,"+",IF('3'!S120&lt;=(-1*'3'!$V$3),"-1","-"))))</f>
        <v/>
      </c>
      <c r="T58" s="19" t="str">
        <f>IF(ISBLANK('Raw counts'!T59),"",IF('3'!T120&gt;='3'!$V$3,"+1",IF('3'!T120&gt;=0,"+",IF('3'!T120&lt;=(-1*'3'!$V$3),"-1","-"))))</f>
        <v/>
      </c>
      <c r="U58" s="19" t="str">
        <f>IF(ISBLANK('Raw counts'!U59),"",IF('3'!U120&gt;='3'!$V$3,"+1",IF('3'!U120&gt;=0,"+",IF('3'!U120&lt;=(-1*'3'!$V$3),"-1","-"))))</f>
        <v/>
      </c>
    </row>
    <row r="59" spans="1:21" x14ac:dyDescent="0.15">
      <c r="A59" s="18" t="str">
        <f>IF(ISBLANK('Raw counts'!A60),"",'Raw counts'!A60)</f>
        <v>Attr56</v>
      </c>
      <c r="B59" s="19" t="str">
        <f>IF(ISBLANK('Raw counts'!B60),"",IF('3'!B121&gt;='3'!$V$3,"+1",IF('3'!B121&gt;=0,"+",IF('3'!B121&lt;=(-1*'3'!$V$3),"-1","-"))))</f>
        <v/>
      </c>
      <c r="C59" s="19" t="str">
        <f>IF(ISBLANK('Raw counts'!C60),"",IF('3'!C121&gt;='3'!$V$3,"+1",IF('3'!C121&gt;=0,"+",IF('3'!C121&lt;=(-1*'3'!$V$3),"-1","-"))))</f>
        <v/>
      </c>
      <c r="D59" s="19" t="str">
        <f>IF(ISBLANK('Raw counts'!D60),"",IF('3'!D121&gt;='3'!$V$3,"+1",IF('3'!D121&gt;=0,"+",IF('3'!D121&lt;=(-1*'3'!$V$3),"-1","-"))))</f>
        <v/>
      </c>
      <c r="E59" s="19" t="str">
        <f>IF(ISBLANK('Raw counts'!E60),"",IF('3'!E121&gt;='3'!$V$3,"+1",IF('3'!E121&gt;=0,"+",IF('3'!E121&lt;=(-1*'3'!$V$3),"-1","-"))))</f>
        <v/>
      </c>
      <c r="F59" s="19" t="str">
        <f>IF(ISBLANK('Raw counts'!F60),"",IF('3'!F121&gt;='3'!$V$3,"+1",IF('3'!F121&gt;=0,"+",IF('3'!F121&lt;=(-1*'3'!$V$3),"-1","-"))))</f>
        <v/>
      </c>
      <c r="G59" s="19" t="str">
        <f>IF(ISBLANK('Raw counts'!G60),"",IF('3'!G121&gt;='3'!$V$3,"+1",IF('3'!G121&gt;=0,"+",IF('3'!G121&lt;=(-1*'3'!$V$3),"-1","-"))))</f>
        <v/>
      </c>
      <c r="H59" s="19" t="str">
        <f>IF(ISBLANK('Raw counts'!H60),"",IF('3'!H121&gt;='3'!$V$3,"+1",IF('3'!H121&gt;=0,"+",IF('3'!H121&lt;=(-1*'3'!$V$3),"-1","-"))))</f>
        <v/>
      </c>
      <c r="I59" s="19" t="str">
        <f>IF(ISBLANK('Raw counts'!I60),"",IF('3'!I121&gt;='3'!$V$3,"+1",IF('3'!I121&gt;=0,"+",IF('3'!I121&lt;=(-1*'3'!$V$3),"-1","-"))))</f>
        <v/>
      </c>
      <c r="J59" s="19" t="str">
        <f>IF(ISBLANK('Raw counts'!J60),"",IF('3'!J121&gt;='3'!$V$3,"+1",IF('3'!J121&gt;=0,"+",IF('3'!J121&lt;=(-1*'3'!$V$3),"-1","-"))))</f>
        <v/>
      </c>
      <c r="K59" s="19" t="str">
        <f>IF(ISBLANK('Raw counts'!K60),"",IF('3'!K121&gt;='3'!$V$3,"+1",IF('3'!K121&gt;=0,"+",IF('3'!K121&lt;=(-1*'3'!$V$3),"-1","-"))))</f>
        <v/>
      </c>
      <c r="L59" s="19" t="str">
        <f>IF(ISBLANK('Raw counts'!L60),"",IF('3'!L121&gt;='3'!$V$3,"+1",IF('3'!L121&gt;=0,"+",IF('3'!L121&lt;=(-1*'3'!$V$3),"-1","-"))))</f>
        <v/>
      </c>
      <c r="M59" s="19" t="str">
        <f>IF(ISBLANK('Raw counts'!M60),"",IF('3'!M121&gt;='3'!$V$3,"+1",IF('3'!M121&gt;=0,"+",IF('3'!M121&lt;=(-1*'3'!$V$3),"-1","-"))))</f>
        <v/>
      </c>
      <c r="N59" s="19" t="str">
        <f>IF(ISBLANK('Raw counts'!N60),"",IF('3'!N121&gt;='3'!$V$3,"+1",IF('3'!N121&gt;=0,"+",IF('3'!N121&lt;=(-1*'3'!$V$3),"-1","-"))))</f>
        <v/>
      </c>
      <c r="O59" s="19" t="str">
        <f>IF(ISBLANK('Raw counts'!O60),"",IF('3'!O121&gt;='3'!$V$3,"+1",IF('3'!O121&gt;=0,"+",IF('3'!O121&lt;=(-1*'3'!$V$3),"-1","-"))))</f>
        <v/>
      </c>
      <c r="P59" s="19" t="str">
        <f>IF(ISBLANK('Raw counts'!P60),"",IF('3'!P121&gt;='3'!$V$3,"+1",IF('3'!P121&gt;=0,"+",IF('3'!P121&lt;=(-1*'3'!$V$3),"-1","-"))))</f>
        <v/>
      </c>
      <c r="Q59" s="19" t="str">
        <f>IF(ISBLANK('Raw counts'!Q60),"",IF('3'!Q121&gt;='3'!$V$3,"+1",IF('3'!Q121&gt;=0,"+",IF('3'!Q121&lt;=(-1*'3'!$V$3),"-1","-"))))</f>
        <v/>
      </c>
      <c r="R59" s="19" t="str">
        <f>IF(ISBLANK('Raw counts'!R60),"",IF('3'!R121&gt;='3'!$V$3,"+1",IF('3'!R121&gt;=0,"+",IF('3'!R121&lt;=(-1*'3'!$V$3),"-1","-"))))</f>
        <v/>
      </c>
      <c r="S59" s="19" t="str">
        <f>IF(ISBLANK('Raw counts'!S60),"",IF('3'!S121&gt;='3'!$V$3,"+1",IF('3'!S121&gt;=0,"+",IF('3'!S121&lt;=(-1*'3'!$V$3),"-1","-"))))</f>
        <v/>
      </c>
      <c r="T59" s="19" t="str">
        <f>IF(ISBLANK('Raw counts'!T60),"",IF('3'!T121&gt;='3'!$V$3,"+1",IF('3'!T121&gt;=0,"+",IF('3'!T121&lt;=(-1*'3'!$V$3),"-1","-"))))</f>
        <v/>
      </c>
      <c r="U59" s="19" t="str">
        <f>IF(ISBLANK('Raw counts'!U60),"",IF('3'!U121&gt;='3'!$V$3,"+1",IF('3'!U121&gt;=0,"+",IF('3'!U121&lt;=(-1*'3'!$V$3),"-1","-"))))</f>
        <v/>
      </c>
    </row>
    <row r="60" spans="1:21" x14ac:dyDescent="0.15">
      <c r="A60" s="18" t="str">
        <f>IF(ISBLANK('Raw counts'!A61),"",'Raw counts'!A61)</f>
        <v>Attr57</v>
      </c>
      <c r="B60" s="19" t="str">
        <f>IF(ISBLANK('Raw counts'!B61),"",IF('3'!B122&gt;='3'!$V$3,"+1",IF('3'!B122&gt;=0,"+",IF('3'!B122&lt;=(-1*'3'!$V$3),"-1","-"))))</f>
        <v/>
      </c>
      <c r="C60" s="19" t="str">
        <f>IF(ISBLANK('Raw counts'!C61),"",IF('3'!C122&gt;='3'!$V$3,"+1",IF('3'!C122&gt;=0,"+",IF('3'!C122&lt;=(-1*'3'!$V$3),"-1","-"))))</f>
        <v/>
      </c>
      <c r="D60" s="19" t="str">
        <f>IF(ISBLANK('Raw counts'!D61),"",IF('3'!D122&gt;='3'!$V$3,"+1",IF('3'!D122&gt;=0,"+",IF('3'!D122&lt;=(-1*'3'!$V$3),"-1","-"))))</f>
        <v/>
      </c>
      <c r="E60" s="19" t="str">
        <f>IF(ISBLANK('Raw counts'!E61),"",IF('3'!E122&gt;='3'!$V$3,"+1",IF('3'!E122&gt;=0,"+",IF('3'!E122&lt;=(-1*'3'!$V$3),"-1","-"))))</f>
        <v/>
      </c>
      <c r="F60" s="19" t="str">
        <f>IF(ISBLANK('Raw counts'!F61),"",IF('3'!F122&gt;='3'!$V$3,"+1",IF('3'!F122&gt;=0,"+",IF('3'!F122&lt;=(-1*'3'!$V$3),"-1","-"))))</f>
        <v/>
      </c>
      <c r="G60" s="19" t="str">
        <f>IF(ISBLANK('Raw counts'!G61),"",IF('3'!G122&gt;='3'!$V$3,"+1",IF('3'!G122&gt;=0,"+",IF('3'!G122&lt;=(-1*'3'!$V$3),"-1","-"))))</f>
        <v/>
      </c>
      <c r="H60" s="19" t="str">
        <f>IF(ISBLANK('Raw counts'!H61),"",IF('3'!H122&gt;='3'!$V$3,"+1",IF('3'!H122&gt;=0,"+",IF('3'!H122&lt;=(-1*'3'!$V$3),"-1","-"))))</f>
        <v/>
      </c>
      <c r="I60" s="19" t="str">
        <f>IF(ISBLANK('Raw counts'!I61),"",IF('3'!I122&gt;='3'!$V$3,"+1",IF('3'!I122&gt;=0,"+",IF('3'!I122&lt;=(-1*'3'!$V$3),"-1","-"))))</f>
        <v/>
      </c>
      <c r="J60" s="19" t="str">
        <f>IF(ISBLANK('Raw counts'!J61),"",IF('3'!J122&gt;='3'!$V$3,"+1",IF('3'!J122&gt;=0,"+",IF('3'!J122&lt;=(-1*'3'!$V$3),"-1","-"))))</f>
        <v/>
      </c>
      <c r="K60" s="19" t="str">
        <f>IF(ISBLANK('Raw counts'!K61),"",IF('3'!K122&gt;='3'!$V$3,"+1",IF('3'!K122&gt;=0,"+",IF('3'!K122&lt;=(-1*'3'!$V$3),"-1","-"))))</f>
        <v/>
      </c>
      <c r="L60" s="19" t="str">
        <f>IF(ISBLANK('Raw counts'!L61),"",IF('3'!L122&gt;='3'!$V$3,"+1",IF('3'!L122&gt;=0,"+",IF('3'!L122&lt;=(-1*'3'!$V$3),"-1","-"))))</f>
        <v/>
      </c>
      <c r="M60" s="19" t="str">
        <f>IF(ISBLANK('Raw counts'!M61),"",IF('3'!M122&gt;='3'!$V$3,"+1",IF('3'!M122&gt;=0,"+",IF('3'!M122&lt;=(-1*'3'!$V$3),"-1","-"))))</f>
        <v/>
      </c>
      <c r="N60" s="19" t="str">
        <f>IF(ISBLANK('Raw counts'!N61),"",IF('3'!N122&gt;='3'!$V$3,"+1",IF('3'!N122&gt;=0,"+",IF('3'!N122&lt;=(-1*'3'!$V$3),"-1","-"))))</f>
        <v/>
      </c>
      <c r="O60" s="19" t="str">
        <f>IF(ISBLANK('Raw counts'!O61),"",IF('3'!O122&gt;='3'!$V$3,"+1",IF('3'!O122&gt;=0,"+",IF('3'!O122&lt;=(-1*'3'!$V$3),"-1","-"))))</f>
        <v/>
      </c>
      <c r="P60" s="19" t="str">
        <f>IF(ISBLANK('Raw counts'!P61),"",IF('3'!P122&gt;='3'!$V$3,"+1",IF('3'!P122&gt;=0,"+",IF('3'!P122&lt;=(-1*'3'!$V$3),"-1","-"))))</f>
        <v/>
      </c>
      <c r="Q60" s="19" t="str">
        <f>IF(ISBLANK('Raw counts'!Q61),"",IF('3'!Q122&gt;='3'!$V$3,"+1",IF('3'!Q122&gt;=0,"+",IF('3'!Q122&lt;=(-1*'3'!$V$3),"-1","-"))))</f>
        <v/>
      </c>
      <c r="R60" s="19" t="str">
        <f>IF(ISBLANK('Raw counts'!R61),"",IF('3'!R122&gt;='3'!$V$3,"+1",IF('3'!R122&gt;=0,"+",IF('3'!R122&lt;=(-1*'3'!$V$3),"-1","-"))))</f>
        <v/>
      </c>
      <c r="S60" s="19" t="str">
        <f>IF(ISBLANK('Raw counts'!S61),"",IF('3'!S122&gt;='3'!$V$3,"+1",IF('3'!S122&gt;=0,"+",IF('3'!S122&lt;=(-1*'3'!$V$3),"-1","-"))))</f>
        <v/>
      </c>
      <c r="T60" s="19" t="str">
        <f>IF(ISBLANK('Raw counts'!T61),"",IF('3'!T122&gt;='3'!$V$3,"+1",IF('3'!T122&gt;=0,"+",IF('3'!T122&lt;=(-1*'3'!$V$3),"-1","-"))))</f>
        <v/>
      </c>
      <c r="U60" s="19" t="str">
        <f>IF(ISBLANK('Raw counts'!U61),"",IF('3'!U122&gt;='3'!$V$3,"+1",IF('3'!U122&gt;=0,"+",IF('3'!U122&lt;=(-1*'3'!$V$3),"-1","-"))))</f>
        <v/>
      </c>
    </row>
    <row r="61" spans="1:21" x14ac:dyDescent="0.15">
      <c r="A61" s="18" t="str">
        <f>IF(ISBLANK('Raw counts'!A62),"",'Raw counts'!A62)</f>
        <v>Attr58</v>
      </c>
      <c r="B61" s="19" t="str">
        <f>IF(ISBLANK('Raw counts'!B62),"",IF('3'!B123&gt;='3'!$V$3,"+1",IF('3'!B123&gt;=0,"+",IF('3'!B123&lt;=(-1*'3'!$V$3),"-1","-"))))</f>
        <v/>
      </c>
      <c r="C61" s="19" t="str">
        <f>IF(ISBLANK('Raw counts'!C62),"",IF('3'!C123&gt;='3'!$V$3,"+1",IF('3'!C123&gt;=0,"+",IF('3'!C123&lt;=(-1*'3'!$V$3),"-1","-"))))</f>
        <v/>
      </c>
      <c r="D61" s="19" t="str">
        <f>IF(ISBLANK('Raw counts'!D62),"",IF('3'!D123&gt;='3'!$V$3,"+1",IF('3'!D123&gt;=0,"+",IF('3'!D123&lt;=(-1*'3'!$V$3),"-1","-"))))</f>
        <v/>
      </c>
      <c r="E61" s="19" t="str">
        <f>IF(ISBLANK('Raw counts'!E62),"",IF('3'!E123&gt;='3'!$V$3,"+1",IF('3'!E123&gt;=0,"+",IF('3'!E123&lt;=(-1*'3'!$V$3),"-1","-"))))</f>
        <v/>
      </c>
      <c r="F61" s="19" t="str">
        <f>IF(ISBLANK('Raw counts'!F62),"",IF('3'!F123&gt;='3'!$V$3,"+1",IF('3'!F123&gt;=0,"+",IF('3'!F123&lt;=(-1*'3'!$V$3),"-1","-"))))</f>
        <v/>
      </c>
      <c r="G61" s="19" t="str">
        <f>IF(ISBLANK('Raw counts'!G62),"",IF('3'!G123&gt;='3'!$V$3,"+1",IF('3'!G123&gt;=0,"+",IF('3'!G123&lt;=(-1*'3'!$V$3),"-1","-"))))</f>
        <v/>
      </c>
      <c r="H61" s="19" t="str">
        <f>IF(ISBLANK('Raw counts'!H62),"",IF('3'!H123&gt;='3'!$V$3,"+1",IF('3'!H123&gt;=0,"+",IF('3'!H123&lt;=(-1*'3'!$V$3),"-1","-"))))</f>
        <v/>
      </c>
      <c r="I61" s="19" t="str">
        <f>IF(ISBLANK('Raw counts'!I62),"",IF('3'!I123&gt;='3'!$V$3,"+1",IF('3'!I123&gt;=0,"+",IF('3'!I123&lt;=(-1*'3'!$V$3),"-1","-"))))</f>
        <v/>
      </c>
      <c r="J61" s="19" t="str">
        <f>IF(ISBLANK('Raw counts'!J62),"",IF('3'!J123&gt;='3'!$V$3,"+1",IF('3'!J123&gt;=0,"+",IF('3'!J123&lt;=(-1*'3'!$V$3),"-1","-"))))</f>
        <v/>
      </c>
      <c r="K61" s="19" t="str">
        <f>IF(ISBLANK('Raw counts'!K62),"",IF('3'!K123&gt;='3'!$V$3,"+1",IF('3'!K123&gt;=0,"+",IF('3'!K123&lt;=(-1*'3'!$V$3),"-1","-"))))</f>
        <v/>
      </c>
      <c r="L61" s="19" t="str">
        <f>IF(ISBLANK('Raw counts'!L62),"",IF('3'!L123&gt;='3'!$V$3,"+1",IF('3'!L123&gt;=0,"+",IF('3'!L123&lt;=(-1*'3'!$V$3),"-1","-"))))</f>
        <v/>
      </c>
      <c r="M61" s="19" t="str">
        <f>IF(ISBLANK('Raw counts'!M62),"",IF('3'!M123&gt;='3'!$V$3,"+1",IF('3'!M123&gt;=0,"+",IF('3'!M123&lt;=(-1*'3'!$V$3),"-1","-"))))</f>
        <v/>
      </c>
      <c r="N61" s="19" t="str">
        <f>IF(ISBLANK('Raw counts'!N62),"",IF('3'!N123&gt;='3'!$V$3,"+1",IF('3'!N123&gt;=0,"+",IF('3'!N123&lt;=(-1*'3'!$V$3),"-1","-"))))</f>
        <v/>
      </c>
      <c r="O61" s="19" t="str">
        <f>IF(ISBLANK('Raw counts'!O62),"",IF('3'!O123&gt;='3'!$V$3,"+1",IF('3'!O123&gt;=0,"+",IF('3'!O123&lt;=(-1*'3'!$V$3),"-1","-"))))</f>
        <v/>
      </c>
      <c r="P61" s="19" t="str">
        <f>IF(ISBLANK('Raw counts'!P62),"",IF('3'!P123&gt;='3'!$V$3,"+1",IF('3'!P123&gt;=0,"+",IF('3'!P123&lt;=(-1*'3'!$V$3),"-1","-"))))</f>
        <v/>
      </c>
      <c r="Q61" s="19" t="str">
        <f>IF(ISBLANK('Raw counts'!Q62),"",IF('3'!Q123&gt;='3'!$V$3,"+1",IF('3'!Q123&gt;=0,"+",IF('3'!Q123&lt;=(-1*'3'!$V$3),"-1","-"))))</f>
        <v/>
      </c>
      <c r="R61" s="19" t="str">
        <f>IF(ISBLANK('Raw counts'!R62),"",IF('3'!R123&gt;='3'!$V$3,"+1",IF('3'!R123&gt;=0,"+",IF('3'!R123&lt;=(-1*'3'!$V$3),"-1","-"))))</f>
        <v/>
      </c>
      <c r="S61" s="19" t="str">
        <f>IF(ISBLANK('Raw counts'!S62),"",IF('3'!S123&gt;='3'!$V$3,"+1",IF('3'!S123&gt;=0,"+",IF('3'!S123&lt;=(-1*'3'!$V$3),"-1","-"))))</f>
        <v/>
      </c>
      <c r="T61" s="19" t="str">
        <f>IF(ISBLANK('Raw counts'!T62),"",IF('3'!T123&gt;='3'!$V$3,"+1",IF('3'!T123&gt;=0,"+",IF('3'!T123&lt;=(-1*'3'!$V$3),"-1","-"))))</f>
        <v/>
      </c>
      <c r="U61" s="19" t="str">
        <f>IF(ISBLANK('Raw counts'!U62),"",IF('3'!U123&gt;='3'!$V$3,"+1",IF('3'!U123&gt;=0,"+",IF('3'!U123&lt;=(-1*'3'!$V$3),"-1","-"))))</f>
        <v/>
      </c>
    </row>
    <row r="62" spans="1:21" x14ac:dyDescent="0.15">
      <c r="A62" s="18" t="str">
        <f>IF(ISBLANK('Raw counts'!A63),"",'Raw counts'!A63)</f>
        <v>Attr59</v>
      </c>
      <c r="B62" s="19" t="str">
        <f>IF(ISBLANK('Raw counts'!B63),"",IF('3'!B124&gt;='3'!$V$3,"+1",IF('3'!B124&gt;=0,"+",IF('3'!B124&lt;=(-1*'3'!$V$3),"-1","-"))))</f>
        <v/>
      </c>
      <c r="C62" s="19" t="str">
        <f>IF(ISBLANK('Raw counts'!C63),"",IF('3'!C124&gt;='3'!$V$3,"+1",IF('3'!C124&gt;=0,"+",IF('3'!C124&lt;=(-1*'3'!$V$3),"-1","-"))))</f>
        <v/>
      </c>
      <c r="D62" s="19" t="str">
        <f>IF(ISBLANK('Raw counts'!D63),"",IF('3'!D124&gt;='3'!$V$3,"+1",IF('3'!D124&gt;=0,"+",IF('3'!D124&lt;=(-1*'3'!$V$3),"-1","-"))))</f>
        <v/>
      </c>
      <c r="E62" s="19" t="str">
        <f>IF(ISBLANK('Raw counts'!E63),"",IF('3'!E124&gt;='3'!$V$3,"+1",IF('3'!E124&gt;=0,"+",IF('3'!E124&lt;=(-1*'3'!$V$3),"-1","-"))))</f>
        <v/>
      </c>
      <c r="F62" s="19" t="str">
        <f>IF(ISBLANK('Raw counts'!F63),"",IF('3'!F124&gt;='3'!$V$3,"+1",IF('3'!F124&gt;=0,"+",IF('3'!F124&lt;=(-1*'3'!$V$3),"-1","-"))))</f>
        <v/>
      </c>
      <c r="G62" s="19" t="str">
        <f>IF(ISBLANK('Raw counts'!G63),"",IF('3'!G124&gt;='3'!$V$3,"+1",IF('3'!G124&gt;=0,"+",IF('3'!G124&lt;=(-1*'3'!$V$3),"-1","-"))))</f>
        <v/>
      </c>
      <c r="H62" s="19" t="str">
        <f>IF(ISBLANK('Raw counts'!H63),"",IF('3'!H124&gt;='3'!$V$3,"+1",IF('3'!H124&gt;=0,"+",IF('3'!H124&lt;=(-1*'3'!$V$3),"-1","-"))))</f>
        <v/>
      </c>
      <c r="I62" s="19" t="str">
        <f>IF(ISBLANK('Raw counts'!I63),"",IF('3'!I124&gt;='3'!$V$3,"+1",IF('3'!I124&gt;=0,"+",IF('3'!I124&lt;=(-1*'3'!$V$3),"-1","-"))))</f>
        <v/>
      </c>
      <c r="J62" s="19" t="str">
        <f>IF(ISBLANK('Raw counts'!J63),"",IF('3'!J124&gt;='3'!$V$3,"+1",IF('3'!J124&gt;=0,"+",IF('3'!J124&lt;=(-1*'3'!$V$3),"-1","-"))))</f>
        <v/>
      </c>
      <c r="K62" s="19" t="str">
        <f>IF(ISBLANK('Raw counts'!K63),"",IF('3'!K124&gt;='3'!$V$3,"+1",IF('3'!K124&gt;=0,"+",IF('3'!K124&lt;=(-1*'3'!$V$3),"-1","-"))))</f>
        <v/>
      </c>
      <c r="L62" s="19" t="str">
        <f>IF(ISBLANK('Raw counts'!L63),"",IF('3'!L124&gt;='3'!$V$3,"+1",IF('3'!L124&gt;=0,"+",IF('3'!L124&lt;=(-1*'3'!$V$3),"-1","-"))))</f>
        <v/>
      </c>
      <c r="M62" s="19" t="str">
        <f>IF(ISBLANK('Raw counts'!M63),"",IF('3'!M124&gt;='3'!$V$3,"+1",IF('3'!M124&gt;=0,"+",IF('3'!M124&lt;=(-1*'3'!$V$3),"-1","-"))))</f>
        <v/>
      </c>
      <c r="N62" s="19" t="str">
        <f>IF(ISBLANK('Raw counts'!N63),"",IF('3'!N124&gt;='3'!$V$3,"+1",IF('3'!N124&gt;=0,"+",IF('3'!N124&lt;=(-1*'3'!$V$3),"-1","-"))))</f>
        <v/>
      </c>
      <c r="O62" s="19" t="str">
        <f>IF(ISBLANK('Raw counts'!O63),"",IF('3'!O124&gt;='3'!$V$3,"+1",IF('3'!O124&gt;=0,"+",IF('3'!O124&lt;=(-1*'3'!$V$3),"-1","-"))))</f>
        <v/>
      </c>
      <c r="P62" s="19" t="str">
        <f>IF(ISBLANK('Raw counts'!P63),"",IF('3'!P124&gt;='3'!$V$3,"+1",IF('3'!P124&gt;=0,"+",IF('3'!P124&lt;=(-1*'3'!$V$3),"-1","-"))))</f>
        <v/>
      </c>
      <c r="Q62" s="19" t="str">
        <f>IF(ISBLANK('Raw counts'!Q63),"",IF('3'!Q124&gt;='3'!$V$3,"+1",IF('3'!Q124&gt;=0,"+",IF('3'!Q124&lt;=(-1*'3'!$V$3),"-1","-"))))</f>
        <v/>
      </c>
      <c r="R62" s="19" t="str">
        <f>IF(ISBLANK('Raw counts'!R63),"",IF('3'!R124&gt;='3'!$V$3,"+1",IF('3'!R124&gt;=0,"+",IF('3'!R124&lt;=(-1*'3'!$V$3),"-1","-"))))</f>
        <v/>
      </c>
      <c r="S62" s="19" t="str">
        <f>IF(ISBLANK('Raw counts'!S63),"",IF('3'!S124&gt;='3'!$V$3,"+1",IF('3'!S124&gt;=0,"+",IF('3'!S124&lt;=(-1*'3'!$V$3),"-1","-"))))</f>
        <v/>
      </c>
      <c r="T62" s="19" t="str">
        <f>IF(ISBLANK('Raw counts'!T63),"",IF('3'!T124&gt;='3'!$V$3,"+1",IF('3'!T124&gt;=0,"+",IF('3'!T124&lt;=(-1*'3'!$V$3),"-1","-"))))</f>
        <v/>
      </c>
      <c r="U62" s="19" t="str">
        <f>IF(ISBLANK('Raw counts'!U63),"",IF('3'!U124&gt;='3'!$V$3,"+1",IF('3'!U124&gt;=0,"+",IF('3'!U124&lt;=(-1*'3'!$V$3),"-1","-"))))</f>
        <v/>
      </c>
    </row>
    <row r="63" spans="1:21" x14ac:dyDescent="0.15">
      <c r="A63" s="18" t="str">
        <f>IF(ISBLANK('Raw counts'!A64),"",'Raw counts'!A64)</f>
        <v>Attr60</v>
      </c>
      <c r="B63" s="19" t="str">
        <f>IF(ISBLANK('Raw counts'!B64),"",IF('3'!B125&gt;='3'!$V$3,"+1",IF('3'!B125&gt;=0,"+",IF('3'!B125&lt;=(-1*'3'!$V$3),"-1","-"))))</f>
        <v/>
      </c>
      <c r="C63" s="19" t="str">
        <f>IF(ISBLANK('Raw counts'!C64),"",IF('3'!C125&gt;='3'!$V$3,"+1",IF('3'!C125&gt;=0,"+",IF('3'!C125&lt;=(-1*'3'!$V$3),"-1","-"))))</f>
        <v/>
      </c>
      <c r="D63" s="19" t="str">
        <f>IF(ISBLANK('Raw counts'!D64),"",IF('3'!D125&gt;='3'!$V$3,"+1",IF('3'!D125&gt;=0,"+",IF('3'!D125&lt;=(-1*'3'!$V$3),"-1","-"))))</f>
        <v/>
      </c>
      <c r="E63" s="19" t="str">
        <f>IF(ISBLANK('Raw counts'!E64),"",IF('3'!E125&gt;='3'!$V$3,"+1",IF('3'!E125&gt;=0,"+",IF('3'!E125&lt;=(-1*'3'!$V$3),"-1","-"))))</f>
        <v/>
      </c>
      <c r="F63" s="19" t="str">
        <f>IF(ISBLANK('Raw counts'!F64),"",IF('3'!F125&gt;='3'!$V$3,"+1",IF('3'!F125&gt;=0,"+",IF('3'!F125&lt;=(-1*'3'!$V$3),"-1","-"))))</f>
        <v/>
      </c>
      <c r="G63" s="19" t="str">
        <f>IF(ISBLANK('Raw counts'!G64),"",IF('3'!G125&gt;='3'!$V$3,"+1",IF('3'!G125&gt;=0,"+",IF('3'!G125&lt;=(-1*'3'!$V$3),"-1","-"))))</f>
        <v/>
      </c>
      <c r="H63" s="19" t="str">
        <f>IF(ISBLANK('Raw counts'!H64),"",IF('3'!H125&gt;='3'!$V$3,"+1",IF('3'!H125&gt;=0,"+",IF('3'!H125&lt;=(-1*'3'!$V$3),"-1","-"))))</f>
        <v/>
      </c>
      <c r="I63" s="19" t="str">
        <f>IF(ISBLANK('Raw counts'!I64),"",IF('3'!I125&gt;='3'!$V$3,"+1",IF('3'!I125&gt;=0,"+",IF('3'!I125&lt;=(-1*'3'!$V$3),"-1","-"))))</f>
        <v/>
      </c>
      <c r="J63" s="19" t="str">
        <f>IF(ISBLANK('Raw counts'!J64),"",IF('3'!J125&gt;='3'!$V$3,"+1",IF('3'!J125&gt;=0,"+",IF('3'!J125&lt;=(-1*'3'!$V$3),"-1","-"))))</f>
        <v/>
      </c>
      <c r="K63" s="19" t="str">
        <f>IF(ISBLANK('Raw counts'!K64),"",IF('3'!K125&gt;='3'!$V$3,"+1",IF('3'!K125&gt;=0,"+",IF('3'!K125&lt;=(-1*'3'!$V$3),"-1","-"))))</f>
        <v/>
      </c>
      <c r="L63" s="19" t="str">
        <f>IF(ISBLANK('Raw counts'!L64),"",IF('3'!L125&gt;='3'!$V$3,"+1",IF('3'!L125&gt;=0,"+",IF('3'!L125&lt;=(-1*'3'!$V$3),"-1","-"))))</f>
        <v/>
      </c>
      <c r="M63" s="19" t="str">
        <f>IF(ISBLANK('Raw counts'!M64),"",IF('3'!M125&gt;='3'!$V$3,"+1",IF('3'!M125&gt;=0,"+",IF('3'!M125&lt;=(-1*'3'!$V$3),"-1","-"))))</f>
        <v/>
      </c>
      <c r="N63" s="19" t="str">
        <f>IF(ISBLANK('Raw counts'!N64),"",IF('3'!N125&gt;='3'!$V$3,"+1",IF('3'!N125&gt;=0,"+",IF('3'!N125&lt;=(-1*'3'!$V$3),"-1","-"))))</f>
        <v/>
      </c>
      <c r="O63" s="19" t="str">
        <f>IF(ISBLANK('Raw counts'!O64),"",IF('3'!O125&gt;='3'!$V$3,"+1",IF('3'!O125&gt;=0,"+",IF('3'!O125&lt;=(-1*'3'!$V$3),"-1","-"))))</f>
        <v/>
      </c>
      <c r="P63" s="19" t="str">
        <f>IF(ISBLANK('Raw counts'!P64),"",IF('3'!P125&gt;='3'!$V$3,"+1",IF('3'!P125&gt;=0,"+",IF('3'!P125&lt;=(-1*'3'!$V$3),"-1","-"))))</f>
        <v/>
      </c>
      <c r="Q63" s="19" t="str">
        <f>IF(ISBLANK('Raw counts'!Q64),"",IF('3'!Q125&gt;='3'!$V$3,"+1",IF('3'!Q125&gt;=0,"+",IF('3'!Q125&lt;=(-1*'3'!$V$3),"-1","-"))))</f>
        <v/>
      </c>
      <c r="R63" s="19" t="str">
        <f>IF(ISBLANK('Raw counts'!R64),"",IF('3'!R125&gt;='3'!$V$3,"+1",IF('3'!R125&gt;=0,"+",IF('3'!R125&lt;=(-1*'3'!$V$3),"-1","-"))))</f>
        <v/>
      </c>
      <c r="S63" s="19" t="str">
        <f>IF(ISBLANK('Raw counts'!S64),"",IF('3'!S125&gt;='3'!$V$3,"+1",IF('3'!S125&gt;=0,"+",IF('3'!S125&lt;=(-1*'3'!$V$3),"-1","-"))))</f>
        <v/>
      </c>
      <c r="T63" s="19" t="str">
        <f>IF(ISBLANK('Raw counts'!T64),"",IF('3'!T125&gt;='3'!$V$3,"+1",IF('3'!T125&gt;=0,"+",IF('3'!T125&lt;=(-1*'3'!$V$3),"-1","-"))))</f>
        <v/>
      </c>
      <c r="U63" s="19" t="str">
        <f>IF(ISBLANK('Raw counts'!U64),"",IF('3'!U125&gt;='3'!$V$3,"+1",IF('3'!U125&gt;=0,"+",IF('3'!U125&lt;=(-1*'3'!$V$3),"-1","-"))))</f>
        <v/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63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16384" width="9" style="1"/>
  </cols>
  <sheetData>
    <row r="1" spans="1:21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</row>
    <row r="2" spans="1:21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</row>
    <row r="3" spans="1:21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</row>
    <row r="4" spans="1:21" ht="38.25" x14ac:dyDescent="0.15">
      <c r="A4" s="18" t="str">
        <f>IF(ISBLANK('Raw counts'!A5),"",'Raw counts'!A5)</f>
        <v xml:space="preserve">Doesn't offer version I want                                                </v>
      </c>
      <c r="B4" s="19">
        <f>IF(ISBLANK('Raw counts'!B5),"",IF(ISERROR(IF('3'!B4&lt;MAX('3'!$B4:$U4),HLOOKUP('3'!B4+1,'3'!$B4:$U66,'3'!$W$3+3,0),'3'!B66)),'3'!B66,IF('3'!B4&lt;MAX('3'!$B4:$U4),HLOOKUP('3'!B4+1,'3'!$B4:$U66,'3'!$W$3+3,0),'3'!B66)))</f>
        <v>-3.853862212943632</v>
      </c>
      <c r="C4" s="19">
        <f>IF(ISBLANK('Raw counts'!C5),"",IF(ISERROR(IF('3'!C4&lt;MAX('3'!$B4:$U4),HLOOKUP('3'!C4+1,'3'!$B4:$U66,'3'!$W$3+3,0),'3'!C66)),'3'!C66,IF('3'!C4&lt;MAX('3'!$B4:$U4),HLOOKUP('3'!C4+1,'3'!$B4:$U66,'3'!$W$3+3,0),'3'!C66)))</f>
        <v>1.4070981210855962</v>
      </c>
      <c r="D4" s="19">
        <f>IF(ISBLANK('Raw counts'!D5),"",IF(ISERROR(IF('3'!D4&lt;MAX('3'!$B4:$U4),HLOOKUP('3'!D4+1,'3'!$B4:$U66,'3'!$W$3+3,0),'3'!D66)),'3'!D66,IF('3'!D4&lt;MAX('3'!$B4:$U4),HLOOKUP('3'!D4+1,'3'!$B4:$U66,'3'!$W$3+3,0),'3'!D66)))</f>
        <v>-0.31106471816283943</v>
      </c>
      <c r="E4" s="19">
        <f>IF(ISBLANK('Raw counts'!E5),"",IF(ISERROR(IF('3'!E4&lt;MAX('3'!$B4:$U4),HLOOKUP('3'!E4+1,'3'!$B4:$U66,'3'!$W$3+3,0),'3'!E66)),'3'!E66,IF('3'!E4&lt;MAX('3'!$B4:$U4),HLOOKUP('3'!E4+1,'3'!$B4:$U66,'3'!$W$3+3,0),'3'!E66)))</f>
        <v>-0.77035490605427981</v>
      </c>
      <c r="F4" s="19">
        <f>IF(ISBLANK('Raw counts'!F5),"",IF(ISERROR(IF('3'!F4&lt;MAX('3'!$B4:$U4),HLOOKUP('3'!F4+1,'3'!$B4:$U66,'3'!$W$3+3,0),'3'!F66)),'3'!F66,IF('3'!F4&lt;MAX('3'!$B4:$U4),HLOOKUP('3'!F4+1,'3'!$B4:$U66,'3'!$W$3+3,0),'3'!F66)))</f>
        <v>0.50730688935281876</v>
      </c>
      <c r="G4" s="19">
        <f>IF(ISBLANK('Raw counts'!G5),"",IF(ISERROR(IF('3'!G4&lt;MAX('3'!$B4:$U4),HLOOKUP('3'!G4+1,'3'!$B4:$U66,'3'!$W$3+3,0),'3'!G66)),'3'!G66,IF('3'!G4&lt;MAX('3'!$B4:$U4),HLOOKUP('3'!G4+1,'3'!$B4:$U66,'3'!$W$3+3,0),'3'!G66)))</f>
        <v>-0.37160751565762062</v>
      </c>
      <c r="H4" s="19">
        <f>IF(ISBLANK('Raw counts'!H5),"",IF(ISERROR(IF('3'!H4&lt;MAX('3'!$B4:$U4),HLOOKUP('3'!H4+1,'3'!$B4:$U66,'3'!$W$3+3,0),'3'!H66)),'3'!H66,IF('3'!H4&lt;MAX('3'!$B4:$U4),HLOOKUP('3'!H4+1,'3'!$B4:$U66,'3'!$W$3+3,0),'3'!H66)))</f>
        <v>1.233820459290186</v>
      </c>
      <c r="I4" s="19">
        <f>IF(ISBLANK('Raw counts'!I5),"",IF(ISERROR(IF('3'!I4&lt;MAX('3'!$B4:$U4),HLOOKUP('3'!I4+1,'3'!$B4:$U66,'3'!$W$3+3,0),'3'!I66)),'3'!I66,IF('3'!I4&lt;MAX('3'!$B4:$U4),HLOOKUP('3'!I4+1,'3'!$B4:$U66,'3'!$W$3+3,0),'3'!I66)))</f>
        <v>-1.463465553235908</v>
      </c>
      <c r="J4" s="19">
        <f>IF(ISBLANK('Raw counts'!J5),"",IF(ISERROR(IF('3'!J4&lt;MAX('3'!$B4:$U4),HLOOKUP('3'!J4+1,'3'!$B4:$U66,'3'!$W$3+3,0),'3'!J66)),'3'!J66,IF('3'!J4&lt;MAX('3'!$B4:$U4),HLOOKUP('3'!J4+1,'3'!$B4:$U66,'3'!$W$3+3,0),'3'!J66)))</f>
        <v>1.0438413361169019E-2</v>
      </c>
      <c r="K4" s="19">
        <f>IF(ISBLANK('Raw counts'!K5),"",IF(ISERROR(IF('3'!K4&lt;MAX('3'!$B4:$U4),HLOOKUP('3'!K4+1,'3'!$B4:$U66,'3'!$W$3+3,0),'3'!K66)),'3'!K66,IF('3'!K4&lt;MAX('3'!$B4:$U4),HLOOKUP('3'!K4+1,'3'!$B4:$U66,'3'!$W$3+3,0),'3'!K66)))</f>
        <v>-3.853862212943632</v>
      </c>
      <c r="L4" s="19">
        <f>IF(ISBLANK('Raw counts'!L5),"",IF(ISERROR(IF('3'!L4&lt;MAX('3'!$B4:$U4),HLOOKUP('3'!L4+1,'3'!$B4:$U66,'3'!$W$3+3,0),'3'!L66)),'3'!L66,IF('3'!L4&lt;MAX('3'!$B4:$U4),HLOOKUP('3'!L4+1,'3'!$B4:$U66,'3'!$W$3+3,0),'3'!L66)))</f>
        <v>-1.5762004175365263</v>
      </c>
      <c r="M4" s="19" t="str">
        <f>IF(ISBLANK('Raw counts'!M5),"",IF(ISERROR(IF('3'!M4&lt;MAX('3'!$B4:$U4),HLOOKUP('3'!M4+1,'3'!$B4:$U66,'3'!$W$3+3,0),'3'!M66)),'3'!M66,IF('3'!M4&lt;MAX('3'!$B4:$U4),HLOOKUP('3'!M4+1,'3'!$B4:$U66,'3'!$W$3+3,0),'3'!M66)))</f>
        <v/>
      </c>
      <c r="N4" s="19" t="str">
        <f>IF(ISBLANK('Raw counts'!N5),"",IF(ISERROR(IF('3'!N4&lt;MAX('3'!$B4:$U4),HLOOKUP('3'!N4+1,'3'!$B4:$U66,'3'!$W$3+3,0),'3'!N66)),'3'!N66,IF('3'!N4&lt;MAX('3'!$B4:$U4),HLOOKUP('3'!N4+1,'3'!$B4:$U66,'3'!$W$3+3,0),'3'!N66)))</f>
        <v/>
      </c>
      <c r="O4" s="19" t="str">
        <f>IF(ISBLANK('Raw counts'!O5),"",IF(ISERROR(IF('3'!O4&lt;MAX('3'!$B4:$U4),HLOOKUP('3'!O4+1,'3'!$B4:$U66,'3'!$W$3+3,0),'3'!O66)),'3'!O66,IF('3'!O4&lt;MAX('3'!$B4:$U4),HLOOKUP('3'!O4+1,'3'!$B4:$U66,'3'!$W$3+3,0),'3'!O66)))</f>
        <v/>
      </c>
      <c r="P4" s="19" t="str">
        <f>IF(ISBLANK('Raw counts'!P5),"",IF(ISERROR(IF('3'!P4&lt;MAX('3'!$B4:$U4),HLOOKUP('3'!P4+1,'3'!$B4:$U66,'3'!$W$3+3,0),'3'!P66)),'3'!P66,IF('3'!P4&lt;MAX('3'!$B4:$U4),HLOOKUP('3'!P4+1,'3'!$B4:$U66,'3'!$W$3+3,0),'3'!P66)))</f>
        <v/>
      </c>
      <c r="Q4" s="19" t="str">
        <f>IF(ISBLANK('Raw counts'!Q5),"",IF(ISERROR(IF('3'!Q4&lt;MAX('3'!$B4:$U4),HLOOKUP('3'!Q4+1,'3'!$B4:$U66,'3'!$W$3+3,0),'3'!Q66)),'3'!Q66,IF('3'!Q4&lt;MAX('3'!$B4:$U4),HLOOKUP('3'!Q4+1,'3'!$B4:$U66,'3'!$W$3+3,0),'3'!Q66)))</f>
        <v/>
      </c>
      <c r="R4" s="19" t="str">
        <f>IF(ISBLANK('Raw counts'!R5),"",IF(ISERROR(IF('3'!R4&lt;MAX('3'!$B4:$U4),HLOOKUP('3'!R4+1,'3'!$B4:$U66,'3'!$W$3+3,0),'3'!R66)),'3'!R66,IF('3'!R4&lt;MAX('3'!$B4:$U4),HLOOKUP('3'!R4+1,'3'!$B4:$U66,'3'!$W$3+3,0),'3'!R66)))</f>
        <v/>
      </c>
      <c r="S4" s="19" t="str">
        <f>IF(ISBLANK('Raw counts'!S5),"",IF(ISERROR(IF('3'!S4&lt;MAX('3'!$B4:$U4),HLOOKUP('3'!S4+1,'3'!$B4:$U66,'3'!$W$3+3,0),'3'!S66)),'3'!S66,IF('3'!S4&lt;MAX('3'!$B4:$U4),HLOOKUP('3'!S4+1,'3'!$B4:$U66,'3'!$W$3+3,0),'3'!S66)))</f>
        <v/>
      </c>
      <c r="T4" s="19" t="str">
        <f>IF(ISBLANK('Raw counts'!T5),"",IF(ISERROR(IF('3'!T4&lt;MAX('3'!$B4:$U4),HLOOKUP('3'!T4+1,'3'!$B4:$U66,'3'!$W$3+3,0),'3'!T66)),'3'!T66,IF('3'!T4&lt;MAX('3'!$B4:$U4),HLOOKUP('3'!T4+1,'3'!$B4:$U66,'3'!$W$3+3,0),'3'!T66)))</f>
        <v/>
      </c>
      <c r="U4" s="19" t="str">
        <f>IF(ISBLANK('Raw counts'!U5),"",IF(ISERROR(IF('3'!U4&lt;MAX('3'!$B4:$U4),HLOOKUP('3'!U4+1,'3'!$B4:$U66,'3'!$W$3+3,0),'3'!U66)),'3'!U66,IF('3'!U4&lt;MAX('3'!$B4:$U4),HLOOKUP('3'!U4+1,'3'!$B4:$U66,'3'!$W$3+3,0),'3'!U66)))</f>
        <v/>
      </c>
    </row>
    <row r="5" spans="1:21" ht="38.25" x14ac:dyDescent="0.15">
      <c r="A5" s="18" t="str">
        <f>IF(ISBLANK('Raw counts'!A6),"",'Raw counts'!A6)</f>
        <v xml:space="preserve">Doesn't offer enough variety or versions in the store/online                </v>
      </c>
      <c r="B5" s="19">
        <f>IF(ISBLANK('Raw counts'!B6),"",IF(ISERROR(IF('3'!B5&lt;MAX('3'!$B5:$U5),HLOOKUP('3'!B5+1,'3'!$B5:$U67,'3'!$W$3+3,0),'3'!B67)),'3'!B67,IF('3'!B5&lt;MAX('3'!$B5:$U5),HLOOKUP('3'!B5+1,'3'!$B5:$U67,'3'!$W$3+3,0),'3'!B67)))</f>
        <v>-1.8599354716265282E-2</v>
      </c>
      <c r="C5" s="19">
        <f>IF(ISBLANK('Raw counts'!C6),"",IF(ISERROR(IF('3'!C5&lt;MAX('3'!$B5:$U5),HLOOKUP('3'!C5+1,'3'!$B5:$U67,'3'!$W$3+3,0),'3'!C67)),'3'!C67,IF('3'!C5&lt;MAX('3'!$B5:$U5),HLOOKUP('3'!C5+1,'3'!$B5:$U67,'3'!$W$3+3,0),'3'!C67)))</f>
        <v>-3.3046118808122982</v>
      </c>
      <c r="D5" s="19">
        <f>IF(ISBLANK('Raw counts'!D6),"",IF(ISERROR(IF('3'!D5&lt;MAX('3'!$B5:$U5),HLOOKUP('3'!D5+1,'3'!$B5:$U67,'3'!$W$3+3,0),'3'!D67)),'3'!D67,IF('3'!D5&lt;MAX('3'!$B5:$U5),HLOOKUP('3'!D5+1,'3'!$B5:$U67,'3'!$W$3+3,0),'3'!D67)))</f>
        <v>-6.9916492693110683</v>
      </c>
      <c r="E5" s="19">
        <f>IF(ISBLANK('Raw counts'!E6),"",IF(ISERROR(IF('3'!E5&lt;MAX('3'!$B5:$U5),HLOOKUP('3'!E5+1,'3'!$B5:$U67,'3'!$W$3+3,0),'3'!E67)),'3'!E67,IF('3'!E5&lt;MAX('3'!$B5:$U5),HLOOKUP('3'!E5+1,'3'!$B5:$U67,'3'!$W$3+3,0),'3'!E67)))</f>
        <v>-1.9700132852533683</v>
      </c>
      <c r="F5" s="19">
        <f>IF(ISBLANK('Raw counts'!F6),"",IF(ISERROR(IF('3'!F5&lt;MAX('3'!$B5:$U5),HLOOKUP('3'!F5+1,'3'!$B5:$U67,'3'!$W$3+3,0),'3'!F67)),'3'!F67,IF('3'!F5&lt;MAX('3'!$B5:$U5),HLOOKUP('3'!F5+1,'3'!$B5:$U67,'3'!$W$3+3,0),'3'!F67)))</f>
        <v>2.2846840007591638</v>
      </c>
      <c r="G5" s="19">
        <f>IF(ISBLANK('Raw counts'!G6),"",IF(ISERROR(IF('3'!G5&lt;MAX('3'!$B5:$U5),HLOOKUP('3'!G5+1,'3'!$B5:$U67,'3'!$W$3+3,0),'3'!G67)),'3'!G67,IF('3'!G5&lt;MAX('3'!$B5:$U5),HLOOKUP('3'!G5+1,'3'!$B5:$U67,'3'!$W$3+3,0),'3'!G67)))</f>
        <v>6.2323021446194673</v>
      </c>
      <c r="H5" s="19">
        <f>IF(ISBLANK('Raw counts'!H6),"",IF(ISERROR(IF('3'!H5&lt;MAX('3'!$B5:$U5),HLOOKUP('3'!H5+1,'3'!$B5:$U67,'3'!$W$3+3,0),'3'!H67)),'3'!H67,IF('3'!H5&lt;MAX('3'!$B5:$U5),HLOOKUP('3'!H5+1,'3'!$B5:$U67,'3'!$W$3+3,0),'3'!H67)))</f>
        <v>-6.9916492693110683</v>
      </c>
      <c r="I5" s="19">
        <f>IF(ISBLANK('Raw counts'!I6),"",IF(ISERROR(IF('3'!I5&lt;MAX('3'!$B5:$U5),HLOOKUP('3'!I5+1,'3'!$B5:$U67,'3'!$W$3+3,0),'3'!I67)),'3'!I67,IF('3'!I5&lt;MAX('3'!$B5:$U5),HLOOKUP('3'!I5+1,'3'!$B5:$U67,'3'!$W$3+3,0),'3'!I67)))</f>
        <v>-0.2184475232491927</v>
      </c>
      <c r="J5" s="19">
        <f>IF(ISBLANK('Raw counts'!J6),"",IF(ISERROR(IF('3'!J5&lt;MAX('3'!$B5:$U5),HLOOKUP('3'!J5+1,'3'!$B5:$U67,'3'!$W$3+3,0),'3'!J67)),'3'!J67,IF('3'!J5&lt;MAX('3'!$B5:$U5),HLOOKUP('3'!J5+1,'3'!$B5:$U67,'3'!$W$3+3,0),'3'!J67)))</f>
        <v>-2.1639779844372811</v>
      </c>
      <c r="K5" s="19">
        <f>IF(ISBLANK('Raw counts'!K6),"",IF(ISERROR(IF('3'!K5&lt;MAX('3'!$B5:$U5),HLOOKUP('3'!K5+1,'3'!$B5:$U67,'3'!$W$3+3,0),'3'!K67)),'3'!K67,IF('3'!K5&lt;MAX('3'!$B5:$U5),HLOOKUP('3'!K5+1,'3'!$B5:$U67,'3'!$W$3+3,0),'3'!K67)))</f>
        <v>-1.5120516226988041</v>
      </c>
      <c r="L5" s="19">
        <f>IF(ISBLANK('Raw counts'!L6),"",IF(ISERROR(IF('3'!L5&lt;MAX('3'!$B5:$U5),HLOOKUP('3'!L5+1,'3'!$B5:$U67,'3'!$W$3+3,0),'3'!L67)),'3'!L67,IF('3'!L5&lt;MAX('3'!$B5:$U5),HLOOKUP('3'!L5+1,'3'!$B5:$U67,'3'!$W$3+3,0),'3'!L67)))</f>
        <v>-4.7363826152970203</v>
      </c>
      <c r="M5" s="19" t="str">
        <f>IF(ISBLANK('Raw counts'!M6),"",IF(ISERROR(IF('3'!M5&lt;MAX('3'!$B5:$U5),HLOOKUP('3'!M5+1,'3'!$B5:$U67,'3'!$W$3+3,0),'3'!M67)),'3'!M67,IF('3'!M5&lt;MAX('3'!$B5:$U5),HLOOKUP('3'!M5+1,'3'!$B5:$U67,'3'!$W$3+3,0),'3'!M67)))</f>
        <v/>
      </c>
      <c r="N5" s="19" t="str">
        <f>IF(ISBLANK('Raw counts'!N6),"",IF(ISERROR(IF('3'!N5&lt;MAX('3'!$B5:$U5),HLOOKUP('3'!N5+1,'3'!$B5:$U67,'3'!$W$3+3,0),'3'!N67)),'3'!N67,IF('3'!N5&lt;MAX('3'!$B5:$U5),HLOOKUP('3'!N5+1,'3'!$B5:$U67,'3'!$W$3+3,0),'3'!N67)))</f>
        <v/>
      </c>
      <c r="O5" s="19" t="str">
        <f>IF(ISBLANK('Raw counts'!O6),"",IF(ISERROR(IF('3'!O5&lt;MAX('3'!$B5:$U5),HLOOKUP('3'!O5+1,'3'!$B5:$U67,'3'!$W$3+3,0),'3'!O67)),'3'!O67,IF('3'!O5&lt;MAX('3'!$B5:$U5),HLOOKUP('3'!O5+1,'3'!$B5:$U67,'3'!$W$3+3,0),'3'!O67)))</f>
        <v/>
      </c>
      <c r="P5" s="19" t="str">
        <f>IF(ISBLANK('Raw counts'!P6),"",IF(ISERROR(IF('3'!P5&lt;MAX('3'!$B5:$U5),HLOOKUP('3'!P5+1,'3'!$B5:$U67,'3'!$W$3+3,0),'3'!P67)),'3'!P67,IF('3'!P5&lt;MAX('3'!$B5:$U5),HLOOKUP('3'!P5+1,'3'!$B5:$U67,'3'!$W$3+3,0),'3'!P67)))</f>
        <v/>
      </c>
      <c r="Q5" s="19" t="str">
        <f>IF(ISBLANK('Raw counts'!Q6),"",IF(ISERROR(IF('3'!Q5&lt;MAX('3'!$B5:$U5),HLOOKUP('3'!Q5+1,'3'!$B5:$U67,'3'!$W$3+3,0),'3'!Q67)),'3'!Q67,IF('3'!Q5&lt;MAX('3'!$B5:$U5),HLOOKUP('3'!Q5+1,'3'!$B5:$U67,'3'!$W$3+3,0),'3'!Q67)))</f>
        <v/>
      </c>
      <c r="R5" s="19" t="str">
        <f>IF(ISBLANK('Raw counts'!R6),"",IF(ISERROR(IF('3'!R5&lt;MAX('3'!$B5:$U5),HLOOKUP('3'!R5+1,'3'!$B5:$U67,'3'!$W$3+3,0),'3'!R67)),'3'!R67,IF('3'!R5&lt;MAX('3'!$B5:$U5),HLOOKUP('3'!R5+1,'3'!$B5:$U67,'3'!$W$3+3,0),'3'!R67)))</f>
        <v/>
      </c>
      <c r="S5" s="19" t="str">
        <f>IF(ISBLANK('Raw counts'!S6),"",IF(ISERROR(IF('3'!S5&lt;MAX('3'!$B5:$U5),HLOOKUP('3'!S5+1,'3'!$B5:$U67,'3'!$W$3+3,0),'3'!S67)),'3'!S67,IF('3'!S5&lt;MAX('3'!$B5:$U5),HLOOKUP('3'!S5+1,'3'!$B5:$U67,'3'!$W$3+3,0),'3'!S67)))</f>
        <v/>
      </c>
      <c r="T5" s="19" t="str">
        <f>IF(ISBLANK('Raw counts'!T6),"",IF(ISERROR(IF('3'!T5&lt;MAX('3'!$B5:$U5),HLOOKUP('3'!T5+1,'3'!$B5:$U67,'3'!$W$3+3,0),'3'!T67)),'3'!T67,IF('3'!T5&lt;MAX('3'!$B5:$U5),HLOOKUP('3'!T5+1,'3'!$B5:$U67,'3'!$W$3+3,0),'3'!T67)))</f>
        <v/>
      </c>
      <c r="U5" s="19" t="str">
        <f>IF(ISBLANK('Raw counts'!U6),"",IF(ISERROR(IF('3'!U5&lt;MAX('3'!$B5:$U5),HLOOKUP('3'!U5+1,'3'!$B5:$U67,'3'!$W$3+3,0),'3'!U67)),'3'!U67,IF('3'!U5&lt;MAX('3'!$B5:$U5),HLOOKUP('3'!U5+1,'3'!$B5:$U67,'3'!$W$3+3,0),'3'!U67)))</f>
        <v/>
      </c>
    </row>
    <row r="6" spans="1:21" ht="25.5" x14ac:dyDescent="0.15">
      <c r="A6" s="18" t="str">
        <f>IF(ISBLANK('Raw counts'!A7),"",'Raw counts'!A7)</f>
        <v xml:space="preserve">Doesn't offer newest/latest products                                        </v>
      </c>
      <c r="B6" s="19">
        <f>IF(ISBLANK('Raw counts'!B7),"",IF(ISERROR(IF('3'!B6&lt;MAX('3'!$B6:$U6),HLOOKUP('3'!B6+1,'3'!$B6:$U68,'3'!$W$3+3,0),'3'!B68)),'3'!B68,IF('3'!B6&lt;MAX('3'!$B6:$U6),HLOOKUP('3'!B6+1,'3'!$B6:$U68,'3'!$W$3+3,0),'3'!B68)))</f>
        <v>-1.8538622129436328</v>
      </c>
      <c r="C6" s="19">
        <f>IF(ISBLANK('Raw counts'!C7),"",IF(ISERROR(IF('3'!C6&lt;MAX('3'!$B6:$U6),HLOOKUP('3'!C6+1,'3'!$B6:$U68,'3'!$W$3+3,0),'3'!C68)),'3'!C68,IF('3'!C6&lt;MAX('3'!$B6:$U6),HLOOKUP('3'!C6+1,'3'!$B6:$U68,'3'!$W$3+3,0),'3'!C68)))</f>
        <v>1.2150313152400827</v>
      </c>
      <c r="D6" s="19">
        <f>IF(ISBLANK('Raw counts'!D7),"",IF(ISERROR(IF('3'!D6&lt;MAX('3'!$B6:$U6),HLOOKUP('3'!D6+1,'3'!$B6:$U68,'3'!$W$3+3,0),'3'!D68)),'3'!D68,IF('3'!D6&lt;MAX('3'!$B6:$U6),HLOOKUP('3'!D6+1,'3'!$B6:$U68,'3'!$W$3+3,0),'3'!D68)))</f>
        <v>-2.4885177453027136</v>
      </c>
      <c r="E6" s="19">
        <f>IF(ISBLANK('Raw counts'!E7),"",IF(ISERROR(IF('3'!E6&lt;MAX('3'!$B6:$U6),HLOOKUP('3'!E6+1,'3'!$B6:$U68,'3'!$W$3+3,0),'3'!E68)),'3'!E68,IF('3'!E6&lt;MAX('3'!$B6:$U6),HLOOKUP('3'!E6+1,'3'!$B6:$U68,'3'!$W$3+3,0),'3'!E68)))</f>
        <v>0.64509394572025514</v>
      </c>
      <c r="F6" s="19">
        <f>IF(ISBLANK('Raw counts'!F7),"",IF(ISERROR(IF('3'!F6&lt;MAX('3'!$B6:$U6),HLOOKUP('3'!F6+1,'3'!$B6:$U68,'3'!$W$3+3,0),'3'!F68)),'3'!F68,IF('3'!F6&lt;MAX('3'!$B6:$U6),HLOOKUP('3'!F6+1,'3'!$B6:$U68,'3'!$W$3+3,0),'3'!F68)))</f>
        <v>3.1022964509394573</v>
      </c>
      <c r="G6" s="19">
        <f>IF(ISBLANK('Raw counts'!G7),"",IF(ISERROR(IF('3'!G6&lt;MAX('3'!$B6:$U6),HLOOKUP('3'!G6+1,'3'!$B6:$U68,'3'!$W$3+3,0),'3'!G68)),'3'!G68,IF('3'!G6&lt;MAX('3'!$B6:$U6),HLOOKUP('3'!G6+1,'3'!$B6:$U68,'3'!$W$3+3,0),'3'!G68)))</f>
        <v>-1.0668058455114817</v>
      </c>
      <c r="H6" s="19">
        <f>IF(ISBLANK('Raw counts'!H7),"",IF(ISERROR(IF('3'!H6&lt;MAX('3'!$B6:$U6),HLOOKUP('3'!H6+1,'3'!$B6:$U68,'3'!$W$3+3,0),'3'!H68)),'3'!H68,IF('3'!H6&lt;MAX('3'!$B6:$U6),HLOOKUP('3'!H6+1,'3'!$B6:$U68,'3'!$W$3+3,0),'3'!H68)))</f>
        <v>-8.3006263048016677</v>
      </c>
      <c r="I6" s="19">
        <f>IF(ISBLANK('Raw counts'!I7),"",IF(ISERROR(IF('3'!I6&lt;MAX('3'!$B6:$U6),HLOOKUP('3'!I6+1,'3'!$B6:$U68,'3'!$W$3+3,0),'3'!I68)),'3'!I68,IF('3'!I6&lt;MAX('3'!$B6:$U6),HLOOKUP('3'!I6+1,'3'!$B6:$U68,'3'!$W$3+3,0),'3'!I68)))</f>
        <v>1.0459290187891455</v>
      </c>
      <c r="J6" s="19">
        <f>IF(ISBLANK('Raw counts'!J7),"",IF(ISERROR(IF('3'!J6&lt;MAX('3'!$B6:$U6),HLOOKUP('3'!J6+1,'3'!$B6:$U68,'3'!$W$3+3,0),'3'!J68)),'3'!J68,IF('3'!J6&lt;MAX('3'!$B6:$U6),HLOOKUP('3'!J6+1,'3'!$B6:$U68,'3'!$W$3+3,0),'3'!J68)))</f>
        <v>1.6304801670146105</v>
      </c>
      <c r="K6" s="19">
        <f>IF(ISBLANK('Raw counts'!K7),"",IF(ISERROR(IF('3'!K6&lt;MAX('3'!$B6:$U6),HLOOKUP('3'!K6+1,'3'!$B6:$U68,'3'!$W$3+3,0),'3'!K68)),'3'!K68,IF('3'!K6&lt;MAX('3'!$B6:$U6),HLOOKUP('3'!K6+1,'3'!$B6:$U68,'3'!$W$3+3,0),'3'!K68)))</f>
        <v>0.79749478079331926</v>
      </c>
      <c r="L6" s="19">
        <f>IF(ISBLANK('Raw counts'!L7),"",IF(ISERROR(IF('3'!L6&lt;MAX('3'!$B6:$U6),HLOOKUP('3'!L6+1,'3'!$B6:$U68,'3'!$W$3+3,0),'3'!L68)),'3'!L68,IF('3'!L6&lt;MAX('3'!$B6:$U6),HLOOKUP('3'!L6+1,'3'!$B6:$U68,'3'!$W$3+3,0),'3'!L68)))</f>
        <v>-8.3006263048016677</v>
      </c>
      <c r="M6" s="19" t="str">
        <f>IF(ISBLANK('Raw counts'!M7),"",IF(ISERROR(IF('3'!M6&lt;MAX('3'!$B6:$U6),HLOOKUP('3'!M6+1,'3'!$B6:$U68,'3'!$W$3+3,0),'3'!M68)),'3'!M68,IF('3'!M6&lt;MAX('3'!$B6:$U6),HLOOKUP('3'!M6+1,'3'!$B6:$U68,'3'!$W$3+3,0),'3'!M68)))</f>
        <v/>
      </c>
      <c r="N6" s="19" t="str">
        <f>IF(ISBLANK('Raw counts'!N7),"",IF(ISERROR(IF('3'!N6&lt;MAX('3'!$B6:$U6),HLOOKUP('3'!N6+1,'3'!$B6:$U68,'3'!$W$3+3,0),'3'!N68)),'3'!N68,IF('3'!N6&lt;MAX('3'!$B6:$U6),HLOOKUP('3'!N6+1,'3'!$B6:$U68,'3'!$W$3+3,0),'3'!N68)))</f>
        <v/>
      </c>
      <c r="O6" s="19" t="str">
        <f>IF(ISBLANK('Raw counts'!O7),"",IF(ISERROR(IF('3'!O6&lt;MAX('3'!$B6:$U6),HLOOKUP('3'!O6+1,'3'!$B6:$U68,'3'!$W$3+3,0),'3'!O68)),'3'!O68,IF('3'!O6&lt;MAX('3'!$B6:$U6),HLOOKUP('3'!O6+1,'3'!$B6:$U68,'3'!$W$3+3,0),'3'!O68)))</f>
        <v/>
      </c>
      <c r="P6" s="19" t="str">
        <f>IF(ISBLANK('Raw counts'!P7),"",IF(ISERROR(IF('3'!P6&lt;MAX('3'!$B6:$U6),HLOOKUP('3'!P6+1,'3'!$B6:$U68,'3'!$W$3+3,0),'3'!P68)),'3'!P68,IF('3'!P6&lt;MAX('3'!$B6:$U6),HLOOKUP('3'!P6+1,'3'!$B6:$U68,'3'!$W$3+3,0),'3'!P68)))</f>
        <v/>
      </c>
      <c r="Q6" s="19" t="str">
        <f>IF(ISBLANK('Raw counts'!Q7),"",IF(ISERROR(IF('3'!Q6&lt;MAX('3'!$B6:$U6),HLOOKUP('3'!Q6+1,'3'!$B6:$U68,'3'!$W$3+3,0),'3'!Q68)),'3'!Q68,IF('3'!Q6&lt;MAX('3'!$B6:$U6),HLOOKUP('3'!Q6+1,'3'!$B6:$U68,'3'!$W$3+3,0),'3'!Q68)))</f>
        <v/>
      </c>
      <c r="R6" s="19" t="str">
        <f>IF(ISBLANK('Raw counts'!R7),"",IF(ISERROR(IF('3'!R6&lt;MAX('3'!$B6:$U6),HLOOKUP('3'!R6+1,'3'!$B6:$U68,'3'!$W$3+3,0),'3'!R68)),'3'!R68,IF('3'!R6&lt;MAX('3'!$B6:$U6),HLOOKUP('3'!R6+1,'3'!$B6:$U68,'3'!$W$3+3,0),'3'!R68)))</f>
        <v/>
      </c>
      <c r="S6" s="19" t="str">
        <f>IF(ISBLANK('Raw counts'!S7),"",IF(ISERROR(IF('3'!S6&lt;MAX('3'!$B6:$U6),HLOOKUP('3'!S6+1,'3'!$B6:$U68,'3'!$W$3+3,0),'3'!S68)),'3'!S68,IF('3'!S6&lt;MAX('3'!$B6:$U6),HLOOKUP('3'!S6+1,'3'!$B6:$U68,'3'!$W$3+3,0),'3'!S68)))</f>
        <v/>
      </c>
      <c r="T6" s="19" t="str">
        <f>IF(ISBLANK('Raw counts'!T7),"",IF(ISERROR(IF('3'!T6&lt;MAX('3'!$B6:$U6),HLOOKUP('3'!T6+1,'3'!$B6:$U68,'3'!$W$3+3,0),'3'!T68)),'3'!T68,IF('3'!T6&lt;MAX('3'!$B6:$U6),HLOOKUP('3'!T6+1,'3'!$B6:$U68,'3'!$W$3+3,0),'3'!T68)))</f>
        <v/>
      </c>
      <c r="U6" s="19" t="str">
        <f>IF(ISBLANK('Raw counts'!U7),"",IF(ISERROR(IF('3'!U6&lt;MAX('3'!$B6:$U6),HLOOKUP('3'!U6+1,'3'!$B6:$U68,'3'!$W$3+3,0),'3'!U68)),'3'!U68,IF('3'!U6&lt;MAX('3'!$B6:$U6),HLOOKUP('3'!U6+1,'3'!$B6:$U68,'3'!$W$3+3,0),'3'!U68)))</f>
        <v/>
      </c>
    </row>
    <row r="7" spans="1:21" ht="25.5" x14ac:dyDescent="0.15">
      <c r="A7" s="18" t="str">
        <f>IF(ISBLANK('Raw counts'!A8),"",'Raw counts'!A8)</f>
        <v xml:space="preserve">Brand not carried in the store/online                                       </v>
      </c>
      <c r="B7" s="19">
        <f>IF(ISBLANK('Raw counts'!B8),"",IF(ISERROR(IF('3'!B7&lt;MAX('3'!$B7:$U7),HLOOKUP('3'!B7+1,'3'!$B7:$U69,'3'!$W$3+3,0),'3'!B69)),'3'!B69,IF('3'!B7&lt;MAX('3'!$B7:$U7),HLOOKUP('3'!B7+1,'3'!$B7:$U69,'3'!$W$3+3,0),'3'!B69)))</f>
        <v>-1.129246536344656</v>
      </c>
      <c r="C7" s="19">
        <f>IF(ISBLANK('Raw counts'!C8),"",IF(ISERROR(IF('3'!C7&lt;MAX('3'!$B7:$U7),HLOOKUP('3'!C7+1,'3'!$B7:$U69,'3'!$W$3+3,0),'3'!C69)),'3'!C69,IF('3'!C7&lt;MAX('3'!$B7:$U7),HLOOKUP('3'!C7+1,'3'!$B7:$U69,'3'!$W$3+3,0),'3'!C69)))</f>
        <v>2.8284304422091475</v>
      </c>
      <c r="D7" s="19">
        <f>IF(ISBLANK('Raw counts'!D8),"",IF(ISERROR(IF('3'!D7&lt;MAX('3'!$B7:$U7),HLOOKUP('3'!D7+1,'3'!$B7:$U69,'3'!$W$3+3,0),'3'!D69)),'3'!D69,IF('3'!D7&lt;MAX('3'!$B7:$U7),HLOOKUP('3'!D7+1,'3'!$B7:$U69,'3'!$W$3+3,0),'3'!D69)))</f>
        <v>2.7709242740557976</v>
      </c>
      <c r="E7" s="19">
        <f>IF(ISBLANK('Raw counts'!E8),"",IF(ISERROR(IF('3'!E7&lt;MAX('3'!$B7:$U7),HLOOKUP('3'!E7+1,'3'!$B7:$U69,'3'!$W$3+3,0),'3'!E69)),'3'!E69,IF('3'!E7&lt;MAX('3'!$B7:$U7),HLOOKUP('3'!E7+1,'3'!$B7:$U69,'3'!$W$3+3,0),'3'!E69)))</f>
        <v>0.71626494591003986</v>
      </c>
      <c r="F7" s="19">
        <f>IF(ISBLANK('Raw counts'!F8),"",IF(ISERROR(IF('3'!F7&lt;MAX('3'!$B7:$U7),HLOOKUP('3'!F7+1,'3'!$B7:$U69,'3'!$W$3+3,0),'3'!F69)),'3'!F69,IF('3'!F7&lt;MAX('3'!$B7:$U7),HLOOKUP('3'!F7+1,'3'!$B7:$U69,'3'!$W$3+3,0),'3'!F69)))</f>
        <v>-15.509394572025045</v>
      </c>
      <c r="G7" s="19">
        <f>IF(ISBLANK('Raw counts'!G8),"",IF(ISERROR(IF('3'!G7&lt;MAX('3'!$B7:$U7),HLOOKUP('3'!G7+1,'3'!$B7:$U69,'3'!$W$3+3,0),'3'!G69)),'3'!G69,IF('3'!G7&lt;MAX('3'!$B7:$U7),HLOOKUP('3'!G7+1,'3'!$B7:$U69,'3'!$W$3+3,0),'3'!G69)))</f>
        <v>3.217688365913836</v>
      </c>
      <c r="H7" s="19">
        <f>IF(ISBLANK('Raw counts'!H8),"",IF(ISERROR(IF('3'!H7&lt;MAX('3'!$B7:$U7),HLOOKUP('3'!H7+1,'3'!$B7:$U69,'3'!$W$3+3,0),'3'!H69)),'3'!H69,IF('3'!H7&lt;MAX('3'!$B7:$U7),HLOOKUP('3'!H7+1,'3'!$B7:$U69,'3'!$W$3+3,0),'3'!H69)))</f>
        <v>-15.509394572025045</v>
      </c>
      <c r="I7" s="19">
        <f>IF(ISBLANK('Raw counts'!I8),"",IF(ISERROR(IF('3'!I7&lt;MAX('3'!$B7:$U7),HLOOKUP('3'!I7+1,'3'!$B7:$U69,'3'!$W$3+3,0),'3'!I69)),'3'!I69,IF('3'!I7&lt;MAX('3'!$B7:$U7),HLOOKUP('3'!I7+1,'3'!$B7:$U69,'3'!$W$3+3,0),'3'!I69)))</f>
        <v>2.3260580755361548</v>
      </c>
      <c r="J7" s="19">
        <f>IF(ISBLANK('Raw counts'!J8),"",IF(ISERROR(IF('3'!J7&lt;MAX('3'!$B7:$U7),HLOOKUP('3'!J7+1,'3'!$B7:$U69,'3'!$W$3+3,0),'3'!J69)),'3'!J69,IF('3'!J7&lt;MAX('3'!$B7:$U7),HLOOKUP('3'!J7+1,'3'!$B7:$U69,'3'!$W$3+3,0),'3'!J69)))</f>
        <v>0.17973049914595407</v>
      </c>
      <c r="K7" s="19">
        <f>IF(ISBLANK('Raw counts'!K8),"",IF(ISERROR(IF('3'!K7&lt;MAX('3'!$B7:$U7),HLOOKUP('3'!K7+1,'3'!$B7:$U69,'3'!$W$3+3,0),'3'!K69)),'3'!K69,IF('3'!K7&lt;MAX('3'!$B7:$U7),HLOOKUP('3'!K7+1,'3'!$B7:$U69,'3'!$W$3+3,0),'3'!K69)))</f>
        <v>-4.2613399126969114</v>
      </c>
      <c r="L7" s="19">
        <f>IF(ISBLANK('Raw counts'!L8),"",IF(ISERROR(IF('3'!L7&lt;MAX('3'!$B7:$U7),HLOOKUP('3'!L7+1,'3'!$B7:$U69,'3'!$W$3+3,0),'3'!L69)),'3'!L69,IF('3'!L7&lt;MAX('3'!$B7:$U7),HLOOKUP('3'!L7+1,'3'!$B7:$U69,'3'!$W$3+3,0),'3'!L69)))</f>
        <v>3.1844752324919341</v>
      </c>
      <c r="M7" s="19" t="str">
        <f>IF(ISBLANK('Raw counts'!M8),"",IF(ISERROR(IF('3'!M7&lt;MAX('3'!$B7:$U7),HLOOKUP('3'!M7+1,'3'!$B7:$U69,'3'!$W$3+3,0),'3'!M69)),'3'!M69,IF('3'!M7&lt;MAX('3'!$B7:$U7),HLOOKUP('3'!M7+1,'3'!$B7:$U69,'3'!$W$3+3,0),'3'!M69)))</f>
        <v/>
      </c>
      <c r="N7" s="19" t="str">
        <f>IF(ISBLANK('Raw counts'!N8),"",IF(ISERROR(IF('3'!N7&lt;MAX('3'!$B7:$U7),HLOOKUP('3'!N7+1,'3'!$B7:$U69,'3'!$W$3+3,0),'3'!N69)),'3'!N69,IF('3'!N7&lt;MAX('3'!$B7:$U7),HLOOKUP('3'!N7+1,'3'!$B7:$U69,'3'!$W$3+3,0),'3'!N69)))</f>
        <v/>
      </c>
      <c r="O7" s="19" t="str">
        <f>IF(ISBLANK('Raw counts'!O8),"",IF(ISERROR(IF('3'!O7&lt;MAX('3'!$B7:$U7),HLOOKUP('3'!O7+1,'3'!$B7:$U69,'3'!$W$3+3,0),'3'!O69)),'3'!O69,IF('3'!O7&lt;MAX('3'!$B7:$U7),HLOOKUP('3'!O7+1,'3'!$B7:$U69,'3'!$W$3+3,0),'3'!O69)))</f>
        <v/>
      </c>
      <c r="P7" s="19" t="str">
        <f>IF(ISBLANK('Raw counts'!P8),"",IF(ISERROR(IF('3'!P7&lt;MAX('3'!$B7:$U7),HLOOKUP('3'!P7+1,'3'!$B7:$U69,'3'!$W$3+3,0),'3'!P69)),'3'!P69,IF('3'!P7&lt;MAX('3'!$B7:$U7),HLOOKUP('3'!P7+1,'3'!$B7:$U69,'3'!$W$3+3,0),'3'!P69)))</f>
        <v/>
      </c>
      <c r="Q7" s="19" t="str">
        <f>IF(ISBLANK('Raw counts'!Q8),"",IF(ISERROR(IF('3'!Q7&lt;MAX('3'!$B7:$U7),HLOOKUP('3'!Q7+1,'3'!$B7:$U69,'3'!$W$3+3,0),'3'!Q69)),'3'!Q69,IF('3'!Q7&lt;MAX('3'!$B7:$U7),HLOOKUP('3'!Q7+1,'3'!$B7:$U69,'3'!$W$3+3,0),'3'!Q69)))</f>
        <v/>
      </c>
      <c r="R7" s="19" t="str">
        <f>IF(ISBLANK('Raw counts'!R8),"",IF(ISERROR(IF('3'!R7&lt;MAX('3'!$B7:$U7),HLOOKUP('3'!R7+1,'3'!$B7:$U69,'3'!$W$3+3,0),'3'!R69)),'3'!R69,IF('3'!R7&lt;MAX('3'!$B7:$U7),HLOOKUP('3'!R7+1,'3'!$B7:$U69,'3'!$W$3+3,0),'3'!R69)))</f>
        <v/>
      </c>
      <c r="S7" s="19" t="str">
        <f>IF(ISBLANK('Raw counts'!S8),"",IF(ISERROR(IF('3'!S7&lt;MAX('3'!$B7:$U7),HLOOKUP('3'!S7+1,'3'!$B7:$U69,'3'!$W$3+3,0),'3'!S69)),'3'!S69,IF('3'!S7&lt;MAX('3'!$B7:$U7),HLOOKUP('3'!S7+1,'3'!$B7:$U69,'3'!$W$3+3,0),'3'!S69)))</f>
        <v/>
      </c>
      <c r="T7" s="19" t="str">
        <f>IF(ISBLANK('Raw counts'!T8),"",IF(ISERROR(IF('3'!T7&lt;MAX('3'!$B7:$U7),HLOOKUP('3'!T7+1,'3'!$B7:$U69,'3'!$W$3+3,0),'3'!T69)),'3'!T69,IF('3'!T7&lt;MAX('3'!$B7:$U7),HLOOKUP('3'!T7+1,'3'!$B7:$U69,'3'!$W$3+3,0),'3'!T69)))</f>
        <v/>
      </c>
      <c r="U7" s="19" t="str">
        <f>IF(ISBLANK('Raw counts'!U8),"",IF(ISERROR(IF('3'!U7&lt;MAX('3'!$B7:$U7),HLOOKUP('3'!U7+1,'3'!$B7:$U69,'3'!$W$3+3,0),'3'!U69)),'3'!U69,IF('3'!U7&lt;MAX('3'!$B7:$U7),HLOOKUP('3'!U7+1,'3'!$B7:$U69,'3'!$W$3+3,0),'3'!U69)))</f>
        <v/>
      </c>
    </row>
    <row r="8" spans="1:21" ht="25.5" x14ac:dyDescent="0.15">
      <c r="A8" s="18" t="str">
        <f>IF(ISBLANK('Raw counts'!A9),"",'Raw counts'!A9)</f>
        <v xml:space="preserve">Often out of stock                                                          </v>
      </c>
      <c r="B8" s="19">
        <f>IF(ISBLANK('Raw counts'!B9),"",IF(ISERROR(IF('3'!B8&lt;MAX('3'!$B8:$U8),HLOOKUP('3'!B8+1,'3'!$B8:$U70,'3'!$W$3+3,0),'3'!B70)),'3'!B70,IF('3'!B8&lt;MAX('3'!$B8:$U8),HLOOKUP('3'!B8+1,'3'!$B8:$U70,'3'!$W$3+3,0),'3'!B70)))</f>
        <v>-1.0432719681153912</v>
      </c>
      <c r="C8" s="19">
        <f>IF(ISBLANK('Raw counts'!C9),"",IF(ISERROR(IF('3'!C8&lt;MAX('3'!$B8:$U8),HLOOKUP('3'!C8+1,'3'!$B8:$U70,'3'!$W$3+3,0),'3'!C70)),'3'!C70,IF('3'!C8&lt;MAX('3'!$B8:$U8),HLOOKUP('3'!C8+1,'3'!$B8:$U70,'3'!$W$3+3,0),'3'!C70)))</f>
        <v>-4.2328715126209886</v>
      </c>
      <c r="D8" s="19">
        <f>IF(ISBLANK('Raw counts'!D9),"",IF(ISERROR(IF('3'!D8&lt;MAX('3'!$B8:$U8),HLOOKUP('3'!D8+1,'3'!$B8:$U70,'3'!$W$3+3,0),'3'!D70)),'3'!D70,IF('3'!D8&lt;MAX('3'!$B8:$U8),HLOOKUP('3'!D8+1,'3'!$B8:$U70,'3'!$W$3+3,0),'3'!D70)))</f>
        <v>-1.5839817802239509</v>
      </c>
      <c r="E8" s="19">
        <f>IF(ISBLANK('Raw counts'!E9),"",IF(ISERROR(IF('3'!E8&lt;MAX('3'!$B8:$U8),HLOOKUP('3'!E8+1,'3'!$B8:$U70,'3'!$W$3+3,0),'3'!E70)),'3'!E70,IF('3'!E8&lt;MAX('3'!$B8:$U8),HLOOKUP('3'!E8+1,'3'!$B8:$U70,'3'!$W$3+3,0),'3'!E70)))</f>
        <v>3.8147656101727989E-2</v>
      </c>
      <c r="F8" s="19">
        <f>IF(ISBLANK('Raw counts'!F9),"",IF(ISERROR(IF('3'!F8&lt;MAX('3'!$B8:$U8),HLOOKUP('3'!F8+1,'3'!$B8:$U70,'3'!$W$3+3,0),'3'!F70)),'3'!F70,IF('3'!F8&lt;MAX('3'!$B8:$U8),HLOOKUP('3'!F8+1,'3'!$B8:$U70,'3'!$W$3+3,0),'3'!F70)))</f>
        <v>-4.2328715126209886</v>
      </c>
      <c r="G8" s="19">
        <f>IF(ISBLANK('Raw counts'!G9),"",IF(ISERROR(IF('3'!G8&lt;MAX('3'!$B8:$U8),HLOOKUP('3'!G8+1,'3'!$B8:$U70,'3'!$W$3+3,0),'3'!G70)),'3'!G70,IF('3'!G8&lt;MAX('3'!$B8:$U8),HLOOKUP('3'!G8+1,'3'!$B8:$U70,'3'!$W$3+3,0),'3'!G70)))</f>
        <v>-3.7179730499145975</v>
      </c>
      <c r="H8" s="19">
        <f>IF(ISBLANK('Raw counts'!H9),"",IF(ISERROR(IF('3'!H8&lt;MAX('3'!$B8:$U8),HLOOKUP('3'!H8+1,'3'!$B8:$U70,'3'!$W$3+3,0),'3'!H70)),'3'!H70,IF('3'!H8&lt;MAX('3'!$B8:$U8),HLOOKUP('3'!H8+1,'3'!$B8:$U70,'3'!$W$3+3,0),'3'!H70)))</f>
        <v>1.9891820079711522</v>
      </c>
      <c r="I8" s="19">
        <f>IF(ISBLANK('Raw counts'!I9),"",IF(ISERROR(IF('3'!I8&lt;MAX('3'!$B8:$U8),HLOOKUP('3'!I8+1,'3'!$B8:$U70,'3'!$W$3+3,0),'3'!I70)),'3'!I70,IF('3'!I8&lt;MAX('3'!$B8:$U8),HLOOKUP('3'!I8+1,'3'!$B8:$U70,'3'!$W$3+3,0),'3'!I70)))</f>
        <v>2.2171189979123227</v>
      </c>
      <c r="J8" s="19">
        <f>IF(ISBLANK('Raw counts'!J9),"",IF(ISERROR(IF('3'!J8&lt;MAX('3'!$B8:$U8),HLOOKUP('3'!J8+1,'3'!$B8:$U70,'3'!$W$3+3,0),'3'!J70)),'3'!J70,IF('3'!J8&lt;MAX('3'!$B8:$U8),HLOOKUP('3'!J8+1,'3'!$B8:$U70,'3'!$W$3+3,0),'3'!J70)))</f>
        <v>-1.6325678496868434</v>
      </c>
      <c r="K8" s="19">
        <f>IF(ISBLANK('Raw counts'!K9),"",IF(ISERROR(IF('3'!K8&lt;MAX('3'!$B8:$U8),HLOOKUP('3'!K8+1,'3'!$B8:$U70,'3'!$W$3+3,0),'3'!K70)),'3'!K70,IF('3'!K8&lt;MAX('3'!$B8:$U8),HLOOKUP('3'!K8+1,'3'!$B8:$U70,'3'!$W$3+3,0),'3'!K70)))</f>
        <v>-1.4186752704498007</v>
      </c>
      <c r="L8" s="19">
        <f>IF(ISBLANK('Raw counts'!L9),"",IF(ISERROR(IF('3'!L8&lt;MAX('3'!$B8:$U8),HLOOKUP('3'!L8+1,'3'!$B8:$U70,'3'!$W$3+3,0),'3'!L70)),'3'!L70,IF('3'!L8&lt;MAX('3'!$B8:$U8),HLOOKUP('3'!L8+1,'3'!$B8:$U70,'3'!$W$3+3,0),'3'!L70)))</f>
        <v>1.9593850825583612</v>
      </c>
      <c r="M8" s="19" t="str">
        <f>IF(ISBLANK('Raw counts'!M9),"",IF(ISERROR(IF('3'!M8&lt;MAX('3'!$B8:$U8),HLOOKUP('3'!M8+1,'3'!$B8:$U70,'3'!$W$3+3,0),'3'!M70)),'3'!M70,IF('3'!M8&lt;MAX('3'!$B8:$U8),HLOOKUP('3'!M8+1,'3'!$B8:$U70,'3'!$W$3+3,0),'3'!M70)))</f>
        <v/>
      </c>
      <c r="N8" s="19" t="str">
        <f>IF(ISBLANK('Raw counts'!N9),"",IF(ISERROR(IF('3'!N8&lt;MAX('3'!$B8:$U8),HLOOKUP('3'!N8+1,'3'!$B8:$U70,'3'!$W$3+3,0),'3'!N70)),'3'!N70,IF('3'!N8&lt;MAX('3'!$B8:$U8),HLOOKUP('3'!N8+1,'3'!$B8:$U70,'3'!$W$3+3,0),'3'!N70)))</f>
        <v/>
      </c>
      <c r="O8" s="19" t="str">
        <f>IF(ISBLANK('Raw counts'!O9),"",IF(ISERROR(IF('3'!O8&lt;MAX('3'!$B8:$U8),HLOOKUP('3'!O8+1,'3'!$B8:$U70,'3'!$W$3+3,0),'3'!O70)),'3'!O70,IF('3'!O8&lt;MAX('3'!$B8:$U8),HLOOKUP('3'!O8+1,'3'!$B8:$U70,'3'!$W$3+3,0),'3'!O70)))</f>
        <v/>
      </c>
      <c r="P8" s="19" t="str">
        <f>IF(ISBLANK('Raw counts'!P9),"",IF(ISERROR(IF('3'!P8&lt;MAX('3'!$B8:$U8),HLOOKUP('3'!P8+1,'3'!$B8:$U70,'3'!$W$3+3,0),'3'!P70)),'3'!P70,IF('3'!P8&lt;MAX('3'!$B8:$U8),HLOOKUP('3'!P8+1,'3'!$B8:$U70,'3'!$W$3+3,0),'3'!P70)))</f>
        <v/>
      </c>
      <c r="Q8" s="19" t="str">
        <f>IF(ISBLANK('Raw counts'!Q9),"",IF(ISERROR(IF('3'!Q8&lt;MAX('3'!$B8:$U8),HLOOKUP('3'!Q8+1,'3'!$B8:$U70,'3'!$W$3+3,0),'3'!Q70)),'3'!Q70,IF('3'!Q8&lt;MAX('3'!$B8:$U8),HLOOKUP('3'!Q8+1,'3'!$B8:$U70,'3'!$W$3+3,0),'3'!Q70)))</f>
        <v/>
      </c>
      <c r="R8" s="19" t="str">
        <f>IF(ISBLANK('Raw counts'!R9),"",IF(ISERROR(IF('3'!R8&lt;MAX('3'!$B8:$U8),HLOOKUP('3'!R8+1,'3'!$B8:$U70,'3'!$W$3+3,0),'3'!R70)),'3'!R70,IF('3'!R8&lt;MAX('3'!$B8:$U8),HLOOKUP('3'!R8+1,'3'!$B8:$U70,'3'!$W$3+3,0),'3'!R70)))</f>
        <v/>
      </c>
      <c r="S8" s="19" t="str">
        <f>IF(ISBLANK('Raw counts'!S9),"",IF(ISERROR(IF('3'!S8&lt;MAX('3'!$B8:$U8),HLOOKUP('3'!S8+1,'3'!$B8:$U70,'3'!$W$3+3,0),'3'!S70)),'3'!S70,IF('3'!S8&lt;MAX('3'!$B8:$U8),HLOOKUP('3'!S8+1,'3'!$B8:$U70,'3'!$W$3+3,0),'3'!S70)))</f>
        <v/>
      </c>
      <c r="T8" s="19" t="str">
        <f>IF(ISBLANK('Raw counts'!T9),"",IF(ISERROR(IF('3'!T8&lt;MAX('3'!$B8:$U8),HLOOKUP('3'!T8+1,'3'!$B8:$U70,'3'!$W$3+3,0),'3'!T70)),'3'!T70,IF('3'!T8&lt;MAX('3'!$B8:$U8),HLOOKUP('3'!T8+1,'3'!$B8:$U70,'3'!$W$3+3,0),'3'!T70)))</f>
        <v/>
      </c>
      <c r="U8" s="19" t="str">
        <f>IF(ISBLANK('Raw counts'!U9),"",IF(ISERROR(IF('3'!U8&lt;MAX('3'!$B8:$U8),HLOOKUP('3'!U8+1,'3'!$B8:$U70,'3'!$W$3+3,0),'3'!U70)),'3'!U70,IF('3'!U8&lt;MAX('3'!$B8:$U8),HLOOKUP('3'!U8+1,'3'!$B8:$U70,'3'!$W$3+3,0),'3'!U70)))</f>
        <v/>
      </c>
    </row>
    <row r="9" spans="1:21" ht="38.25" x14ac:dyDescent="0.15">
      <c r="A9" s="18" t="str">
        <f>IF(ISBLANK('Raw counts'!A10),"",'Raw counts'!A10)</f>
        <v xml:space="preserve">Hard to find the brand in the store                                         </v>
      </c>
      <c r="B9" s="19">
        <f>IF(ISBLANK('Raw counts'!B10),"",IF(ISERROR(IF('3'!B9&lt;MAX('3'!$B9:$U9),HLOOKUP('3'!B9+1,'3'!$B9:$U71,'3'!$W$3+3,0),'3'!B71)),'3'!B71,IF('3'!B9&lt;MAX('3'!$B9:$U9),HLOOKUP('3'!B9+1,'3'!$B9:$U71,'3'!$W$3+3,0),'3'!B71)))</f>
        <v>-8.1858037578288076</v>
      </c>
      <c r="C9" s="19">
        <f>IF(ISBLANK('Raw counts'!C10),"",IF(ISERROR(IF('3'!C9&lt;MAX('3'!$B9:$U9),HLOOKUP('3'!C9+1,'3'!$B9:$U71,'3'!$W$3+3,0),'3'!C71)),'3'!C71,IF('3'!C9&lt;MAX('3'!$B9:$U9),HLOOKUP('3'!C9+1,'3'!$B9:$U71,'3'!$W$3+3,0),'3'!C71)))</f>
        <v>0.28734105143291</v>
      </c>
      <c r="D9" s="19">
        <f>IF(ISBLANK('Raw counts'!D10),"",IF(ISERROR(IF('3'!D9&lt;MAX('3'!$B9:$U9),HLOOKUP('3'!D9+1,'3'!$B9:$U71,'3'!$W$3+3,0),'3'!D71)),'3'!D71,IF('3'!D9&lt;MAX('3'!$B9:$U9),HLOOKUP('3'!D9+1,'3'!$B9:$U71,'3'!$W$3+3,0),'3'!D71)))</f>
        <v>1.4666919719111746</v>
      </c>
      <c r="E9" s="19">
        <f>IF(ISBLANK('Raw counts'!E10),"",IF(ISERROR(IF('3'!E9&lt;MAX('3'!$B9:$U9),HLOOKUP('3'!E9+1,'3'!$B9:$U71,'3'!$W$3+3,0),'3'!E71)),'3'!E71,IF('3'!E9&lt;MAX('3'!$B9:$U9),HLOOKUP('3'!E9+1,'3'!$B9:$U71,'3'!$W$3+3,0),'3'!E71)))</f>
        <v>1.4754222812677922</v>
      </c>
      <c r="F9" s="19">
        <f>IF(ISBLANK('Raw counts'!F10),"",IF(ISERROR(IF('3'!F9&lt;MAX('3'!$B9:$U9),HLOOKUP('3'!F9+1,'3'!$B9:$U71,'3'!$W$3+3,0),'3'!F71)),'3'!F71,IF('3'!F9&lt;MAX('3'!$B9:$U9),HLOOKUP('3'!F9+1,'3'!$B9:$U71,'3'!$W$3+3,0),'3'!F71)))</f>
        <v>-4.8796735623457934</v>
      </c>
      <c r="G9" s="19">
        <f>IF(ISBLANK('Raw counts'!G10),"",IF(ISERROR(IF('3'!G9&lt;MAX('3'!$B9:$U9),HLOOKUP('3'!G9+1,'3'!$B9:$U71,'3'!$W$3+3,0),'3'!G71)),'3'!G71,IF('3'!G9&lt;MAX('3'!$B9:$U9),HLOOKUP('3'!G9+1,'3'!$B9:$U71,'3'!$W$3+3,0),'3'!G71)))</f>
        <v>3.5650028468400095</v>
      </c>
      <c r="H9" s="19">
        <f>IF(ISBLANK('Raw counts'!H10),"",IF(ISERROR(IF('3'!H9&lt;MAX('3'!$B9:$U9),HLOOKUP('3'!H9+1,'3'!$B9:$U71,'3'!$W$3+3,0),'3'!H71)),'3'!H71,IF('3'!H9&lt;MAX('3'!$B9:$U9),HLOOKUP('3'!H9+1,'3'!$B9:$U71,'3'!$W$3+3,0),'3'!H71)))</f>
        <v>-8.1858037578288076</v>
      </c>
      <c r="I9" s="19">
        <f>IF(ISBLANK('Raw counts'!I10),"",IF(ISERROR(IF('3'!I9&lt;MAX('3'!$B9:$U9),HLOOKUP('3'!I9+1,'3'!$B9:$U71,'3'!$W$3+3,0),'3'!I71)),'3'!I71,IF('3'!I9&lt;MAX('3'!$B9:$U9),HLOOKUP('3'!I9+1,'3'!$B9:$U71,'3'!$W$3+3,0),'3'!I71)))</f>
        <v>-0.10874928828999764</v>
      </c>
      <c r="J9" s="19">
        <f>IF(ISBLANK('Raw counts'!J10),"",IF(ISERROR(IF('3'!J9&lt;MAX('3'!$B9:$U9),HLOOKUP('3'!J9+1,'3'!$B9:$U71,'3'!$W$3+3,0),'3'!J71)),'3'!J71,IF('3'!J9&lt;MAX('3'!$B9:$U9),HLOOKUP('3'!J9+1,'3'!$B9:$U71,'3'!$W$3+3,0),'3'!J71)))</f>
        <v>0.27747200607325784</v>
      </c>
      <c r="K9" s="19">
        <f>IF(ISBLANK('Raw counts'!K10),"",IF(ISERROR(IF('3'!K9&lt;MAX('3'!$B9:$U9),HLOOKUP('3'!K9+1,'3'!$B9:$U71,'3'!$W$3+3,0),'3'!K71)),'3'!K71,IF('3'!K9&lt;MAX('3'!$B9:$U9),HLOOKUP('3'!K9+1,'3'!$B9:$U71,'3'!$W$3+3,0),'3'!K71)))</f>
        <v>2.8022395141393055</v>
      </c>
      <c r="L9" s="19">
        <f>IF(ISBLANK('Raw counts'!L10),"",IF(ISERROR(IF('3'!L9&lt;MAX('3'!$B9:$U9),HLOOKUP('3'!L9+1,'3'!$B9:$U71,'3'!$W$3+3,0),'3'!L71)),'3'!L71,IF('3'!L9&lt;MAX('3'!$B9:$U9),HLOOKUP('3'!L9+1,'3'!$B9:$U71,'3'!$W$3+3,0),'3'!L71)))</f>
        <v>-1.0778136268741747</v>
      </c>
      <c r="M9" s="19" t="str">
        <f>IF(ISBLANK('Raw counts'!M10),"",IF(ISERROR(IF('3'!M9&lt;MAX('3'!$B9:$U9),HLOOKUP('3'!M9+1,'3'!$B9:$U71,'3'!$W$3+3,0),'3'!M71)),'3'!M71,IF('3'!M9&lt;MAX('3'!$B9:$U9),HLOOKUP('3'!M9+1,'3'!$B9:$U71,'3'!$W$3+3,0),'3'!M71)))</f>
        <v/>
      </c>
      <c r="N9" s="19" t="str">
        <f>IF(ISBLANK('Raw counts'!N10),"",IF(ISERROR(IF('3'!N9&lt;MAX('3'!$B9:$U9),HLOOKUP('3'!N9+1,'3'!$B9:$U71,'3'!$W$3+3,0),'3'!N71)),'3'!N71,IF('3'!N9&lt;MAX('3'!$B9:$U9),HLOOKUP('3'!N9+1,'3'!$B9:$U71,'3'!$W$3+3,0),'3'!N71)))</f>
        <v/>
      </c>
      <c r="O9" s="19" t="str">
        <f>IF(ISBLANK('Raw counts'!O10),"",IF(ISERROR(IF('3'!O9&lt;MAX('3'!$B9:$U9),HLOOKUP('3'!O9+1,'3'!$B9:$U71,'3'!$W$3+3,0),'3'!O71)),'3'!O71,IF('3'!O9&lt;MAX('3'!$B9:$U9),HLOOKUP('3'!O9+1,'3'!$B9:$U71,'3'!$W$3+3,0),'3'!O71)))</f>
        <v/>
      </c>
      <c r="P9" s="19" t="str">
        <f>IF(ISBLANK('Raw counts'!P10),"",IF(ISERROR(IF('3'!P9&lt;MAX('3'!$B9:$U9),HLOOKUP('3'!P9+1,'3'!$B9:$U71,'3'!$W$3+3,0),'3'!P71)),'3'!P71,IF('3'!P9&lt;MAX('3'!$B9:$U9),HLOOKUP('3'!P9+1,'3'!$B9:$U71,'3'!$W$3+3,0),'3'!P71)))</f>
        <v/>
      </c>
      <c r="Q9" s="19" t="str">
        <f>IF(ISBLANK('Raw counts'!Q10),"",IF(ISERROR(IF('3'!Q9&lt;MAX('3'!$B9:$U9),HLOOKUP('3'!Q9+1,'3'!$B9:$U71,'3'!$W$3+3,0),'3'!Q71)),'3'!Q71,IF('3'!Q9&lt;MAX('3'!$B9:$U9),HLOOKUP('3'!Q9+1,'3'!$B9:$U71,'3'!$W$3+3,0),'3'!Q71)))</f>
        <v/>
      </c>
      <c r="R9" s="19" t="str">
        <f>IF(ISBLANK('Raw counts'!R10),"",IF(ISERROR(IF('3'!R9&lt;MAX('3'!$B9:$U9),HLOOKUP('3'!R9+1,'3'!$B9:$U71,'3'!$W$3+3,0),'3'!R71)),'3'!R71,IF('3'!R9&lt;MAX('3'!$B9:$U9),HLOOKUP('3'!R9+1,'3'!$B9:$U71,'3'!$W$3+3,0),'3'!R71)))</f>
        <v/>
      </c>
      <c r="S9" s="19" t="str">
        <f>IF(ISBLANK('Raw counts'!S10),"",IF(ISERROR(IF('3'!S9&lt;MAX('3'!$B9:$U9),HLOOKUP('3'!S9+1,'3'!$B9:$U71,'3'!$W$3+3,0),'3'!S71)),'3'!S71,IF('3'!S9&lt;MAX('3'!$B9:$U9),HLOOKUP('3'!S9+1,'3'!$B9:$U71,'3'!$W$3+3,0),'3'!S71)))</f>
        <v/>
      </c>
      <c r="T9" s="19" t="str">
        <f>IF(ISBLANK('Raw counts'!T10),"",IF(ISERROR(IF('3'!T9&lt;MAX('3'!$B9:$U9),HLOOKUP('3'!T9+1,'3'!$B9:$U71,'3'!$W$3+3,0),'3'!T71)),'3'!T71,IF('3'!T9&lt;MAX('3'!$B9:$U9),HLOOKUP('3'!T9+1,'3'!$B9:$U71,'3'!$W$3+3,0),'3'!T71)))</f>
        <v/>
      </c>
      <c r="U9" s="19" t="str">
        <f>IF(ISBLANK('Raw counts'!U10),"",IF(ISERROR(IF('3'!U9&lt;MAX('3'!$B9:$U9),HLOOKUP('3'!U9+1,'3'!$B9:$U71,'3'!$W$3+3,0),'3'!U71)),'3'!U71,IF('3'!U9&lt;MAX('3'!$B9:$U9),HLOOKUP('3'!U9+1,'3'!$B9:$U71,'3'!$W$3+3,0),'3'!U71)))</f>
        <v/>
      </c>
    </row>
    <row r="10" spans="1:21" ht="25.5" x14ac:dyDescent="0.15">
      <c r="A10" s="18" t="str">
        <f>IF(ISBLANK('Raw counts'!A11),"",'Raw counts'!A11)</f>
        <v xml:space="preserve">Hard to find the brand online                                               </v>
      </c>
      <c r="B10" s="19">
        <f>IF(ISBLANK('Raw counts'!B11),"",IF(ISERROR(IF('3'!B10&lt;MAX('3'!$B10:$U10),HLOOKUP('3'!B10+1,'3'!$B10:$U72,'3'!$W$3+3,0),'3'!B72)),'3'!B72,IF('3'!B10&lt;MAX('3'!$B10:$U10),HLOOKUP('3'!B10+1,'3'!$B10:$U72,'3'!$W$3+3,0),'3'!B72)))</f>
        <v>1.5741127348643005</v>
      </c>
      <c r="C10" s="19">
        <f>IF(ISBLANK('Raw counts'!C11),"",IF(ISERROR(IF('3'!C10&lt;MAX('3'!$B10:$U10),HLOOKUP('3'!C10+1,'3'!$B10:$U72,'3'!$W$3+3,0),'3'!C72)),'3'!C72,IF('3'!C10&lt;MAX('3'!$B10:$U10),HLOOKUP('3'!C10+1,'3'!$B10:$U72,'3'!$W$3+3,0),'3'!C72)))</f>
        <v>2.7578288100208761</v>
      </c>
      <c r="D10" s="19">
        <f>IF(ISBLANK('Raw counts'!D11),"",IF(ISERROR(IF('3'!D10&lt;MAX('3'!$B10:$U10),HLOOKUP('3'!D10+1,'3'!$B10:$U72,'3'!$W$3+3,0),'3'!D72)),'3'!D72,IF('3'!D10&lt;MAX('3'!$B10:$U10),HLOOKUP('3'!D10+1,'3'!$B10:$U72,'3'!$W$3+3,0),'3'!D72)))</f>
        <v>1.4822546972860131</v>
      </c>
      <c r="E10" s="19">
        <f>IF(ISBLANK('Raw counts'!E11),"",IF(ISERROR(IF('3'!E10&lt;MAX('3'!$B10:$U10),HLOOKUP('3'!E10+1,'3'!$B10:$U72,'3'!$W$3+3,0),'3'!E72)),'3'!E72,IF('3'!E10&lt;MAX('3'!$B10:$U10),HLOOKUP('3'!E10+1,'3'!$B10:$U72,'3'!$W$3+3,0),'3'!E72)))</f>
        <v>-1.7265135699373673</v>
      </c>
      <c r="F10" s="19">
        <f>IF(ISBLANK('Raw counts'!F11),"",IF(ISERROR(IF('3'!F10&lt;MAX('3'!$B10:$U10),HLOOKUP('3'!F10+1,'3'!$B10:$U72,'3'!$W$3+3,0),'3'!F72)),'3'!F72,IF('3'!F10&lt;MAX('3'!$B10:$U10),HLOOKUP('3'!F10+1,'3'!$B10:$U72,'3'!$W$3+3,0),'3'!F72)))</f>
        <v>-13.628392484342385</v>
      </c>
      <c r="G10" s="19">
        <f>IF(ISBLANK('Raw counts'!G11),"",IF(ISERROR(IF('3'!G10&lt;MAX('3'!$B10:$U10),HLOOKUP('3'!G10+1,'3'!$B10:$U72,'3'!$W$3+3,0),'3'!G72)),'3'!G72,IF('3'!G10&lt;MAX('3'!$B10:$U10),HLOOKUP('3'!G10+1,'3'!$B10:$U72,'3'!$W$3+3,0),'3'!G72)))</f>
        <v>-13.628392484342385</v>
      </c>
      <c r="H10" s="19">
        <f>IF(ISBLANK('Raw counts'!H11),"",IF(ISERROR(IF('3'!H10&lt;MAX('3'!$B10:$U10),HLOOKUP('3'!H10+1,'3'!$B10:$U72,'3'!$W$3+3,0),'3'!H72)),'3'!H72,IF('3'!H10&lt;MAX('3'!$B10:$U10),HLOOKUP('3'!H10+1,'3'!$B10:$U72,'3'!$W$3+3,0),'3'!H72)))</f>
        <v>-0.12943632567849672</v>
      </c>
      <c r="I10" s="19">
        <f>IF(ISBLANK('Raw counts'!I11),"",IF(ISERROR(IF('3'!I10&lt;MAX('3'!$B10:$U10),HLOOKUP('3'!I10+1,'3'!$B10:$U72,'3'!$W$3+3,0),'3'!I72)),'3'!I72,IF('3'!I10&lt;MAX('3'!$B10:$U10),HLOOKUP('3'!I10+1,'3'!$B10:$U72,'3'!$W$3+3,0),'3'!I72)))</f>
        <v>2.2985386221294419</v>
      </c>
      <c r="J10" s="19">
        <f>IF(ISBLANK('Raw counts'!J11),"",IF(ISERROR(IF('3'!J10&lt;MAX('3'!$B10:$U10),HLOOKUP('3'!J10+1,'3'!$B10:$U72,'3'!$W$3+3,0),'3'!J72)),'3'!J72,IF('3'!J10&lt;MAX('3'!$B10:$U10),HLOOKUP('3'!J10+1,'3'!$B10:$U72,'3'!$W$3+3,0),'3'!J72)))</f>
        <v>1.5344467640918582</v>
      </c>
      <c r="K10" s="19">
        <f>IF(ISBLANK('Raw counts'!K11),"",IF(ISERROR(IF('3'!K10&lt;MAX('3'!$B10:$U10),HLOOKUP('3'!K10+1,'3'!$B10:$U72,'3'!$W$3+3,0),'3'!K72)),'3'!K72,IF('3'!K10&lt;MAX('3'!$B10:$U10),HLOOKUP('3'!K10+1,'3'!$B10:$U72,'3'!$W$3+3,0),'3'!K72)))</f>
        <v>0.84342379958246738</v>
      </c>
      <c r="L10" s="19">
        <f>IF(ISBLANK('Raw counts'!L11),"",IF(ISERROR(IF('3'!L10&lt;MAX('3'!$B10:$U10),HLOOKUP('3'!L10+1,'3'!$B10:$U72,'3'!$W$3+3,0),'3'!L72)),'3'!L72,IF('3'!L10&lt;MAX('3'!$B10:$U10),HLOOKUP('3'!L10+1,'3'!$B10:$U72,'3'!$W$3+3,0),'3'!L72)))</f>
        <v>-0.62630480167014557</v>
      </c>
      <c r="M10" s="19" t="str">
        <f>IF(ISBLANK('Raw counts'!M11),"",IF(ISERROR(IF('3'!M10&lt;MAX('3'!$B10:$U10),HLOOKUP('3'!M10+1,'3'!$B10:$U72,'3'!$W$3+3,0),'3'!M72)),'3'!M72,IF('3'!M10&lt;MAX('3'!$B10:$U10),HLOOKUP('3'!M10+1,'3'!$B10:$U72,'3'!$W$3+3,0),'3'!M72)))</f>
        <v/>
      </c>
      <c r="N10" s="19" t="str">
        <f>IF(ISBLANK('Raw counts'!N11),"",IF(ISERROR(IF('3'!N10&lt;MAX('3'!$B10:$U10),HLOOKUP('3'!N10+1,'3'!$B10:$U72,'3'!$W$3+3,0),'3'!N72)),'3'!N72,IF('3'!N10&lt;MAX('3'!$B10:$U10),HLOOKUP('3'!N10+1,'3'!$B10:$U72,'3'!$W$3+3,0),'3'!N72)))</f>
        <v/>
      </c>
      <c r="O10" s="19" t="str">
        <f>IF(ISBLANK('Raw counts'!O11),"",IF(ISERROR(IF('3'!O10&lt;MAX('3'!$B10:$U10),HLOOKUP('3'!O10+1,'3'!$B10:$U72,'3'!$W$3+3,0),'3'!O72)),'3'!O72,IF('3'!O10&lt;MAX('3'!$B10:$U10),HLOOKUP('3'!O10+1,'3'!$B10:$U72,'3'!$W$3+3,0),'3'!O72)))</f>
        <v/>
      </c>
      <c r="P10" s="19" t="str">
        <f>IF(ISBLANK('Raw counts'!P11),"",IF(ISERROR(IF('3'!P10&lt;MAX('3'!$B10:$U10),HLOOKUP('3'!P10+1,'3'!$B10:$U72,'3'!$W$3+3,0),'3'!P72)),'3'!P72,IF('3'!P10&lt;MAX('3'!$B10:$U10),HLOOKUP('3'!P10+1,'3'!$B10:$U72,'3'!$W$3+3,0),'3'!P72)))</f>
        <v/>
      </c>
      <c r="Q10" s="19" t="str">
        <f>IF(ISBLANK('Raw counts'!Q11),"",IF(ISERROR(IF('3'!Q10&lt;MAX('3'!$B10:$U10),HLOOKUP('3'!Q10+1,'3'!$B10:$U72,'3'!$W$3+3,0),'3'!Q72)),'3'!Q72,IF('3'!Q10&lt;MAX('3'!$B10:$U10),HLOOKUP('3'!Q10+1,'3'!$B10:$U72,'3'!$W$3+3,0),'3'!Q72)))</f>
        <v/>
      </c>
      <c r="R10" s="19" t="str">
        <f>IF(ISBLANK('Raw counts'!R11),"",IF(ISERROR(IF('3'!R10&lt;MAX('3'!$B10:$U10),HLOOKUP('3'!R10+1,'3'!$B10:$U72,'3'!$W$3+3,0),'3'!R72)),'3'!R72,IF('3'!R10&lt;MAX('3'!$B10:$U10),HLOOKUP('3'!R10+1,'3'!$B10:$U72,'3'!$W$3+3,0),'3'!R72)))</f>
        <v/>
      </c>
      <c r="S10" s="19" t="str">
        <f>IF(ISBLANK('Raw counts'!S11),"",IF(ISERROR(IF('3'!S10&lt;MAX('3'!$B10:$U10),HLOOKUP('3'!S10+1,'3'!$B10:$U72,'3'!$W$3+3,0),'3'!S72)),'3'!S72,IF('3'!S10&lt;MAX('3'!$B10:$U10),HLOOKUP('3'!S10+1,'3'!$B10:$U72,'3'!$W$3+3,0),'3'!S72)))</f>
        <v/>
      </c>
      <c r="T10" s="19" t="str">
        <f>IF(ISBLANK('Raw counts'!T11),"",IF(ISERROR(IF('3'!T10&lt;MAX('3'!$B10:$U10),HLOOKUP('3'!T10+1,'3'!$B10:$U72,'3'!$W$3+3,0),'3'!T72)),'3'!T72,IF('3'!T10&lt;MAX('3'!$B10:$U10),HLOOKUP('3'!T10+1,'3'!$B10:$U72,'3'!$W$3+3,0),'3'!T72)))</f>
        <v/>
      </c>
      <c r="U10" s="19" t="str">
        <f>IF(ISBLANK('Raw counts'!U11),"",IF(ISERROR(IF('3'!U10&lt;MAX('3'!$B10:$U10),HLOOKUP('3'!U10+1,'3'!$B10:$U72,'3'!$W$3+3,0),'3'!U72)),'3'!U72,IF('3'!U10&lt;MAX('3'!$B10:$U10),HLOOKUP('3'!U10+1,'3'!$B10:$U72,'3'!$W$3+3,0),'3'!U72)))</f>
        <v/>
      </c>
    </row>
    <row r="11" spans="1:21" ht="25.5" x14ac:dyDescent="0.15">
      <c r="A11" s="18" t="str">
        <f>IF(ISBLANK('Raw counts'!A12),"",'Raw counts'!A12)</f>
        <v xml:space="preserve">Difficult to determine which product is right for me                        </v>
      </c>
      <c r="B11" s="19">
        <f>IF(ISBLANK('Raw counts'!B12),"",IF(ISERROR(IF('3'!B11&lt;MAX('3'!$B11:$U11),HLOOKUP('3'!B11+1,'3'!$B11:$U73,'3'!$W$3+3,0),'3'!B73)),'3'!B73,IF('3'!B11&lt;MAX('3'!$B11:$U11),HLOOKUP('3'!B11+1,'3'!$B11:$U73,'3'!$W$3+3,0),'3'!B73)))</f>
        <v>-2.4539760865439364</v>
      </c>
      <c r="C11" s="19">
        <f>IF(ISBLANK('Raw counts'!C12),"",IF(ISERROR(IF('3'!C11&lt;MAX('3'!$B11:$U11),HLOOKUP('3'!C11+1,'3'!$B11:$U73,'3'!$W$3+3,0),'3'!C73)),'3'!C73,IF('3'!C11&lt;MAX('3'!$B11:$U11),HLOOKUP('3'!C11+1,'3'!$B11:$U73,'3'!$W$3+3,0),'3'!C73)))</f>
        <v>-13.250521920668049</v>
      </c>
      <c r="D11" s="19">
        <f>IF(ISBLANK('Raw counts'!D12),"",IF(ISERROR(IF('3'!D11&lt;MAX('3'!$B11:$U11),HLOOKUP('3'!D11+1,'3'!$B11:$U73,'3'!$W$3+3,0),'3'!D73)),'3'!D73,IF('3'!D11&lt;MAX('3'!$B11:$U11),HLOOKUP('3'!D11+1,'3'!$B11:$U73,'3'!$W$3+3,0),'3'!D73)))</f>
        <v>-2.9897513759726735</v>
      </c>
      <c r="E11" s="19">
        <f>IF(ISBLANK('Raw counts'!E12),"",IF(ISERROR(IF('3'!E11&lt;MAX('3'!$B11:$U11),HLOOKUP('3'!E11+1,'3'!$B11:$U73,'3'!$W$3+3,0),'3'!E73)),'3'!E73,IF('3'!E11&lt;MAX('3'!$B11:$U11),HLOOKUP('3'!E11+1,'3'!$B11:$U73,'3'!$W$3+3,0),'3'!E73)))</f>
        <v>1.8261529702030757</v>
      </c>
      <c r="F11" s="19">
        <f>IF(ISBLANK('Raw counts'!F12),"",IF(ISERROR(IF('3'!F11&lt;MAX('3'!$B11:$U11),HLOOKUP('3'!F11+1,'3'!$B11:$U73,'3'!$W$3+3,0),'3'!F73)),'3'!F73,IF('3'!F11&lt;MAX('3'!$B11:$U11),HLOOKUP('3'!F11+1,'3'!$B11:$U73,'3'!$W$3+3,0),'3'!F73)))</f>
        <v>3.0375782881002138</v>
      </c>
      <c r="G11" s="19">
        <f>IF(ISBLANK('Raw counts'!G12),"",IF(ISERROR(IF('3'!G11&lt;MAX('3'!$B11:$U11),HLOOKUP('3'!G11+1,'3'!$B11:$U73,'3'!$W$3+3,0),'3'!G73)),'3'!G73,IF('3'!G11&lt;MAX('3'!$B11:$U11),HLOOKUP('3'!G11+1,'3'!$B11:$U73,'3'!$W$3+3,0),'3'!G73)))</f>
        <v>2.9070032264186754</v>
      </c>
      <c r="H11" s="19">
        <f>IF(ISBLANK('Raw counts'!H12),"",IF(ISERROR(IF('3'!H11&lt;MAX('3'!$B11:$U11),HLOOKUP('3'!H11+1,'3'!$B11:$U73,'3'!$W$3+3,0),'3'!H73)),'3'!H73,IF('3'!H11&lt;MAX('3'!$B11:$U11),HLOOKUP('3'!H11+1,'3'!$B11:$U73,'3'!$W$3+3,0),'3'!H73)))</f>
        <v>-13.250521920668049</v>
      </c>
      <c r="I11" s="19">
        <f>IF(ISBLANK('Raw counts'!I12),"",IF(ISERROR(IF('3'!I11&lt;MAX('3'!$B11:$U11),HLOOKUP('3'!I11+1,'3'!$B11:$U73,'3'!$W$3+3,0),'3'!I73)),'3'!I73,IF('3'!I11&lt;MAX('3'!$B11:$U11),HLOOKUP('3'!I11+1,'3'!$B11:$U73,'3'!$W$3+3,0),'3'!I73)))</f>
        <v>-1.2677927500474411</v>
      </c>
      <c r="J11" s="19">
        <f>IF(ISBLANK('Raw counts'!J12),"",IF(ISERROR(IF('3'!J11&lt;MAX('3'!$B11:$U11),HLOOKUP('3'!J11+1,'3'!$B11:$U73,'3'!$W$3+3,0),'3'!J73)),'3'!J73,IF('3'!J11&lt;MAX('3'!$B11:$U11),HLOOKUP('3'!J11+1,'3'!$B11:$U73,'3'!$W$3+3,0),'3'!J73)))</f>
        <v>0.95653824255076891</v>
      </c>
      <c r="K11" s="19">
        <f>IF(ISBLANK('Raw counts'!K12),"",IF(ISERROR(IF('3'!K11&lt;MAX('3'!$B11:$U11),HLOOKUP('3'!K11+1,'3'!$B11:$U73,'3'!$W$3+3,0),'3'!K73)),'3'!K73,IF('3'!K11&lt;MAX('3'!$B11:$U11),HLOOKUP('3'!K11+1,'3'!$B11:$U73,'3'!$W$3+3,0),'3'!K73)))</f>
        <v>1.3731258303283358</v>
      </c>
      <c r="L11" s="19">
        <f>IF(ISBLANK('Raw counts'!L12),"",IF(ISERROR(IF('3'!L11&lt;MAX('3'!$B11:$U11),HLOOKUP('3'!L11+1,'3'!$B11:$U73,'3'!$W$3+3,0),'3'!L73)),'3'!L73,IF('3'!L11&lt;MAX('3'!$B11:$U11),HLOOKUP('3'!L11+1,'3'!$B11:$U73,'3'!$W$3+3,0),'3'!L73)))</f>
        <v>0.37616245966976614</v>
      </c>
      <c r="M11" s="19" t="str">
        <f>IF(ISBLANK('Raw counts'!M12),"",IF(ISERROR(IF('3'!M11&lt;MAX('3'!$B11:$U11),HLOOKUP('3'!M11+1,'3'!$B11:$U73,'3'!$W$3+3,0),'3'!M73)),'3'!M73,IF('3'!M11&lt;MAX('3'!$B11:$U11),HLOOKUP('3'!M11+1,'3'!$B11:$U73,'3'!$W$3+3,0),'3'!M73)))</f>
        <v/>
      </c>
      <c r="N11" s="19" t="str">
        <f>IF(ISBLANK('Raw counts'!N12),"",IF(ISERROR(IF('3'!N11&lt;MAX('3'!$B11:$U11),HLOOKUP('3'!N11+1,'3'!$B11:$U73,'3'!$W$3+3,0),'3'!N73)),'3'!N73,IF('3'!N11&lt;MAX('3'!$B11:$U11),HLOOKUP('3'!N11+1,'3'!$B11:$U73,'3'!$W$3+3,0),'3'!N73)))</f>
        <v/>
      </c>
      <c r="O11" s="19" t="str">
        <f>IF(ISBLANK('Raw counts'!O12),"",IF(ISERROR(IF('3'!O11&lt;MAX('3'!$B11:$U11),HLOOKUP('3'!O11+1,'3'!$B11:$U73,'3'!$W$3+3,0),'3'!O73)),'3'!O73,IF('3'!O11&lt;MAX('3'!$B11:$U11),HLOOKUP('3'!O11+1,'3'!$B11:$U73,'3'!$W$3+3,0),'3'!O73)))</f>
        <v/>
      </c>
      <c r="P11" s="19" t="str">
        <f>IF(ISBLANK('Raw counts'!P12),"",IF(ISERROR(IF('3'!P11&lt;MAX('3'!$B11:$U11),HLOOKUP('3'!P11+1,'3'!$B11:$U73,'3'!$W$3+3,0),'3'!P73)),'3'!P73,IF('3'!P11&lt;MAX('3'!$B11:$U11),HLOOKUP('3'!P11+1,'3'!$B11:$U73,'3'!$W$3+3,0),'3'!P73)))</f>
        <v/>
      </c>
      <c r="Q11" s="19" t="str">
        <f>IF(ISBLANK('Raw counts'!Q12),"",IF(ISERROR(IF('3'!Q11&lt;MAX('3'!$B11:$U11),HLOOKUP('3'!Q11+1,'3'!$B11:$U73,'3'!$W$3+3,0),'3'!Q73)),'3'!Q73,IF('3'!Q11&lt;MAX('3'!$B11:$U11),HLOOKUP('3'!Q11+1,'3'!$B11:$U73,'3'!$W$3+3,0),'3'!Q73)))</f>
        <v/>
      </c>
      <c r="R11" s="19" t="str">
        <f>IF(ISBLANK('Raw counts'!R12),"",IF(ISERROR(IF('3'!R11&lt;MAX('3'!$B11:$U11),HLOOKUP('3'!R11+1,'3'!$B11:$U73,'3'!$W$3+3,0),'3'!R73)),'3'!R73,IF('3'!R11&lt;MAX('3'!$B11:$U11),HLOOKUP('3'!R11+1,'3'!$B11:$U73,'3'!$W$3+3,0),'3'!R73)))</f>
        <v/>
      </c>
      <c r="S11" s="19" t="str">
        <f>IF(ISBLANK('Raw counts'!S12),"",IF(ISERROR(IF('3'!S11&lt;MAX('3'!$B11:$U11),HLOOKUP('3'!S11+1,'3'!$B11:$U73,'3'!$W$3+3,0),'3'!S73)),'3'!S73,IF('3'!S11&lt;MAX('3'!$B11:$U11),HLOOKUP('3'!S11+1,'3'!$B11:$U73,'3'!$W$3+3,0),'3'!S73)))</f>
        <v/>
      </c>
      <c r="T11" s="19" t="str">
        <f>IF(ISBLANK('Raw counts'!T12),"",IF(ISERROR(IF('3'!T11&lt;MAX('3'!$B11:$U11),HLOOKUP('3'!T11+1,'3'!$B11:$U73,'3'!$W$3+3,0),'3'!T73)),'3'!T73,IF('3'!T11&lt;MAX('3'!$B11:$U11),HLOOKUP('3'!T11+1,'3'!$B11:$U73,'3'!$W$3+3,0),'3'!T73)))</f>
        <v/>
      </c>
      <c r="U11" s="19" t="str">
        <f>IF(ISBLANK('Raw counts'!U12),"",IF(ISERROR(IF('3'!U11&lt;MAX('3'!$B11:$U11),HLOOKUP('3'!U11+1,'3'!$B11:$U73,'3'!$W$3+3,0),'3'!U73)),'3'!U73,IF('3'!U11&lt;MAX('3'!$B11:$U11),HLOOKUP('3'!U11+1,'3'!$B11:$U73,'3'!$W$3+3,0),'3'!U73)))</f>
        <v/>
      </c>
    </row>
    <row r="12" spans="1:21" ht="25.5" x14ac:dyDescent="0.15">
      <c r="A12" s="18" t="str">
        <f>IF(ISBLANK('Raw counts'!A13),"",'Raw counts'!A13)</f>
        <v xml:space="preserve">Costs more than other brands                                                </v>
      </c>
      <c r="B12" s="19">
        <f>IF(ISBLANK('Raw counts'!B13),"",IF(ISERROR(IF('3'!B12&lt;MAX('3'!$B12:$U12),HLOOKUP('3'!B12+1,'3'!$B12:$U74,'3'!$W$3+3,0),'3'!B74)),'3'!B74,IF('3'!B12&lt;MAX('3'!$B12:$U12),HLOOKUP('3'!B12+1,'3'!$B12:$U74,'3'!$W$3+3,0),'3'!B74)))</f>
        <v>1.9039665970772504</v>
      </c>
      <c r="C12" s="19">
        <f>IF(ISBLANK('Raw counts'!C13),"",IF(ISERROR(IF('3'!C12&lt;MAX('3'!$B12:$U12),HLOOKUP('3'!C12+1,'3'!$B12:$U74,'3'!$W$3+3,0),'3'!C74)),'3'!C74,IF('3'!C12&lt;MAX('3'!$B12:$U12),HLOOKUP('3'!C12+1,'3'!$B12:$U74,'3'!$W$3+3,0),'3'!C74)))</f>
        <v>-13.571645473524391</v>
      </c>
      <c r="D12" s="19">
        <f>IF(ISBLANK('Raw counts'!D13),"",IF(ISERROR(IF('3'!D12&lt;MAX('3'!$B12:$U12),HLOOKUP('3'!D12+1,'3'!$B12:$U74,'3'!$W$3+3,0),'3'!D74)),'3'!D74,IF('3'!D12&lt;MAX('3'!$B12:$U12),HLOOKUP('3'!D12+1,'3'!$B12:$U74,'3'!$W$3+3,0),'3'!D74)))</f>
        <v>-1.3535775289428731</v>
      </c>
      <c r="E12" s="19">
        <f>IF(ISBLANK('Raw counts'!E13),"",IF(ISERROR(IF('3'!E12&lt;MAX('3'!$B12:$U12),HLOOKUP('3'!E12+1,'3'!$B12:$U74,'3'!$W$3+3,0),'3'!E74)),'3'!E74,IF('3'!E12&lt;MAX('3'!$B12:$U12),HLOOKUP('3'!E12+1,'3'!$B12:$U74,'3'!$W$3+3,0),'3'!E74)))</f>
        <v>-3.0343518694249383</v>
      </c>
      <c r="F12" s="19">
        <f>IF(ISBLANK('Raw counts'!F13),"",IF(ISERROR(IF('3'!F12&lt;MAX('3'!$B12:$U12),HLOOKUP('3'!F12+1,'3'!$B12:$U74,'3'!$W$3+3,0),'3'!F74)),'3'!F74,IF('3'!F12&lt;MAX('3'!$B12:$U12),HLOOKUP('3'!F12+1,'3'!$B12:$U74,'3'!$W$3+3,0),'3'!F74)))</f>
        <v>-9.4143101157714923</v>
      </c>
      <c r="G12" s="19">
        <f>IF(ISBLANK('Raw counts'!G13),"",IF(ISERROR(IF('3'!G12&lt;MAX('3'!$B12:$U12),HLOOKUP('3'!G12+1,'3'!$B12:$U74,'3'!$W$3+3,0),'3'!G74)),'3'!G74,IF('3'!G12&lt;MAX('3'!$B12:$U12),HLOOKUP('3'!G12+1,'3'!$B12:$U74,'3'!$W$3+3,0),'3'!G74)))</f>
        <v>-0.78933383943822388</v>
      </c>
      <c r="H12" s="19">
        <f>IF(ISBLANK('Raw counts'!H13),"",IF(ISERROR(IF('3'!H12&lt;MAX('3'!$B12:$U12),HLOOKUP('3'!H12+1,'3'!$B12:$U74,'3'!$W$3+3,0),'3'!H74)),'3'!H74,IF('3'!H12&lt;MAX('3'!$B12:$U12),HLOOKUP('3'!H12+1,'3'!$B12:$U74,'3'!$W$3+3,0),'3'!H74)))</f>
        <v>4.8257733915353995</v>
      </c>
      <c r="I12" s="19">
        <f>IF(ISBLANK('Raw counts'!I13),"",IF(ISERROR(IF('3'!I12&lt;MAX('3'!$B12:$U12),HLOOKUP('3'!I12+1,'3'!$B12:$U74,'3'!$W$3+3,0),'3'!I74)),'3'!I74,IF('3'!I12&lt;MAX('3'!$B12:$U12),HLOOKUP('3'!I12+1,'3'!$B12:$U74,'3'!$W$3+3,0),'3'!I74)))</f>
        <v>-2.5906244069083311</v>
      </c>
      <c r="J12" s="19">
        <f>IF(ISBLANK('Raw counts'!J13),"",IF(ISERROR(IF('3'!J12&lt;MAX('3'!$B12:$U12),HLOOKUP('3'!J12+1,'3'!$B12:$U74,'3'!$W$3+3,0),'3'!J74)),'3'!J74,IF('3'!J12&lt;MAX('3'!$B12:$U12),HLOOKUP('3'!J12+1,'3'!$B12:$U74,'3'!$W$3+3,0),'3'!J74)))</f>
        <v>-6.1901689125071186</v>
      </c>
      <c r="K12" s="19">
        <f>IF(ISBLANK('Raw counts'!K13),"",IF(ISERROR(IF('3'!K12&lt;MAX('3'!$B12:$U12),HLOOKUP('3'!K12+1,'3'!$B12:$U74,'3'!$W$3+3,0),'3'!K74)),'3'!K74,IF('3'!K12&lt;MAX('3'!$B12:$U12),HLOOKUP('3'!K12+1,'3'!$B12:$U74,'3'!$W$3+3,0),'3'!K74)))</f>
        <v>-13.571645473524391</v>
      </c>
      <c r="L12" s="19">
        <f>IF(ISBLANK('Raw counts'!L13),"",IF(ISERROR(IF('3'!L12&lt;MAX('3'!$B12:$U12),HLOOKUP('3'!L12+1,'3'!$B12:$U74,'3'!$W$3+3,0),'3'!L74)),'3'!L74,IF('3'!L12&lt;MAX('3'!$B12:$U12),HLOOKUP('3'!L12+1,'3'!$B12:$U74,'3'!$W$3+3,0),'3'!L74)))</f>
        <v>-2.0926171949136467</v>
      </c>
      <c r="M12" s="19" t="str">
        <f>IF(ISBLANK('Raw counts'!M13),"",IF(ISERROR(IF('3'!M12&lt;MAX('3'!$B12:$U12),HLOOKUP('3'!M12+1,'3'!$B12:$U74,'3'!$W$3+3,0),'3'!M74)),'3'!M74,IF('3'!M12&lt;MAX('3'!$B12:$U12),HLOOKUP('3'!M12+1,'3'!$B12:$U74,'3'!$W$3+3,0),'3'!M74)))</f>
        <v/>
      </c>
      <c r="N12" s="19" t="str">
        <f>IF(ISBLANK('Raw counts'!N13),"",IF(ISERROR(IF('3'!N12&lt;MAX('3'!$B12:$U12),HLOOKUP('3'!N12+1,'3'!$B12:$U74,'3'!$W$3+3,0),'3'!N74)),'3'!N74,IF('3'!N12&lt;MAX('3'!$B12:$U12),HLOOKUP('3'!N12+1,'3'!$B12:$U74,'3'!$W$3+3,0),'3'!N74)))</f>
        <v/>
      </c>
      <c r="O12" s="19" t="str">
        <f>IF(ISBLANK('Raw counts'!O13),"",IF(ISERROR(IF('3'!O12&lt;MAX('3'!$B12:$U12),HLOOKUP('3'!O12+1,'3'!$B12:$U74,'3'!$W$3+3,0),'3'!O74)),'3'!O74,IF('3'!O12&lt;MAX('3'!$B12:$U12),HLOOKUP('3'!O12+1,'3'!$B12:$U74,'3'!$W$3+3,0),'3'!O74)))</f>
        <v/>
      </c>
      <c r="P12" s="19" t="str">
        <f>IF(ISBLANK('Raw counts'!P13),"",IF(ISERROR(IF('3'!P12&lt;MAX('3'!$B12:$U12),HLOOKUP('3'!P12+1,'3'!$B12:$U74,'3'!$W$3+3,0),'3'!P74)),'3'!P74,IF('3'!P12&lt;MAX('3'!$B12:$U12),HLOOKUP('3'!P12+1,'3'!$B12:$U74,'3'!$W$3+3,0),'3'!P74)))</f>
        <v/>
      </c>
      <c r="Q12" s="19" t="str">
        <f>IF(ISBLANK('Raw counts'!Q13),"",IF(ISERROR(IF('3'!Q12&lt;MAX('3'!$B12:$U12),HLOOKUP('3'!Q12+1,'3'!$B12:$U74,'3'!$W$3+3,0),'3'!Q74)),'3'!Q74,IF('3'!Q12&lt;MAX('3'!$B12:$U12),HLOOKUP('3'!Q12+1,'3'!$B12:$U74,'3'!$W$3+3,0),'3'!Q74)))</f>
        <v/>
      </c>
      <c r="R12" s="19" t="str">
        <f>IF(ISBLANK('Raw counts'!R13),"",IF(ISERROR(IF('3'!R12&lt;MAX('3'!$B12:$U12),HLOOKUP('3'!R12+1,'3'!$B12:$U74,'3'!$W$3+3,0),'3'!R74)),'3'!R74,IF('3'!R12&lt;MAX('3'!$B12:$U12),HLOOKUP('3'!R12+1,'3'!$B12:$U74,'3'!$W$3+3,0),'3'!R74)))</f>
        <v/>
      </c>
      <c r="S12" s="19" t="str">
        <f>IF(ISBLANK('Raw counts'!S13),"",IF(ISERROR(IF('3'!S12&lt;MAX('3'!$B12:$U12),HLOOKUP('3'!S12+1,'3'!$B12:$U74,'3'!$W$3+3,0),'3'!S74)),'3'!S74,IF('3'!S12&lt;MAX('3'!$B12:$U12),HLOOKUP('3'!S12+1,'3'!$B12:$U74,'3'!$W$3+3,0),'3'!S74)))</f>
        <v/>
      </c>
      <c r="T12" s="19" t="str">
        <f>IF(ISBLANK('Raw counts'!T13),"",IF(ISERROR(IF('3'!T12&lt;MAX('3'!$B12:$U12),HLOOKUP('3'!T12+1,'3'!$B12:$U74,'3'!$W$3+3,0),'3'!T74)),'3'!T74,IF('3'!T12&lt;MAX('3'!$B12:$U12),HLOOKUP('3'!T12+1,'3'!$B12:$U74,'3'!$W$3+3,0),'3'!T74)))</f>
        <v/>
      </c>
      <c r="U12" s="19" t="str">
        <f>IF(ISBLANK('Raw counts'!U13),"",IF(ISERROR(IF('3'!U12&lt;MAX('3'!$B12:$U12),HLOOKUP('3'!U12+1,'3'!$B12:$U74,'3'!$W$3+3,0),'3'!U74)),'3'!U74,IF('3'!U12&lt;MAX('3'!$B12:$U12),HLOOKUP('3'!U12+1,'3'!$B12:$U74,'3'!$W$3+3,0),'3'!U74)))</f>
        <v/>
      </c>
    </row>
    <row r="13" spans="1:21" ht="38.25" x14ac:dyDescent="0.15">
      <c r="A13" s="18" t="str">
        <f>IF(ISBLANK('Raw counts'!A14),"",'Raw counts'!A14)</f>
        <v xml:space="preserve">Costs more than I'm willing to pay                                          </v>
      </c>
      <c r="B13" s="19">
        <f>IF(ISBLANK('Raw counts'!B14),"",IF(ISERROR(IF('3'!B13&lt;MAX('3'!$B13:$U13),HLOOKUP('3'!B13+1,'3'!$B13:$U75,'3'!$W$3+3,0),'3'!B75)),'3'!B75,IF('3'!B13&lt;MAX('3'!$B13:$U13),HLOOKUP('3'!B13+1,'3'!$B13:$U75,'3'!$W$3+3,0),'3'!B75)))</f>
        <v>-1.1499335737331542</v>
      </c>
      <c r="C13" s="19">
        <f>IF(ISBLANK('Raw counts'!C14),"",IF(ISERROR(IF('3'!C13&lt;MAX('3'!$B13:$U13),HLOOKUP('3'!C13+1,'3'!$B13:$U75,'3'!$W$3+3,0),'3'!C75)),'3'!C75,IF('3'!C13&lt;MAX('3'!$B13:$U13),HLOOKUP('3'!C13+1,'3'!$B13:$U75,'3'!$W$3+3,0),'3'!C75)))</f>
        <v>-3.2810780034162077</v>
      </c>
      <c r="D13" s="19">
        <f>IF(ISBLANK('Raw counts'!D14),"",IF(ISERROR(IF('3'!D13&lt;MAX('3'!$B13:$U13),HLOOKUP('3'!D13+1,'3'!$B13:$U75,'3'!$W$3+3,0),'3'!D75)),'3'!D75,IF('3'!D13&lt;MAX('3'!$B13:$U13),HLOOKUP('3'!D13+1,'3'!$B13:$U75,'3'!$W$3+3,0),'3'!D75)))</f>
        <v>1.0379578667678881</v>
      </c>
      <c r="E13" s="19">
        <f>IF(ISBLANK('Raw counts'!E14),"",IF(ISERROR(IF('3'!E13&lt;MAX('3'!$B13:$U13),HLOOKUP('3'!E13+1,'3'!$B13:$U75,'3'!$W$3+3,0),'3'!E75)),'3'!E75,IF('3'!E13&lt;MAX('3'!$B13:$U13),HLOOKUP('3'!E13+1,'3'!$B13:$U75,'3'!$W$3+3,0),'3'!E75)))</f>
        <v>-4.849686847599159</v>
      </c>
      <c r="F13" s="19">
        <f>IF(ISBLANK('Raw counts'!F14),"",IF(ISERROR(IF('3'!F13&lt;MAX('3'!$B13:$U13),HLOOKUP('3'!F13+1,'3'!$B13:$U75,'3'!$W$3+3,0),'3'!F75)),'3'!F75,IF('3'!F13&lt;MAX('3'!$B13:$U13),HLOOKUP('3'!F13+1,'3'!$B13:$U75,'3'!$W$3+3,0),'3'!F75)))</f>
        <v>4.9979123173277742</v>
      </c>
      <c r="G13" s="19">
        <f>IF(ISBLANK('Raw counts'!G14),"",IF(ISERROR(IF('3'!G13&lt;MAX('3'!$B13:$U13),HLOOKUP('3'!G13+1,'3'!$B13:$U75,'3'!$W$3+3,0),'3'!G75)),'3'!G75,IF('3'!G13&lt;MAX('3'!$B13:$U13),HLOOKUP('3'!G13+1,'3'!$B13:$U75,'3'!$W$3+3,0),'3'!G75)))</f>
        <v>-4.8589865249572979</v>
      </c>
      <c r="H13" s="19">
        <f>IF(ISBLANK('Raw counts'!H14),"",IF(ISERROR(IF('3'!H13&lt;MAX('3'!$B13:$U13),HLOOKUP('3'!H13+1,'3'!$B13:$U75,'3'!$W$3+3,0),'3'!H75)),'3'!H75,IF('3'!H13&lt;MAX('3'!$B13:$U13),HLOOKUP('3'!H13+1,'3'!$B13:$U75,'3'!$W$3+3,0),'3'!H75)))</f>
        <v>2.4625166065667115</v>
      </c>
      <c r="I13" s="19">
        <f>IF(ISBLANK('Raw counts'!I14),"",IF(ISERROR(IF('3'!I13&lt;MAX('3'!$B13:$U13),HLOOKUP('3'!I13+1,'3'!$B13:$U75,'3'!$W$3+3,0),'3'!I75)),'3'!I75,IF('3'!I13&lt;MAX('3'!$B13:$U13),HLOOKUP('3'!I13+1,'3'!$B13:$U75,'3'!$W$3+3,0),'3'!I75)))</f>
        <v>-4.8589865249572979</v>
      </c>
      <c r="J13" s="19">
        <f>IF(ISBLANK('Raw counts'!J14),"",IF(ISERROR(IF('3'!J13&lt;MAX('3'!$B13:$U13),HLOOKUP('3'!J13+1,'3'!$B13:$U75,'3'!$W$3+3,0),'3'!J75)),'3'!J75,IF('3'!J13&lt;MAX('3'!$B13:$U13),HLOOKUP('3'!J13+1,'3'!$B13:$U75,'3'!$W$3+3,0),'3'!J75)))</f>
        <v>0.47428354526476113</v>
      </c>
      <c r="K13" s="19">
        <f>IF(ISBLANK('Raw counts'!K14),"",IF(ISERROR(IF('3'!K13&lt;MAX('3'!$B13:$U13),HLOOKUP('3'!K13+1,'3'!$B13:$U75,'3'!$W$3+3,0),'3'!K75)),'3'!K75,IF('3'!K13&lt;MAX('3'!$B13:$U13),HLOOKUP('3'!K13+1,'3'!$B13:$U75,'3'!$W$3+3,0),'3'!K75)))</f>
        <v>-2.7771873220724999</v>
      </c>
      <c r="L13" s="19">
        <f>IF(ISBLANK('Raw counts'!L14),"",IF(ISERROR(IF('3'!L13&lt;MAX('3'!$B13:$U13),HLOOKUP('3'!L13+1,'3'!$B13:$U75,'3'!$W$3+3,0),'3'!L75)),'3'!L75,IF('3'!L13&lt;MAX('3'!$B13:$U13),HLOOKUP('3'!L13+1,'3'!$B13:$U75,'3'!$W$3+3,0),'3'!L75)))</f>
        <v>2.0931865629151636</v>
      </c>
      <c r="M13" s="19" t="str">
        <f>IF(ISBLANK('Raw counts'!M14),"",IF(ISERROR(IF('3'!M13&lt;MAX('3'!$B13:$U13),HLOOKUP('3'!M13+1,'3'!$B13:$U75,'3'!$W$3+3,0),'3'!M75)),'3'!M75,IF('3'!M13&lt;MAX('3'!$B13:$U13),HLOOKUP('3'!M13+1,'3'!$B13:$U75,'3'!$W$3+3,0),'3'!M75)))</f>
        <v/>
      </c>
      <c r="N13" s="19" t="str">
        <f>IF(ISBLANK('Raw counts'!N14),"",IF(ISERROR(IF('3'!N13&lt;MAX('3'!$B13:$U13),HLOOKUP('3'!N13+1,'3'!$B13:$U75,'3'!$W$3+3,0),'3'!N75)),'3'!N75,IF('3'!N13&lt;MAX('3'!$B13:$U13),HLOOKUP('3'!N13+1,'3'!$B13:$U75,'3'!$W$3+3,0),'3'!N75)))</f>
        <v/>
      </c>
      <c r="O13" s="19" t="str">
        <f>IF(ISBLANK('Raw counts'!O14),"",IF(ISERROR(IF('3'!O13&lt;MAX('3'!$B13:$U13),HLOOKUP('3'!O13+1,'3'!$B13:$U75,'3'!$W$3+3,0),'3'!O75)),'3'!O75,IF('3'!O13&lt;MAX('3'!$B13:$U13),HLOOKUP('3'!O13+1,'3'!$B13:$U75,'3'!$W$3+3,0),'3'!O75)))</f>
        <v/>
      </c>
      <c r="P13" s="19" t="str">
        <f>IF(ISBLANK('Raw counts'!P14),"",IF(ISERROR(IF('3'!P13&lt;MAX('3'!$B13:$U13),HLOOKUP('3'!P13+1,'3'!$B13:$U75,'3'!$W$3+3,0),'3'!P75)),'3'!P75,IF('3'!P13&lt;MAX('3'!$B13:$U13),HLOOKUP('3'!P13+1,'3'!$B13:$U75,'3'!$W$3+3,0),'3'!P75)))</f>
        <v/>
      </c>
      <c r="Q13" s="19" t="str">
        <f>IF(ISBLANK('Raw counts'!Q14),"",IF(ISERROR(IF('3'!Q13&lt;MAX('3'!$B13:$U13),HLOOKUP('3'!Q13+1,'3'!$B13:$U75,'3'!$W$3+3,0),'3'!Q75)),'3'!Q75,IF('3'!Q13&lt;MAX('3'!$B13:$U13),HLOOKUP('3'!Q13+1,'3'!$B13:$U75,'3'!$W$3+3,0),'3'!Q75)))</f>
        <v/>
      </c>
      <c r="R13" s="19" t="str">
        <f>IF(ISBLANK('Raw counts'!R14),"",IF(ISERROR(IF('3'!R13&lt;MAX('3'!$B13:$U13),HLOOKUP('3'!R13+1,'3'!$B13:$U75,'3'!$W$3+3,0),'3'!R75)),'3'!R75,IF('3'!R13&lt;MAX('3'!$B13:$U13),HLOOKUP('3'!R13+1,'3'!$B13:$U75,'3'!$W$3+3,0),'3'!R75)))</f>
        <v/>
      </c>
      <c r="S13" s="19" t="str">
        <f>IF(ISBLANK('Raw counts'!S14),"",IF(ISERROR(IF('3'!S13&lt;MAX('3'!$B13:$U13),HLOOKUP('3'!S13+1,'3'!$B13:$U75,'3'!$W$3+3,0),'3'!S75)),'3'!S75,IF('3'!S13&lt;MAX('3'!$B13:$U13),HLOOKUP('3'!S13+1,'3'!$B13:$U75,'3'!$W$3+3,0),'3'!S75)))</f>
        <v/>
      </c>
      <c r="T13" s="19" t="str">
        <f>IF(ISBLANK('Raw counts'!T14),"",IF(ISERROR(IF('3'!T13&lt;MAX('3'!$B13:$U13),HLOOKUP('3'!T13+1,'3'!$B13:$U75,'3'!$W$3+3,0),'3'!T75)),'3'!T75,IF('3'!T13&lt;MAX('3'!$B13:$U13),HLOOKUP('3'!T13+1,'3'!$B13:$U75,'3'!$W$3+3,0),'3'!T75)))</f>
        <v/>
      </c>
      <c r="U13" s="19" t="str">
        <f>IF(ISBLANK('Raw counts'!U14),"",IF(ISERROR(IF('3'!U13&lt;MAX('3'!$B13:$U13),HLOOKUP('3'!U13+1,'3'!$B13:$U75,'3'!$W$3+3,0),'3'!U75)),'3'!U75,IF('3'!U13&lt;MAX('3'!$B13:$U13),HLOOKUP('3'!U13+1,'3'!$B13:$U75,'3'!$W$3+3,0),'3'!U75)))</f>
        <v/>
      </c>
    </row>
    <row r="14" spans="1:21" x14ac:dyDescent="0.15">
      <c r="A14" s="18" t="str">
        <f>IF(ISBLANK('Raw counts'!A15),"",'Raw counts'!A15)</f>
        <v xml:space="preserve">Not enough promotions, discounts or coupons                                 </v>
      </c>
      <c r="B14" s="19">
        <f>IF(ISBLANK('Raw counts'!B15),"",IF(ISERROR(IF('3'!B14&lt;MAX('3'!$B14:$U14),HLOOKUP('3'!B14+1,'3'!$B14:$U76,'3'!$W$3+3,0),'3'!B76)),'3'!B76,IF('3'!B14&lt;MAX('3'!$B14:$U14),HLOOKUP('3'!B14+1,'3'!$B14:$U76,'3'!$W$3+3,0),'3'!B76)))</f>
        <v>3.7559309166824804</v>
      </c>
      <c r="C14" s="19">
        <f>IF(ISBLANK('Raw counts'!C15),"",IF(ISERROR(IF('3'!C14&lt;MAX('3'!$B14:$U14),HLOOKUP('3'!C14+1,'3'!$B14:$U76,'3'!$W$3+3,0),'3'!C76)),'3'!C76,IF('3'!C14&lt;MAX('3'!$B14:$U14),HLOOKUP('3'!C14+1,'3'!$B14:$U76,'3'!$W$3+3,0),'3'!C76)))</f>
        <v>-13.063010058834699</v>
      </c>
      <c r="D14" s="19">
        <f>IF(ISBLANK('Raw counts'!D15),"",IF(ISERROR(IF('3'!D14&lt;MAX('3'!$B14:$U14),HLOOKUP('3'!D14+1,'3'!$B14:$U76,'3'!$W$3+3,0),'3'!D76)),'3'!D76,IF('3'!D14&lt;MAX('3'!$B14:$U14),HLOOKUP('3'!D14+1,'3'!$B14:$U76,'3'!$W$3+3,0),'3'!D76)))</f>
        <v>-1.9052951224141204</v>
      </c>
      <c r="E14" s="19">
        <f>IF(ISBLANK('Raw counts'!E15),"",IF(ISERROR(IF('3'!E14&lt;MAX('3'!$B14:$U14),HLOOKUP('3'!E14+1,'3'!$B14:$U76,'3'!$W$3+3,0),'3'!E76)),'3'!E76,IF('3'!E14&lt;MAX('3'!$B14:$U14),HLOOKUP('3'!E14+1,'3'!$B14:$U76,'3'!$W$3+3,0),'3'!E76)))</f>
        <v>-5.8570886316189004</v>
      </c>
      <c r="F14" s="19">
        <f>IF(ISBLANK('Raw counts'!F15),"",IF(ISERROR(IF('3'!F14&lt;MAX('3'!$B14:$U14),HLOOKUP('3'!F14+1,'3'!$B14:$U76,'3'!$W$3+3,0),'3'!F76)),'3'!F76,IF('3'!F14&lt;MAX('3'!$B14:$U14),HLOOKUP('3'!F14+1,'3'!$B14:$U76,'3'!$W$3+3,0),'3'!F76)))</f>
        <v>-0.21427215790472509</v>
      </c>
      <c r="G14" s="19">
        <f>IF(ISBLANK('Raw counts'!G15),"",IF(ISERROR(IF('3'!G14&lt;MAX('3'!$B14:$U14),HLOOKUP('3'!G14+1,'3'!$B14:$U76,'3'!$W$3+3,0),'3'!G76)),'3'!G76,IF('3'!G14&lt;MAX('3'!$B14:$U14),HLOOKUP('3'!G14+1,'3'!$B14:$U76,'3'!$W$3+3,0),'3'!G76)))</f>
        <v>4.3871702410324644</v>
      </c>
      <c r="H14" s="19">
        <f>IF(ISBLANK('Raw counts'!H15),"",IF(ISERROR(IF('3'!H14&lt;MAX('3'!$B14:$U14),HLOOKUP('3'!H14+1,'3'!$B14:$U76,'3'!$W$3+3,0),'3'!H76)),'3'!H76,IF('3'!H14&lt;MAX('3'!$B14:$U14),HLOOKUP('3'!H14+1,'3'!$B14:$U76,'3'!$W$3+3,0),'3'!H76)))</f>
        <v>6.1022964509394626</v>
      </c>
      <c r="I14" s="19">
        <f>IF(ISBLANK('Raw counts'!I15),"",IF(ISERROR(IF('3'!I14&lt;MAX('3'!$B14:$U14),HLOOKUP('3'!I14+1,'3'!$B14:$U76,'3'!$W$3+3,0),'3'!I76)),'3'!I76,IF('3'!I14&lt;MAX('3'!$B14:$U14),HLOOKUP('3'!I14+1,'3'!$B14:$U76,'3'!$W$3+3,0),'3'!I76)))</f>
        <v>-2.5763902068703732</v>
      </c>
      <c r="J14" s="19">
        <f>IF(ISBLANK('Raw counts'!J15),"",IF(ISERROR(IF('3'!J14&lt;MAX('3'!$B14:$U14),HLOOKUP('3'!J14+1,'3'!$B14:$U76,'3'!$W$3+3,0),'3'!J76)),'3'!J76,IF('3'!J14&lt;MAX('3'!$B14:$U14),HLOOKUP('3'!J14+1,'3'!$B14:$U76,'3'!$W$3+3,0),'3'!J76)))</f>
        <v>-1.8014803568039479</v>
      </c>
      <c r="K14" s="19">
        <f>IF(ISBLANK('Raw counts'!K15),"",IF(ISERROR(IF('3'!K14&lt;MAX('3'!$B14:$U14),HLOOKUP('3'!K14+1,'3'!$B14:$U76,'3'!$W$3+3,0),'3'!K76)),'3'!K76,IF('3'!K14&lt;MAX('3'!$B14:$U14),HLOOKUP('3'!K14+1,'3'!$B14:$U76,'3'!$W$3+3,0),'3'!K76)))</f>
        <v>-13.063010058834699</v>
      </c>
      <c r="L14" s="19">
        <f>IF(ISBLANK('Raw counts'!L15),"",IF(ISERROR(IF('3'!L14&lt;MAX('3'!$B14:$U14),HLOOKUP('3'!L14+1,'3'!$B14:$U76,'3'!$W$3+3,0),'3'!L76)),'3'!L76,IF('3'!L14&lt;MAX('3'!$B14:$U14),HLOOKUP('3'!L14+1,'3'!$B14:$U76,'3'!$W$3+3,0),'3'!L76)))</f>
        <v>-0.47921806794458099</v>
      </c>
      <c r="M14" s="19" t="str">
        <f>IF(ISBLANK('Raw counts'!M15),"",IF(ISERROR(IF('3'!M14&lt;MAX('3'!$B14:$U14),HLOOKUP('3'!M14+1,'3'!$B14:$U76,'3'!$W$3+3,0),'3'!M76)),'3'!M76,IF('3'!M14&lt;MAX('3'!$B14:$U14),HLOOKUP('3'!M14+1,'3'!$B14:$U76,'3'!$W$3+3,0),'3'!M76)))</f>
        <v/>
      </c>
      <c r="N14" s="19" t="str">
        <f>IF(ISBLANK('Raw counts'!N15),"",IF(ISERROR(IF('3'!N14&lt;MAX('3'!$B14:$U14),HLOOKUP('3'!N14+1,'3'!$B14:$U76,'3'!$W$3+3,0),'3'!N76)),'3'!N76,IF('3'!N14&lt;MAX('3'!$B14:$U14),HLOOKUP('3'!N14+1,'3'!$B14:$U76,'3'!$W$3+3,0),'3'!N76)))</f>
        <v/>
      </c>
      <c r="O14" s="19" t="str">
        <f>IF(ISBLANK('Raw counts'!O15),"",IF(ISERROR(IF('3'!O14&lt;MAX('3'!$B14:$U14),HLOOKUP('3'!O14+1,'3'!$B14:$U76,'3'!$W$3+3,0),'3'!O76)),'3'!O76,IF('3'!O14&lt;MAX('3'!$B14:$U14),HLOOKUP('3'!O14+1,'3'!$B14:$U76,'3'!$W$3+3,0),'3'!O76)))</f>
        <v/>
      </c>
      <c r="P14" s="19" t="str">
        <f>IF(ISBLANK('Raw counts'!P15),"",IF(ISERROR(IF('3'!P14&lt;MAX('3'!$B14:$U14),HLOOKUP('3'!P14+1,'3'!$B14:$U76,'3'!$W$3+3,0),'3'!P76)),'3'!P76,IF('3'!P14&lt;MAX('3'!$B14:$U14),HLOOKUP('3'!P14+1,'3'!$B14:$U76,'3'!$W$3+3,0),'3'!P76)))</f>
        <v/>
      </c>
      <c r="Q14" s="19" t="str">
        <f>IF(ISBLANK('Raw counts'!Q15),"",IF(ISERROR(IF('3'!Q14&lt;MAX('3'!$B14:$U14),HLOOKUP('3'!Q14+1,'3'!$B14:$U76,'3'!$W$3+3,0),'3'!Q76)),'3'!Q76,IF('3'!Q14&lt;MAX('3'!$B14:$U14),HLOOKUP('3'!Q14+1,'3'!$B14:$U76,'3'!$W$3+3,0),'3'!Q76)))</f>
        <v/>
      </c>
      <c r="R14" s="19" t="str">
        <f>IF(ISBLANK('Raw counts'!R15),"",IF(ISERROR(IF('3'!R14&lt;MAX('3'!$B14:$U14),HLOOKUP('3'!R14+1,'3'!$B14:$U76,'3'!$W$3+3,0),'3'!R76)),'3'!R76,IF('3'!R14&lt;MAX('3'!$B14:$U14),HLOOKUP('3'!R14+1,'3'!$B14:$U76,'3'!$W$3+3,0),'3'!R76)))</f>
        <v/>
      </c>
      <c r="S14" s="19" t="str">
        <f>IF(ISBLANK('Raw counts'!S15),"",IF(ISERROR(IF('3'!S14&lt;MAX('3'!$B14:$U14),HLOOKUP('3'!S14+1,'3'!$B14:$U76,'3'!$W$3+3,0),'3'!S76)),'3'!S76,IF('3'!S14&lt;MAX('3'!$B14:$U14),HLOOKUP('3'!S14+1,'3'!$B14:$U76,'3'!$W$3+3,0),'3'!S76)))</f>
        <v/>
      </c>
      <c r="T14" s="19" t="str">
        <f>IF(ISBLANK('Raw counts'!T15),"",IF(ISERROR(IF('3'!T14&lt;MAX('3'!$B14:$U14),HLOOKUP('3'!T14+1,'3'!$B14:$U76,'3'!$W$3+3,0),'3'!T76)),'3'!T76,IF('3'!T14&lt;MAX('3'!$B14:$U14),HLOOKUP('3'!T14+1,'3'!$B14:$U76,'3'!$W$3+3,0),'3'!T76)))</f>
        <v/>
      </c>
      <c r="U14" s="19" t="str">
        <f>IF(ISBLANK('Raw counts'!U15),"",IF(ISERROR(IF('3'!U14&lt;MAX('3'!$B14:$U14),HLOOKUP('3'!U14+1,'3'!$B14:$U76,'3'!$W$3+3,0),'3'!U76)),'3'!U76,IF('3'!U14&lt;MAX('3'!$B14:$U14),HLOOKUP('3'!U14+1,'3'!$B14:$U76,'3'!$W$3+3,0),'3'!U76)))</f>
        <v/>
      </c>
    </row>
    <row r="15" spans="1:21" x14ac:dyDescent="0.15">
      <c r="A15" s="18" t="str">
        <f>IF(ISBLANK('Raw counts'!A16),"",'Raw counts'!A16)</f>
        <v xml:space="preserve">Other brands offer more promotions, discounts or coupons                    </v>
      </c>
      <c r="B15" s="19">
        <f>IF(ISBLANK('Raw counts'!B16),"",IF(ISERROR(IF('3'!B15&lt;MAX('3'!$B15:$U15),HLOOKUP('3'!B15+1,'3'!$B15:$U77,'3'!$W$3+3,0),'3'!B77)),'3'!B77,IF('3'!B15&lt;MAX('3'!$B15:$U15),HLOOKUP('3'!B15+1,'3'!$B15:$U77,'3'!$W$3+3,0),'3'!B77)))</f>
        <v>1.1047637122793699</v>
      </c>
      <c r="C15" s="19">
        <f>IF(ISBLANK('Raw counts'!C16),"",IF(ISERROR(IF('3'!C15&lt;MAX('3'!$B15:$U15),HLOOKUP('3'!C15+1,'3'!$B15:$U77,'3'!$W$3+3,0),'3'!C77)),'3'!C77,IF('3'!C15&lt;MAX('3'!$B15:$U15),HLOOKUP('3'!C15+1,'3'!$B15:$U77,'3'!$W$3+3,0),'3'!C77)))</f>
        <v>4.0495350161320971</v>
      </c>
      <c r="D15" s="19">
        <f>IF(ISBLANK('Raw counts'!D16),"",IF(ISERROR(IF('3'!D15&lt;MAX('3'!$B15:$U15),HLOOKUP('3'!D15+1,'3'!$B15:$U77,'3'!$W$3+3,0),'3'!D77)),'3'!D77,IF('3'!D15&lt;MAX('3'!$B15:$U15),HLOOKUP('3'!D15+1,'3'!$B15:$U77,'3'!$W$3+3,0),'3'!D77)))</f>
        <v>-0.89200986904535995</v>
      </c>
      <c r="E15" s="19">
        <f>IF(ISBLANK('Raw counts'!E16),"",IF(ISERROR(IF('3'!E15&lt;MAX('3'!$B15:$U15),HLOOKUP('3'!E15+1,'3'!$B15:$U77,'3'!$W$3+3,0),'3'!E77)),'3'!E77,IF('3'!E15&lt;MAX('3'!$B15:$U15),HLOOKUP('3'!E15+1,'3'!$B15:$U77,'3'!$W$3+3,0),'3'!E77)))</f>
        <v>-4.3810969823495913</v>
      </c>
      <c r="F15" s="19">
        <f>IF(ISBLANK('Raw counts'!F16),"",IF(ISERROR(IF('3'!F15&lt;MAX('3'!$B15:$U15),HLOOKUP('3'!F15+1,'3'!$B15:$U77,'3'!$W$3+3,0),'3'!F77)),'3'!F77,IF('3'!F15&lt;MAX('3'!$B15:$U15),HLOOKUP('3'!F15+1,'3'!$B15:$U77,'3'!$W$3+3,0),'3'!F77)))</f>
        <v>-0.22300246726133999</v>
      </c>
      <c r="G15" s="19">
        <f>IF(ISBLANK('Raw counts'!G16),"",IF(ISERROR(IF('3'!G15&lt;MAX('3'!$B15:$U15),HLOOKUP('3'!G15+1,'3'!$B15:$U77,'3'!$W$3+3,0),'3'!G77)),'3'!G77,IF('3'!G15&lt;MAX('3'!$B15:$U15),HLOOKUP('3'!G15+1,'3'!$B15:$U77,'3'!$W$3+3,0),'3'!G77)))</f>
        <v>-3.822546972860124</v>
      </c>
      <c r="H15" s="19">
        <f>IF(ISBLANK('Raw counts'!H16),"",IF(ISERROR(IF('3'!H15&lt;MAX('3'!$B15:$U15),HLOOKUP('3'!H15+1,'3'!$B15:$U77,'3'!$W$3+3,0),'3'!H77)),'3'!H77,IF('3'!H15&lt;MAX('3'!$B15:$U15),HLOOKUP('3'!H15+1,'3'!$B15:$U77,'3'!$W$3+3,0),'3'!H77)))</f>
        <v>-4.3810969823495913</v>
      </c>
      <c r="I15" s="19">
        <f>IF(ISBLANK('Raw counts'!I16),"",IF(ISERROR(IF('3'!I15&lt;MAX('3'!$B15:$U15),HLOOKUP('3'!I15+1,'3'!$B15:$U77,'3'!$W$3+3,0),'3'!I77)),'3'!I77,IF('3'!I15&lt;MAX('3'!$B15:$U15),HLOOKUP('3'!I15+1,'3'!$B15:$U77,'3'!$W$3+3,0),'3'!I77)))</f>
        <v>0.93642057316378668</v>
      </c>
      <c r="J15" s="19">
        <f>IF(ISBLANK('Raw counts'!J16),"",IF(ISERROR(IF('3'!J15&lt;MAX('3'!$B15:$U15),HLOOKUP('3'!J15+1,'3'!$B15:$U77,'3'!$W$3+3,0),'3'!J77)),'3'!J77,IF('3'!J15&lt;MAX('3'!$B15:$U15),HLOOKUP('3'!J15+1,'3'!$B15:$U77,'3'!$W$3+3,0),'3'!J77)))</f>
        <v>-3.7766179540709786</v>
      </c>
      <c r="K15" s="19">
        <f>IF(ISBLANK('Raw counts'!K16),"",IF(ISERROR(IF('3'!K15&lt;MAX('3'!$B15:$U15),HLOOKUP('3'!K15+1,'3'!$B15:$U77,'3'!$W$3+3,0),'3'!K77)),'3'!K77,IF('3'!K15&lt;MAX('3'!$B15:$U15),HLOOKUP('3'!K15+1,'3'!$B15:$U77,'3'!$W$3+3,0),'3'!K77)))</f>
        <v>-2.8627823116340858</v>
      </c>
      <c r="L15" s="19">
        <f>IF(ISBLANK('Raw counts'!L16),"",IF(ISERROR(IF('3'!L15&lt;MAX('3'!$B15:$U15),HLOOKUP('3'!L15+1,'3'!$B15:$U77,'3'!$W$3+3,0),'3'!L77)),'3'!L77,IF('3'!L15&lt;MAX('3'!$B15:$U15),HLOOKUP('3'!L15+1,'3'!$B15:$U77,'3'!$W$3+3,0),'3'!L77)))</f>
        <v>-0.64813057506168192</v>
      </c>
      <c r="M15" s="19" t="str">
        <f>IF(ISBLANK('Raw counts'!M16),"",IF(ISERROR(IF('3'!M15&lt;MAX('3'!$B15:$U15),HLOOKUP('3'!M15+1,'3'!$B15:$U77,'3'!$W$3+3,0),'3'!M77)),'3'!M77,IF('3'!M15&lt;MAX('3'!$B15:$U15),HLOOKUP('3'!M15+1,'3'!$B15:$U77,'3'!$W$3+3,0),'3'!M77)))</f>
        <v/>
      </c>
      <c r="N15" s="19" t="str">
        <f>IF(ISBLANK('Raw counts'!N16),"",IF(ISERROR(IF('3'!N15&lt;MAX('3'!$B15:$U15),HLOOKUP('3'!N15+1,'3'!$B15:$U77,'3'!$W$3+3,0),'3'!N77)),'3'!N77,IF('3'!N15&lt;MAX('3'!$B15:$U15),HLOOKUP('3'!N15+1,'3'!$B15:$U77,'3'!$W$3+3,0),'3'!N77)))</f>
        <v/>
      </c>
      <c r="O15" s="19" t="str">
        <f>IF(ISBLANK('Raw counts'!O16),"",IF(ISERROR(IF('3'!O15&lt;MAX('3'!$B15:$U15),HLOOKUP('3'!O15+1,'3'!$B15:$U77,'3'!$W$3+3,0),'3'!O77)),'3'!O77,IF('3'!O15&lt;MAX('3'!$B15:$U15),HLOOKUP('3'!O15+1,'3'!$B15:$U77,'3'!$W$3+3,0),'3'!O77)))</f>
        <v/>
      </c>
      <c r="P15" s="19" t="str">
        <f>IF(ISBLANK('Raw counts'!P16),"",IF(ISERROR(IF('3'!P15&lt;MAX('3'!$B15:$U15),HLOOKUP('3'!P15+1,'3'!$B15:$U77,'3'!$W$3+3,0),'3'!P77)),'3'!P77,IF('3'!P15&lt;MAX('3'!$B15:$U15),HLOOKUP('3'!P15+1,'3'!$B15:$U77,'3'!$W$3+3,0),'3'!P77)))</f>
        <v/>
      </c>
      <c r="Q15" s="19" t="str">
        <f>IF(ISBLANK('Raw counts'!Q16),"",IF(ISERROR(IF('3'!Q15&lt;MAX('3'!$B15:$U15),HLOOKUP('3'!Q15+1,'3'!$B15:$U77,'3'!$W$3+3,0),'3'!Q77)),'3'!Q77,IF('3'!Q15&lt;MAX('3'!$B15:$U15),HLOOKUP('3'!Q15+1,'3'!$B15:$U77,'3'!$W$3+3,0),'3'!Q77)))</f>
        <v/>
      </c>
      <c r="R15" s="19" t="str">
        <f>IF(ISBLANK('Raw counts'!R16),"",IF(ISERROR(IF('3'!R15&lt;MAX('3'!$B15:$U15),HLOOKUP('3'!R15+1,'3'!$B15:$U77,'3'!$W$3+3,0),'3'!R77)),'3'!R77,IF('3'!R15&lt;MAX('3'!$B15:$U15),HLOOKUP('3'!R15+1,'3'!$B15:$U77,'3'!$W$3+3,0),'3'!R77)))</f>
        <v/>
      </c>
      <c r="S15" s="19" t="str">
        <f>IF(ISBLANK('Raw counts'!S16),"",IF(ISERROR(IF('3'!S15&lt;MAX('3'!$B15:$U15),HLOOKUP('3'!S15+1,'3'!$B15:$U77,'3'!$W$3+3,0),'3'!S77)),'3'!S77,IF('3'!S15&lt;MAX('3'!$B15:$U15),HLOOKUP('3'!S15+1,'3'!$B15:$U77,'3'!$W$3+3,0),'3'!S77)))</f>
        <v/>
      </c>
      <c r="T15" s="19" t="str">
        <f>IF(ISBLANK('Raw counts'!T16),"",IF(ISERROR(IF('3'!T15&lt;MAX('3'!$B15:$U15),HLOOKUP('3'!T15+1,'3'!$B15:$U77,'3'!$W$3+3,0),'3'!T77)),'3'!T77,IF('3'!T15&lt;MAX('3'!$B15:$U15),HLOOKUP('3'!T15+1,'3'!$B15:$U77,'3'!$W$3+3,0),'3'!T77)))</f>
        <v/>
      </c>
      <c r="U15" s="19" t="str">
        <f>IF(ISBLANK('Raw counts'!U16),"",IF(ISERROR(IF('3'!U15&lt;MAX('3'!$B15:$U15),HLOOKUP('3'!U15+1,'3'!$B15:$U77,'3'!$W$3+3,0),'3'!U77)),'3'!U77,IF('3'!U15&lt;MAX('3'!$B15:$U15),HLOOKUP('3'!U15+1,'3'!$B15:$U77,'3'!$W$3+3,0),'3'!U77)))</f>
        <v/>
      </c>
    </row>
    <row r="16" spans="1:21" x14ac:dyDescent="0.15">
      <c r="A16" s="18" t="str">
        <f>IF(ISBLANK('Raw counts'!A17),"",'Raw counts'!A17)</f>
        <v xml:space="preserve">Other brands have more shopper or loyalty card offers                       </v>
      </c>
      <c r="B16" s="19">
        <f>IF(ISBLANK('Raw counts'!B17),"",IF(ISERROR(IF('3'!B16&lt;MAX('3'!$B16:$U16),HLOOKUP('3'!B16+1,'3'!$B16:$U78,'3'!$W$3+3,0),'3'!B78)),'3'!B78,IF('3'!B16&lt;MAX('3'!$B16:$U16),HLOOKUP('3'!B16+1,'3'!$B16:$U78,'3'!$W$3+3,0),'3'!B78)))</f>
        <v>1.9166824824444868</v>
      </c>
      <c r="C16" s="19">
        <f>IF(ISBLANK('Raw counts'!C17),"",IF(ISERROR(IF('3'!C16&lt;MAX('3'!$B16:$U16),HLOOKUP('3'!C16+1,'3'!$B16:$U78,'3'!$W$3+3,0),'3'!C78)),'3'!C78,IF('3'!C16&lt;MAX('3'!$B16:$U16),HLOOKUP('3'!C16+1,'3'!$B16:$U78,'3'!$W$3+3,0),'3'!C78)))</f>
        <v>-4.1765040804706768</v>
      </c>
      <c r="D16" s="19">
        <f>IF(ISBLANK('Raw counts'!D17),"",IF(ISERROR(IF('3'!D16&lt;MAX('3'!$B16:$U16),HLOOKUP('3'!D16+1,'3'!$B16:$U78,'3'!$W$3+3,0),'3'!D78)),'3'!D78,IF('3'!D16&lt;MAX('3'!$B16:$U16),HLOOKUP('3'!D16+1,'3'!$B16:$U78,'3'!$W$3+3,0),'3'!D78)))</f>
        <v>-0.54298728411463237</v>
      </c>
      <c r="E16" s="19">
        <f>IF(ISBLANK('Raw counts'!E17),"",IF(ISERROR(IF('3'!E16&lt;MAX('3'!$B16:$U16),HLOOKUP('3'!E16+1,'3'!$B16:$U78,'3'!$W$3+3,0),'3'!E78)),'3'!E78,IF('3'!E16&lt;MAX('3'!$B16:$U16),HLOOKUP('3'!E16+1,'3'!$B16:$U78,'3'!$W$3+3,0),'3'!E78)))</f>
        <v>-0.70070222053520581</v>
      </c>
      <c r="F16" s="19">
        <f>IF(ISBLANK('Raw counts'!F17),"",IF(ISERROR(IF('3'!F16&lt;MAX('3'!$B16:$U16),HLOOKUP('3'!F16+1,'3'!$B16:$U78,'3'!$W$3+3,0),'3'!F78)),'3'!F78,IF('3'!F16&lt;MAX('3'!$B16:$U16),HLOOKUP('3'!F16+1,'3'!$B16:$U78,'3'!$W$3+3,0),'3'!F78)))</f>
        <v>2.9445815145188874</v>
      </c>
      <c r="G16" s="19">
        <f>IF(ISBLANK('Raw counts'!G17),"",IF(ISERROR(IF('3'!G16&lt;MAX('3'!$B16:$U16),HLOOKUP('3'!G16+1,'3'!$B16:$U78,'3'!$W$3+3,0),'3'!G78)),'3'!G78,IF('3'!G16&lt;MAX('3'!$B16:$U16),HLOOKUP('3'!G16+1,'3'!$B16:$U78,'3'!$W$3+3,0),'3'!G78)))</f>
        <v>-7.49895615866388</v>
      </c>
      <c r="H16" s="19">
        <f>IF(ISBLANK('Raw counts'!H17),"",IF(ISERROR(IF('3'!H16&lt;MAX('3'!$B16:$U16),HLOOKUP('3'!H16+1,'3'!$B16:$U78,'3'!$W$3+3,0),'3'!H78)),'3'!H78,IF('3'!H16&lt;MAX('3'!$B16:$U16),HLOOKUP('3'!H16+1,'3'!$B16:$U78,'3'!$W$3+3,0),'3'!H78)))</f>
        <v>3.442778515847408</v>
      </c>
      <c r="I16" s="19">
        <f>IF(ISBLANK('Raw counts'!I17),"",IF(ISERROR(IF('3'!I16&lt;MAX('3'!$B16:$U16),HLOOKUP('3'!I16+1,'3'!$B16:$U78,'3'!$W$3+3,0),'3'!I78)),'3'!I78,IF('3'!I16&lt;MAX('3'!$B16:$U16),HLOOKUP('3'!I16+1,'3'!$B16:$U78,'3'!$W$3+3,0),'3'!I78)))</f>
        <v>-3.1360789523628796</v>
      </c>
      <c r="J16" s="19">
        <f>IF(ISBLANK('Raw counts'!J17),"",IF(ISERROR(IF('3'!J16&lt;MAX('3'!$B16:$U16),HLOOKUP('3'!J16+1,'3'!$B16:$U78,'3'!$W$3+3,0),'3'!J78)),'3'!J78,IF('3'!J16&lt;MAX('3'!$B16:$U16),HLOOKUP('3'!J16+1,'3'!$B16:$U78,'3'!$W$3+3,0),'3'!J78)))</f>
        <v>-7.49895615866388</v>
      </c>
      <c r="K16" s="19">
        <f>IF(ISBLANK('Raw counts'!K17),"",IF(ISERROR(IF('3'!K16&lt;MAX('3'!$B16:$U16),HLOOKUP('3'!K16+1,'3'!$B16:$U78,'3'!$W$3+3,0),'3'!K78)),'3'!K78,IF('3'!K16&lt;MAX('3'!$B16:$U16),HLOOKUP('3'!K16+1,'3'!$B16:$U78,'3'!$W$3+3,0),'3'!K78)))</f>
        <v>4.6597077244258855</v>
      </c>
      <c r="L16" s="19">
        <f>IF(ISBLANK('Raw counts'!L17),"",IF(ISERROR(IF('3'!L16&lt;MAX('3'!$B16:$U16),HLOOKUP('3'!L16+1,'3'!$B16:$U78,'3'!$W$3+3,0),'3'!L78)),'3'!L78,IF('3'!L16&lt;MAX('3'!$B16:$U16),HLOOKUP('3'!L16+1,'3'!$B16:$U78,'3'!$W$3+3,0),'3'!L78)))</f>
        <v>-3.1057126589485673</v>
      </c>
      <c r="M16" s="19" t="str">
        <f>IF(ISBLANK('Raw counts'!M17),"",IF(ISERROR(IF('3'!M16&lt;MAX('3'!$B16:$U16),HLOOKUP('3'!M16+1,'3'!$B16:$U78,'3'!$W$3+3,0),'3'!M78)),'3'!M78,IF('3'!M16&lt;MAX('3'!$B16:$U16),HLOOKUP('3'!M16+1,'3'!$B16:$U78,'3'!$W$3+3,0),'3'!M78)))</f>
        <v/>
      </c>
      <c r="N16" s="19" t="str">
        <f>IF(ISBLANK('Raw counts'!N17),"",IF(ISERROR(IF('3'!N16&lt;MAX('3'!$B16:$U16),HLOOKUP('3'!N16+1,'3'!$B16:$U78,'3'!$W$3+3,0),'3'!N78)),'3'!N78,IF('3'!N16&lt;MAX('3'!$B16:$U16),HLOOKUP('3'!N16+1,'3'!$B16:$U78,'3'!$W$3+3,0),'3'!N78)))</f>
        <v/>
      </c>
      <c r="O16" s="19" t="str">
        <f>IF(ISBLANK('Raw counts'!O17),"",IF(ISERROR(IF('3'!O16&lt;MAX('3'!$B16:$U16),HLOOKUP('3'!O16+1,'3'!$B16:$U78,'3'!$W$3+3,0),'3'!O78)),'3'!O78,IF('3'!O16&lt;MAX('3'!$B16:$U16),HLOOKUP('3'!O16+1,'3'!$B16:$U78,'3'!$W$3+3,0),'3'!O78)))</f>
        <v/>
      </c>
      <c r="P16" s="19" t="str">
        <f>IF(ISBLANK('Raw counts'!P17),"",IF(ISERROR(IF('3'!P16&lt;MAX('3'!$B16:$U16),HLOOKUP('3'!P16+1,'3'!$B16:$U78,'3'!$W$3+3,0),'3'!P78)),'3'!P78,IF('3'!P16&lt;MAX('3'!$B16:$U16),HLOOKUP('3'!P16+1,'3'!$B16:$U78,'3'!$W$3+3,0),'3'!P78)))</f>
        <v/>
      </c>
      <c r="Q16" s="19" t="str">
        <f>IF(ISBLANK('Raw counts'!Q17),"",IF(ISERROR(IF('3'!Q16&lt;MAX('3'!$B16:$U16),HLOOKUP('3'!Q16+1,'3'!$B16:$U78,'3'!$W$3+3,0),'3'!Q78)),'3'!Q78,IF('3'!Q16&lt;MAX('3'!$B16:$U16),HLOOKUP('3'!Q16+1,'3'!$B16:$U78,'3'!$W$3+3,0),'3'!Q78)))</f>
        <v/>
      </c>
      <c r="R16" s="19" t="str">
        <f>IF(ISBLANK('Raw counts'!R17),"",IF(ISERROR(IF('3'!R16&lt;MAX('3'!$B16:$U16),HLOOKUP('3'!R16+1,'3'!$B16:$U78,'3'!$W$3+3,0),'3'!R78)),'3'!R78,IF('3'!R16&lt;MAX('3'!$B16:$U16),HLOOKUP('3'!R16+1,'3'!$B16:$U78,'3'!$W$3+3,0),'3'!R78)))</f>
        <v/>
      </c>
      <c r="S16" s="19" t="str">
        <f>IF(ISBLANK('Raw counts'!S17),"",IF(ISERROR(IF('3'!S16&lt;MAX('3'!$B16:$U16),HLOOKUP('3'!S16+1,'3'!$B16:$U78,'3'!$W$3+3,0),'3'!S78)),'3'!S78,IF('3'!S16&lt;MAX('3'!$B16:$U16),HLOOKUP('3'!S16+1,'3'!$B16:$U78,'3'!$W$3+3,0),'3'!S78)))</f>
        <v/>
      </c>
      <c r="T16" s="19" t="str">
        <f>IF(ISBLANK('Raw counts'!T17),"",IF(ISERROR(IF('3'!T16&lt;MAX('3'!$B16:$U16),HLOOKUP('3'!T16+1,'3'!$B16:$U78,'3'!$W$3+3,0),'3'!T78)),'3'!T78,IF('3'!T16&lt;MAX('3'!$B16:$U16),HLOOKUP('3'!T16+1,'3'!$B16:$U78,'3'!$W$3+3,0),'3'!T78)))</f>
        <v/>
      </c>
      <c r="U16" s="19" t="str">
        <f>IF(ISBLANK('Raw counts'!U17),"",IF(ISERROR(IF('3'!U16&lt;MAX('3'!$B16:$U16),HLOOKUP('3'!U16+1,'3'!$B16:$U78,'3'!$W$3+3,0),'3'!U78)),'3'!U78,IF('3'!U16&lt;MAX('3'!$B16:$U16),HLOOKUP('3'!U16+1,'3'!$B16:$U78,'3'!$W$3+3,0),'3'!U78)))</f>
        <v/>
      </c>
    </row>
    <row r="17" spans="1:21" x14ac:dyDescent="0.15">
      <c r="A17" s="18" t="str">
        <f>IF(ISBLANK('Raw counts'!A18),"",'Raw counts'!A18)</f>
        <v xml:space="preserve">Recommended another brand by others(i.e. family members/peers or iWOM)      </v>
      </c>
      <c r="B17" s="19">
        <f>IF(ISBLANK('Raw counts'!B18),"",IF(ISERROR(IF('3'!B17&lt;MAX('3'!$B17:$U17),HLOOKUP('3'!B17+1,'3'!$B17:$U79,'3'!$W$3+3,0),'3'!B79)),'3'!B79,IF('3'!B17&lt;MAX('3'!$B17:$U17),HLOOKUP('3'!B17+1,'3'!$B17:$U79,'3'!$W$3+3,0),'3'!B79)))</f>
        <v>-7.973239703928634</v>
      </c>
      <c r="C17" s="19">
        <f>IF(ISBLANK('Raw counts'!C18),"",IF(ISERROR(IF('3'!C17&lt;MAX('3'!$B17:$U17),HLOOKUP('3'!C17+1,'3'!$B17:$U79,'3'!$W$3+3,0),'3'!C79)),'3'!C79,IF('3'!C17&lt;MAX('3'!$B17:$U17),HLOOKUP('3'!C17+1,'3'!$B17:$U79,'3'!$W$3+3,0),'3'!C79)))</f>
        <v>2.2998671474663128</v>
      </c>
      <c r="D17" s="19">
        <f>IF(ISBLANK('Raw counts'!D18),"",IF(ISERROR(IF('3'!D17&lt;MAX('3'!$B17:$U17),HLOOKUP('3'!D17+1,'3'!$B17:$U79,'3'!$W$3+3,0),'3'!D79)),'3'!D79,IF('3'!D17&lt;MAX('3'!$B17:$U17),HLOOKUP('3'!D17+1,'3'!$B17:$U79,'3'!$W$3+3,0),'3'!D79)))</f>
        <v>-7.973239703928634</v>
      </c>
      <c r="E17" s="19">
        <f>IF(ISBLANK('Raw counts'!E18),"",IF(ISERROR(IF('3'!E17&lt;MAX('3'!$B17:$U17),HLOOKUP('3'!E17+1,'3'!$B17:$U79,'3'!$W$3+3,0),'3'!E79)),'3'!E79,IF('3'!E17&lt;MAX('3'!$B17:$U17),HLOOKUP('3'!E17+1,'3'!$B17:$U79,'3'!$W$3+3,0),'3'!E79)))</f>
        <v>2.2567849686847694</v>
      </c>
      <c r="F17" s="19">
        <f>IF(ISBLANK('Raw counts'!F18),"",IF(ISERROR(IF('3'!F17&lt;MAX('3'!$B17:$U17),HLOOKUP('3'!F17+1,'3'!$B17:$U79,'3'!$W$3+3,0),'3'!F79)),'3'!F79,IF('3'!F17&lt;MAX('3'!$B17:$U17),HLOOKUP('3'!F17+1,'3'!$B17:$U79,'3'!$W$3+3,0),'3'!F79)))</f>
        <v>-3.1892199658379203</v>
      </c>
      <c r="G17" s="19">
        <f>IF(ISBLANK('Raw counts'!G18),"",IF(ISERROR(IF('3'!G17&lt;MAX('3'!$B17:$U17),HLOOKUP('3'!G17+1,'3'!$B17:$U79,'3'!$W$3+3,0),'3'!G79)),'3'!G79,IF('3'!G17&lt;MAX('3'!$B17:$U17),HLOOKUP('3'!G17+1,'3'!$B17:$U79,'3'!$W$3+3,0),'3'!G79)))</f>
        <v>0.80546593281457746</v>
      </c>
      <c r="H17" s="19">
        <f>IF(ISBLANK('Raw counts'!H18),"",IF(ISERROR(IF('3'!H17&lt;MAX('3'!$B17:$U17),HLOOKUP('3'!H17+1,'3'!$B17:$U79,'3'!$W$3+3,0),'3'!H79)),'3'!H79,IF('3'!H17&lt;MAX('3'!$B17:$U17),HLOOKUP('3'!H17+1,'3'!$B17:$U79,'3'!$W$3+3,0),'3'!H79)))</f>
        <v>1.7462516606566707</v>
      </c>
      <c r="I17" s="19">
        <f>IF(ISBLANK('Raw counts'!I18),"",IF(ISERROR(IF('3'!I17&lt;MAX('3'!$B17:$U17),HLOOKUP('3'!I17+1,'3'!$B17:$U79,'3'!$W$3+3,0),'3'!I79)),'3'!I79,IF('3'!I17&lt;MAX('3'!$B17:$U17),HLOOKUP('3'!I17+1,'3'!$B17:$U79,'3'!$W$3+3,0),'3'!I79)))</f>
        <v>1.5114822546972917</v>
      </c>
      <c r="J17" s="19">
        <f>IF(ISBLANK('Raw counts'!J18),"",IF(ISERROR(IF('3'!J17&lt;MAX('3'!$B17:$U17),HLOOKUP('3'!J17+1,'3'!$B17:$U79,'3'!$W$3+3,0),'3'!J79)),'3'!J79,IF('3'!J17&lt;MAX('3'!$B17:$U17),HLOOKUP('3'!J17+1,'3'!$B17:$U79,'3'!$W$3+3,0),'3'!J79)))</f>
        <v>-1.7986335167963556</v>
      </c>
      <c r="K17" s="19">
        <f>IF(ISBLANK('Raw counts'!K18),"",IF(ISERROR(IF('3'!K17&lt;MAX('3'!$B17:$U17),HLOOKUP('3'!K17+1,'3'!$B17:$U79,'3'!$W$3+3,0),'3'!K79)),'3'!K79,IF('3'!K17&lt;MAX('3'!$B17:$U17),HLOOKUP('3'!K17+1,'3'!$B17:$U79,'3'!$W$3+3,0),'3'!K79)))</f>
        <v>-0.30518124881381592</v>
      </c>
      <c r="L17" s="19">
        <f>IF(ISBLANK('Raw counts'!L18),"",IF(ISERROR(IF('3'!L17&lt;MAX('3'!$B17:$U17),HLOOKUP('3'!L17+1,'3'!$B17:$U79,'3'!$W$3+3,0),'3'!L79)),'3'!L79,IF('3'!L17&lt;MAX('3'!$B17:$U17),HLOOKUP('3'!L17+1,'3'!$B17:$U79,'3'!$W$3+3,0),'3'!L79)))</f>
        <v>-2.402163598405771</v>
      </c>
      <c r="M17" s="19" t="str">
        <f>IF(ISBLANK('Raw counts'!M18),"",IF(ISERROR(IF('3'!M17&lt;MAX('3'!$B17:$U17),HLOOKUP('3'!M17+1,'3'!$B17:$U79,'3'!$W$3+3,0),'3'!M79)),'3'!M79,IF('3'!M17&lt;MAX('3'!$B17:$U17),HLOOKUP('3'!M17+1,'3'!$B17:$U79,'3'!$W$3+3,0),'3'!M79)))</f>
        <v/>
      </c>
      <c r="N17" s="19" t="str">
        <f>IF(ISBLANK('Raw counts'!N18),"",IF(ISERROR(IF('3'!N17&lt;MAX('3'!$B17:$U17),HLOOKUP('3'!N17+1,'3'!$B17:$U79,'3'!$W$3+3,0),'3'!N79)),'3'!N79,IF('3'!N17&lt;MAX('3'!$B17:$U17),HLOOKUP('3'!N17+1,'3'!$B17:$U79,'3'!$W$3+3,0),'3'!N79)))</f>
        <v/>
      </c>
      <c r="O17" s="19" t="str">
        <f>IF(ISBLANK('Raw counts'!O18),"",IF(ISERROR(IF('3'!O17&lt;MAX('3'!$B17:$U17),HLOOKUP('3'!O17+1,'3'!$B17:$U79,'3'!$W$3+3,0),'3'!O79)),'3'!O79,IF('3'!O17&lt;MAX('3'!$B17:$U17),HLOOKUP('3'!O17+1,'3'!$B17:$U79,'3'!$W$3+3,0),'3'!O79)))</f>
        <v/>
      </c>
      <c r="P17" s="19" t="str">
        <f>IF(ISBLANK('Raw counts'!P18),"",IF(ISERROR(IF('3'!P17&lt;MAX('3'!$B17:$U17),HLOOKUP('3'!P17+1,'3'!$B17:$U79,'3'!$W$3+3,0),'3'!P79)),'3'!P79,IF('3'!P17&lt;MAX('3'!$B17:$U17),HLOOKUP('3'!P17+1,'3'!$B17:$U79,'3'!$W$3+3,0),'3'!P79)))</f>
        <v/>
      </c>
      <c r="Q17" s="19" t="str">
        <f>IF(ISBLANK('Raw counts'!Q18),"",IF(ISERROR(IF('3'!Q17&lt;MAX('3'!$B17:$U17),HLOOKUP('3'!Q17+1,'3'!$B17:$U79,'3'!$W$3+3,0),'3'!Q79)),'3'!Q79,IF('3'!Q17&lt;MAX('3'!$B17:$U17),HLOOKUP('3'!Q17+1,'3'!$B17:$U79,'3'!$W$3+3,0),'3'!Q79)))</f>
        <v/>
      </c>
      <c r="R17" s="19" t="str">
        <f>IF(ISBLANK('Raw counts'!R18),"",IF(ISERROR(IF('3'!R17&lt;MAX('3'!$B17:$U17),HLOOKUP('3'!R17+1,'3'!$B17:$U79,'3'!$W$3+3,0),'3'!R79)),'3'!R79,IF('3'!R17&lt;MAX('3'!$B17:$U17),HLOOKUP('3'!R17+1,'3'!$B17:$U79,'3'!$W$3+3,0),'3'!R79)))</f>
        <v/>
      </c>
      <c r="S17" s="19" t="str">
        <f>IF(ISBLANK('Raw counts'!S18),"",IF(ISERROR(IF('3'!S17&lt;MAX('3'!$B17:$U17),HLOOKUP('3'!S17+1,'3'!$B17:$U79,'3'!$W$3+3,0),'3'!S79)),'3'!S79,IF('3'!S17&lt;MAX('3'!$B17:$U17),HLOOKUP('3'!S17+1,'3'!$B17:$U79,'3'!$W$3+3,0),'3'!S79)))</f>
        <v/>
      </c>
      <c r="T17" s="19" t="str">
        <f>IF(ISBLANK('Raw counts'!T18),"",IF(ISERROR(IF('3'!T17&lt;MAX('3'!$B17:$U17),HLOOKUP('3'!T17+1,'3'!$B17:$U79,'3'!$W$3+3,0),'3'!T79)),'3'!T79,IF('3'!T17&lt;MAX('3'!$B17:$U17),HLOOKUP('3'!T17+1,'3'!$B17:$U79,'3'!$W$3+3,0),'3'!T79)))</f>
        <v/>
      </c>
      <c r="U17" s="19" t="str">
        <f>IF(ISBLANK('Raw counts'!U18),"",IF(ISERROR(IF('3'!U17&lt;MAX('3'!$B17:$U17),HLOOKUP('3'!U17+1,'3'!$B17:$U79,'3'!$W$3+3,0),'3'!U79)),'3'!U79,IF('3'!U17&lt;MAX('3'!$B17:$U17),HLOOKUP('3'!U17+1,'3'!$B17:$U79,'3'!$W$3+3,0),'3'!U79)))</f>
        <v/>
      </c>
    </row>
    <row r="18" spans="1:21" x14ac:dyDescent="0.15">
      <c r="A18" s="18" t="str">
        <f>IF(ISBLANK('Raw counts'!A19),"",'Raw counts'!A19)</f>
        <v xml:space="preserve">In-store salesperson or advisor recommended another brand                   </v>
      </c>
      <c r="B18" s="19">
        <f>IF(ISBLANK('Raw counts'!B19),"",IF(ISERROR(IF('3'!B18&lt;MAX('3'!$B18:$U18),HLOOKUP('3'!B18+1,'3'!$B18:$U80,'3'!$W$3+3,0),'3'!B80)),'3'!B80,IF('3'!B18&lt;MAX('3'!$B18:$U18),HLOOKUP('3'!B18+1,'3'!$B18:$U80,'3'!$W$3+3,0),'3'!B80)))</f>
        <v>0.28297589675460255</v>
      </c>
      <c r="C18" s="19">
        <f>IF(ISBLANK('Raw counts'!C19),"",IF(ISERROR(IF('3'!C18&lt;MAX('3'!$B18:$U18),HLOOKUP('3'!C18+1,'3'!$B18:$U80,'3'!$W$3+3,0),'3'!C80)),'3'!C80,IF('3'!C18&lt;MAX('3'!$B18:$U18),HLOOKUP('3'!C18+1,'3'!$B18:$U80,'3'!$W$3+3,0),'3'!C80)))</f>
        <v>-7.2719681153919211</v>
      </c>
      <c r="D18" s="19">
        <f>IF(ISBLANK('Raw counts'!D19),"",IF(ISERROR(IF('3'!D18&lt;MAX('3'!$B18:$U18),HLOOKUP('3'!D18+1,'3'!$B18:$U80,'3'!$W$3+3,0),'3'!D80)),'3'!D80,IF('3'!D18&lt;MAX('3'!$B18:$U18),HLOOKUP('3'!D18+1,'3'!$B18:$U80,'3'!$W$3+3,0),'3'!D80)))</f>
        <v>0.7916113114442993</v>
      </c>
      <c r="E18" s="19">
        <f>IF(ISBLANK('Raw counts'!E19),"",IF(ISERROR(IF('3'!E18&lt;MAX('3'!$B18:$U18),HLOOKUP('3'!E18+1,'3'!$B18:$U80,'3'!$W$3+3,0),'3'!E80)),'3'!E80,IF('3'!E18&lt;MAX('3'!$B18:$U18),HLOOKUP('3'!E18+1,'3'!$B18:$U80,'3'!$W$3+3,0),'3'!E80)))</f>
        <v>2.8696147276523059</v>
      </c>
      <c r="F18" s="19">
        <f>IF(ISBLANK('Raw counts'!F19),"",IF(ISERROR(IF('3'!F18&lt;MAX('3'!$B18:$U18),HLOOKUP('3'!F18+1,'3'!$B18:$U80,'3'!$W$3+3,0),'3'!F80)),'3'!F80,IF('3'!F18&lt;MAX('3'!$B18:$U18),HLOOKUP('3'!F18+1,'3'!$B18:$U80,'3'!$W$3+3,0),'3'!F80)))</f>
        <v>-2.6638830897703514</v>
      </c>
      <c r="G18" s="19">
        <f>IF(ISBLANK('Raw counts'!G19),"",IF(ISERROR(IF('3'!G18&lt;MAX('3'!$B18:$U18),HLOOKUP('3'!G18+1,'3'!$B18:$U80,'3'!$W$3+3,0),'3'!G80)),'3'!G80,IF('3'!G18&lt;MAX('3'!$B18:$U18),HLOOKUP('3'!G18+1,'3'!$B18:$U80,'3'!$W$3+3,0),'3'!G80)))</f>
        <v>-7.2719681153919211</v>
      </c>
      <c r="H18" s="19">
        <f>IF(ISBLANK('Raw counts'!H19),"",IF(ISERROR(IF('3'!H18&lt;MAX('3'!$B18:$U18),HLOOKUP('3'!H18+1,'3'!$B18:$U80,'3'!$W$3+3,0),'3'!H80)),'3'!H80,IF('3'!H18&lt;MAX('3'!$B18:$U18),HLOOKUP('3'!H18+1,'3'!$B18:$U80,'3'!$W$3+3,0),'3'!H80)))</f>
        <v>-1.6980451698614587</v>
      </c>
      <c r="I18" s="19">
        <f>IF(ISBLANK('Raw counts'!I19),"",IF(ISERROR(IF('3'!I18&lt;MAX('3'!$B18:$U18),HLOOKUP('3'!I18+1,'3'!$B18:$U80,'3'!$W$3+3,0),'3'!I80)),'3'!I80,IF('3'!I18&lt;MAX('3'!$B18:$U18),HLOOKUP('3'!I18+1,'3'!$B18:$U80,'3'!$W$3+3,0),'3'!I80)))</f>
        <v>0.89903207439741895</v>
      </c>
      <c r="J18" s="19">
        <f>IF(ISBLANK('Raw counts'!J19),"",IF(ISERROR(IF('3'!J18&lt;MAX('3'!$B18:$U18),HLOOKUP('3'!J18+1,'3'!$B18:$U80,'3'!$W$3+3,0),'3'!J80)),'3'!J80,IF('3'!J18&lt;MAX('3'!$B18:$U18),HLOOKUP('3'!J18+1,'3'!$B18:$U80,'3'!$W$3+3,0),'3'!J80)))</f>
        <v>-1.5741127348643005</v>
      </c>
      <c r="K18" s="19">
        <f>IF(ISBLANK('Raw counts'!K19),"",IF(ISERROR(IF('3'!K18&lt;MAX('3'!$B18:$U18),HLOOKUP('3'!K18+1,'3'!$B18:$U80,'3'!$W$3+3,0),'3'!K80)),'3'!K80,IF('3'!K18&lt;MAX('3'!$B18:$U18),HLOOKUP('3'!K18+1,'3'!$B18:$U80,'3'!$W$3+3,0),'3'!K80)))</f>
        <v>3.4308217878155247</v>
      </c>
      <c r="L18" s="19">
        <f>IF(ISBLANK('Raw counts'!L19),"",IF(ISERROR(IF('3'!L18&lt;MAX('3'!$B18:$U18),HLOOKUP('3'!L18+1,'3'!$B18:$U80,'3'!$W$3+3,0),'3'!L80)),'3'!L80,IF('3'!L18&lt;MAX('3'!$B18:$U18),HLOOKUP('3'!L18+1,'3'!$B18:$U80,'3'!$W$3+3,0),'3'!L80)))</f>
        <v>-0.19795027519453345</v>
      </c>
      <c r="M18" s="19" t="str">
        <f>IF(ISBLANK('Raw counts'!M19),"",IF(ISERROR(IF('3'!M18&lt;MAX('3'!$B18:$U18),HLOOKUP('3'!M18+1,'3'!$B18:$U80,'3'!$W$3+3,0),'3'!M80)),'3'!M80,IF('3'!M18&lt;MAX('3'!$B18:$U18),HLOOKUP('3'!M18+1,'3'!$B18:$U80,'3'!$W$3+3,0),'3'!M80)))</f>
        <v/>
      </c>
      <c r="N18" s="19" t="str">
        <f>IF(ISBLANK('Raw counts'!N19),"",IF(ISERROR(IF('3'!N18&lt;MAX('3'!$B18:$U18),HLOOKUP('3'!N18+1,'3'!$B18:$U80,'3'!$W$3+3,0),'3'!N80)),'3'!N80,IF('3'!N18&lt;MAX('3'!$B18:$U18),HLOOKUP('3'!N18+1,'3'!$B18:$U80,'3'!$W$3+3,0),'3'!N80)))</f>
        <v/>
      </c>
      <c r="O18" s="19" t="str">
        <f>IF(ISBLANK('Raw counts'!O19),"",IF(ISERROR(IF('3'!O18&lt;MAX('3'!$B18:$U18),HLOOKUP('3'!O18+1,'3'!$B18:$U80,'3'!$W$3+3,0),'3'!O80)),'3'!O80,IF('3'!O18&lt;MAX('3'!$B18:$U18),HLOOKUP('3'!O18+1,'3'!$B18:$U80,'3'!$W$3+3,0),'3'!O80)))</f>
        <v/>
      </c>
      <c r="P18" s="19" t="str">
        <f>IF(ISBLANK('Raw counts'!P19),"",IF(ISERROR(IF('3'!P18&lt;MAX('3'!$B18:$U18),HLOOKUP('3'!P18+1,'3'!$B18:$U80,'3'!$W$3+3,0),'3'!P80)),'3'!P80,IF('3'!P18&lt;MAX('3'!$B18:$U18),HLOOKUP('3'!P18+1,'3'!$B18:$U80,'3'!$W$3+3,0),'3'!P80)))</f>
        <v/>
      </c>
      <c r="Q18" s="19" t="str">
        <f>IF(ISBLANK('Raw counts'!Q19),"",IF(ISERROR(IF('3'!Q18&lt;MAX('3'!$B18:$U18),HLOOKUP('3'!Q18+1,'3'!$B18:$U80,'3'!$W$3+3,0),'3'!Q80)),'3'!Q80,IF('3'!Q18&lt;MAX('3'!$B18:$U18),HLOOKUP('3'!Q18+1,'3'!$B18:$U80,'3'!$W$3+3,0),'3'!Q80)))</f>
        <v/>
      </c>
      <c r="R18" s="19" t="str">
        <f>IF(ISBLANK('Raw counts'!R19),"",IF(ISERROR(IF('3'!R18&lt;MAX('3'!$B18:$U18),HLOOKUP('3'!R18+1,'3'!$B18:$U80,'3'!$W$3+3,0),'3'!R80)),'3'!R80,IF('3'!R18&lt;MAX('3'!$B18:$U18),HLOOKUP('3'!R18+1,'3'!$B18:$U80,'3'!$W$3+3,0),'3'!R80)))</f>
        <v/>
      </c>
      <c r="S18" s="19" t="str">
        <f>IF(ISBLANK('Raw counts'!S19),"",IF(ISERROR(IF('3'!S18&lt;MAX('3'!$B18:$U18),HLOOKUP('3'!S18+1,'3'!$B18:$U80,'3'!$W$3+3,0),'3'!S80)),'3'!S80,IF('3'!S18&lt;MAX('3'!$B18:$U18),HLOOKUP('3'!S18+1,'3'!$B18:$U80,'3'!$W$3+3,0),'3'!S80)))</f>
        <v/>
      </c>
      <c r="T18" s="19" t="str">
        <f>IF(ISBLANK('Raw counts'!T19),"",IF(ISERROR(IF('3'!T18&lt;MAX('3'!$B18:$U18),HLOOKUP('3'!T18+1,'3'!$B18:$U80,'3'!$W$3+3,0),'3'!T80)),'3'!T80,IF('3'!T18&lt;MAX('3'!$B18:$U18),HLOOKUP('3'!T18+1,'3'!$B18:$U80,'3'!$W$3+3,0),'3'!T80)))</f>
        <v/>
      </c>
      <c r="U18" s="19" t="str">
        <f>IF(ISBLANK('Raw counts'!U19),"",IF(ISERROR(IF('3'!U18&lt;MAX('3'!$B18:$U18),HLOOKUP('3'!U18+1,'3'!$B18:$U80,'3'!$W$3+3,0),'3'!U80)),'3'!U80,IF('3'!U18&lt;MAX('3'!$B18:$U18),HLOOKUP('3'!U18+1,'3'!$B18:$U80,'3'!$W$3+3,0),'3'!U80)))</f>
        <v/>
      </c>
    </row>
    <row r="19" spans="1:21" ht="25.5" x14ac:dyDescent="0.15">
      <c r="A19" s="18" t="str">
        <f>IF(ISBLANK('Raw counts'!A20),"",'Raw counts'!A20)</f>
        <v xml:space="preserve">Researched online while shopping and found negative reviews of the product  </v>
      </c>
      <c r="B19" s="19">
        <f>IF(ISBLANK('Raw counts'!B20),"",IF(ISERROR(IF('3'!B19&lt;MAX('3'!$B19:$U19),HLOOKUP('3'!B19+1,'3'!$B19:$U81,'3'!$W$3+3,0),'3'!B81)),'3'!B81,IF('3'!B19&lt;MAX('3'!$B19:$U19),HLOOKUP('3'!B19+1,'3'!$B19:$U81,'3'!$W$3+3,0),'3'!B81)))</f>
        <v>0.63351679635604441</v>
      </c>
      <c r="C19" s="19">
        <f>IF(ISBLANK('Raw counts'!C20),"",IF(ISERROR(IF('3'!C19&lt;MAX('3'!$B19:$U19),HLOOKUP('3'!C19+1,'3'!$B19:$U81,'3'!$W$3+3,0),'3'!C81)),'3'!C81,IF('3'!C19&lt;MAX('3'!$B19:$U19),HLOOKUP('3'!C19+1,'3'!$B19:$U81,'3'!$W$3+3,0),'3'!C81)))</f>
        <v>3.2953122034541664</v>
      </c>
      <c r="D19" s="19">
        <f>IF(ISBLANK('Raw counts'!D20),"",IF(ISERROR(IF('3'!D19&lt;MAX('3'!$B19:$U19),HLOOKUP('3'!D19+1,'3'!$B19:$U81,'3'!$W$3+3,0),'3'!D81)),'3'!D81,IF('3'!D19&lt;MAX('3'!$B19:$U19),HLOOKUP('3'!D19+1,'3'!$B19:$U81,'3'!$W$3+3,0),'3'!D81)))</f>
        <v>1.3099259821598039</v>
      </c>
      <c r="E19" s="19">
        <f>IF(ISBLANK('Raw counts'!E20),"",IF(ISERROR(IF('3'!E19&lt;MAX('3'!$B19:$U19),HLOOKUP('3'!E19+1,'3'!$B19:$U81,'3'!$W$3+3,0),'3'!E81)),'3'!E81,IF('3'!E19&lt;MAX('3'!$B19:$U19),HLOOKUP('3'!E19+1,'3'!$B19:$U81,'3'!$W$3+3,0),'3'!E81)))</f>
        <v>-0.3416208009109889</v>
      </c>
      <c r="F19" s="19">
        <f>IF(ISBLANK('Raw counts'!F20),"",IF(ISERROR(IF('3'!F19&lt;MAX('3'!$B19:$U19),HLOOKUP('3'!F19+1,'3'!$B19:$U81,'3'!$W$3+3,0),'3'!F81)),'3'!F81,IF('3'!F19&lt;MAX('3'!$B19:$U19),HLOOKUP('3'!F19+1,'3'!$B19:$U81,'3'!$W$3+3,0),'3'!F81)))</f>
        <v>-3.5629151641677739</v>
      </c>
      <c r="G19" s="19">
        <f>IF(ISBLANK('Raw counts'!G20),"",IF(ISERROR(IF('3'!G19&lt;MAX('3'!$B19:$U19),HLOOKUP('3'!G19+1,'3'!$B19:$U81,'3'!$W$3+3,0),'3'!G81)),'3'!G81,IF('3'!G19&lt;MAX('3'!$B19:$U19),HLOOKUP('3'!G19+1,'3'!$B19:$U81,'3'!$W$3+3,0),'3'!G81)))</f>
        <v>-5.1962421711899793</v>
      </c>
      <c r="H19" s="19">
        <f>IF(ISBLANK('Raw counts'!H20),"",IF(ISERROR(IF('3'!H19&lt;MAX('3'!$B19:$U19),HLOOKUP('3'!H19+1,'3'!$B19:$U81,'3'!$W$3+3,0),'3'!H81)),'3'!H81,IF('3'!H19&lt;MAX('3'!$B19:$U19),HLOOKUP('3'!H19+1,'3'!$B19:$U81,'3'!$W$3+3,0),'3'!H81)))</f>
        <v>-5.1962421711899793</v>
      </c>
      <c r="I19" s="19">
        <f>IF(ISBLANK('Raw counts'!I20),"",IF(ISERROR(IF('3'!I19&lt;MAX('3'!$B19:$U19),HLOOKUP('3'!I19+1,'3'!$B19:$U81,'3'!$W$3+3,0),'3'!I81)),'3'!I81,IF('3'!I19&lt;MAX('3'!$B19:$U19),HLOOKUP('3'!I19+1,'3'!$B19:$U81,'3'!$W$3+3,0),'3'!I81)))</f>
        <v>-4.8705636743215024</v>
      </c>
      <c r="J19" s="19">
        <f>IF(ISBLANK('Raw counts'!J20),"",IF(ISERROR(IF('3'!J19&lt;MAX('3'!$B19:$U19),HLOOKUP('3'!J19+1,'3'!$B19:$U81,'3'!$W$3+3,0),'3'!J81)),'3'!J81,IF('3'!J19&lt;MAX('3'!$B19:$U19),HLOOKUP('3'!J19+1,'3'!$B19:$U81,'3'!$W$3+3,0),'3'!J81)))</f>
        <v>2.304991459479977</v>
      </c>
      <c r="K19" s="19">
        <f>IF(ISBLANK('Raw counts'!K20),"",IF(ISERROR(IF('3'!K19&lt;MAX('3'!$B19:$U19),HLOOKUP('3'!K19+1,'3'!$B19:$U81,'3'!$W$3+3,0),'3'!K81)),'3'!K81,IF('3'!K19&lt;MAX('3'!$B19:$U19),HLOOKUP('3'!K19+1,'3'!$B19:$U81,'3'!$W$3+3,0),'3'!K81)))</f>
        <v>3.3213133421901908E-2</v>
      </c>
      <c r="L19" s="19">
        <f>IF(ISBLANK('Raw counts'!L20),"",IF(ISERROR(IF('3'!L19&lt;MAX('3'!$B19:$U19),HLOOKUP('3'!L19+1,'3'!$B19:$U81,'3'!$W$3+3,0),'3'!L81)),'3'!L81,IF('3'!L19&lt;MAX('3'!$B19:$U19),HLOOKUP('3'!L19+1,'3'!$B19:$U81,'3'!$W$3+3,0),'3'!L81)))</f>
        <v>-0.45910039855760232</v>
      </c>
      <c r="M19" s="19" t="str">
        <f>IF(ISBLANK('Raw counts'!M20),"",IF(ISERROR(IF('3'!M19&lt;MAX('3'!$B19:$U19),HLOOKUP('3'!M19+1,'3'!$B19:$U81,'3'!$W$3+3,0),'3'!M81)),'3'!M81,IF('3'!M19&lt;MAX('3'!$B19:$U19),HLOOKUP('3'!M19+1,'3'!$B19:$U81,'3'!$W$3+3,0),'3'!M81)))</f>
        <v/>
      </c>
      <c r="N19" s="19" t="str">
        <f>IF(ISBLANK('Raw counts'!N20),"",IF(ISERROR(IF('3'!N19&lt;MAX('3'!$B19:$U19),HLOOKUP('3'!N19+1,'3'!$B19:$U81,'3'!$W$3+3,0),'3'!N81)),'3'!N81,IF('3'!N19&lt;MAX('3'!$B19:$U19),HLOOKUP('3'!N19+1,'3'!$B19:$U81,'3'!$W$3+3,0),'3'!N81)))</f>
        <v/>
      </c>
      <c r="O19" s="19" t="str">
        <f>IF(ISBLANK('Raw counts'!O20),"",IF(ISERROR(IF('3'!O19&lt;MAX('3'!$B19:$U19),HLOOKUP('3'!O19+1,'3'!$B19:$U81,'3'!$W$3+3,0),'3'!O81)),'3'!O81,IF('3'!O19&lt;MAX('3'!$B19:$U19),HLOOKUP('3'!O19+1,'3'!$B19:$U81,'3'!$W$3+3,0),'3'!O81)))</f>
        <v/>
      </c>
      <c r="P19" s="19" t="str">
        <f>IF(ISBLANK('Raw counts'!P20),"",IF(ISERROR(IF('3'!P19&lt;MAX('3'!$B19:$U19),HLOOKUP('3'!P19+1,'3'!$B19:$U81,'3'!$W$3+3,0),'3'!P81)),'3'!P81,IF('3'!P19&lt;MAX('3'!$B19:$U19),HLOOKUP('3'!P19+1,'3'!$B19:$U81,'3'!$W$3+3,0),'3'!P81)))</f>
        <v/>
      </c>
      <c r="Q19" s="19" t="str">
        <f>IF(ISBLANK('Raw counts'!Q20),"",IF(ISERROR(IF('3'!Q19&lt;MAX('3'!$B19:$U19),HLOOKUP('3'!Q19+1,'3'!$B19:$U81,'3'!$W$3+3,0),'3'!Q81)),'3'!Q81,IF('3'!Q19&lt;MAX('3'!$B19:$U19),HLOOKUP('3'!Q19+1,'3'!$B19:$U81,'3'!$W$3+3,0),'3'!Q81)))</f>
        <v/>
      </c>
      <c r="R19" s="19" t="str">
        <f>IF(ISBLANK('Raw counts'!R20),"",IF(ISERROR(IF('3'!R19&lt;MAX('3'!$B19:$U19),HLOOKUP('3'!R19+1,'3'!$B19:$U81,'3'!$W$3+3,0),'3'!R81)),'3'!R81,IF('3'!R19&lt;MAX('3'!$B19:$U19),HLOOKUP('3'!R19+1,'3'!$B19:$U81,'3'!$W$3+3,0),'3'!R81)))</f>
        <v/>
      </c>
      <c r="S19" s="19" t="str">
        <f>IF(ISBLANK('Raw counts'!S20),"",IF(ISERROR(IF('3'!S19&lt;MAX('3'!$B19:$U19),HLOOKUP('3'!S19+1,'3'!$B19:$U81,'3'!$W$3+3,0),'3'!S81)),'3'!S81,IF('3'!S19&lt;MAX('3'!$B19:$U19),HLOOKUP('3'!S19+1,'3'!$B19:$U81,'3'!$W$3+3,0),'3'!S81)))</f>
        <v/>
      </c>
      <c r="T19" s="19" t="str">
        <f>IF(ISBLANK('Raw counts'!T20),"",IF(ISERROR(IF('3'!T19&lt;MAX('3'!$B19:$U19),HLOOKUP('3'!T19+1,'3'!$B19:$U81,'3'!$W$3+3,0),'3'!T81)),'3'!T81,IF('3'!T19&lt;MAX('3'!$B19:$U19),HLOOKUP('3'!T19+1,'3'!$B19:$U81,'3'!$W$3+3,0),'3'!T81)))</f>
        <v/>
      </c>
      <c r="U19" s="19" t="str">
        <f>IF(ISBLANK('Raw counts'!U20),"",IF(ISERROR(IF('3'!U19&lt;MAX('3'!$B19:$U19),HLOOKUP('3'!U19+1,'3'!$B19:$U81,'3'!$W$3+3,0),'3'!U81)),'3'!U81,IF('3'!U19&lt;MAX('3'!$B19:$U19),HLOOKUP('3'!U19+1,'3'!$B19:$U81,'3'!$W$3+3,0),'3'!U81)))</f>
        <v/>
      </c>
    </row>
    <row r="20" spans="1:21" ht="25.5" x14ac:dyDescent="0.15">
      <c r="A20" s="18" t="str">
        <f>IF(ISBLANK('Raw counts'!A21),"",'Raw counts'!A21)</f>
        <v xml:space="preserve">Dentist recommended another brand                                           </v>
      </c>
      <c r="B20" s="19">
        <f>IF(ISBLANK('Raw counts'!B21),"",IF(ISERROR(IF('3'!B20&lt;MAX('3'!$B20:$U20),HLOOKUP('3'!B20+1,'3'!$B20:$U82,'3'!$W$3+3,0),'3'!B82)),'3'!B82,IF('3'!B20&lt;MAX('3'!$B20:$U20),HLOOKUP('3'!B20+1,'3'!$B20:$U82,'3'!$W$3+3,0),'3'!B82)))</f>
        <v>-8.705636743215031</v>
      </c>
      <c r="C20" s="19">
        <f>IF(ISBLANK('Raw counts'!C21),"",IF(ISERROR(IF('3'!C20&lt;MAX('3'!$B20:$U20),HLOOKUP('3'!C20+1,'3'!$B20:$U82,'3'!$W$3+3,0),'3'!C82)),'3'!C82,IF('3'!C20&lt;MAX('3'!$B20:$U20),HLOOKUP('3'!C20+1,'3'!$B20:$U82,'3'!$W$3+3,0),'3'!C82)))</f>
        <v>3.3226418675270448</v>
      </c>
      <c r="D20" s="19">
        <f>IF(ISBLANK('Raw counts'!D21),"",IF(ISERROR(IF('3'!D20&lt;MAX('3'!$B20:$U20),HLOOKUP('3'!D20+1,'3'!$B20:$U82,'3'!$W$3+3,0),'3'!D82)),'3'!D82,IF('3'!D20&lt;MAX('3'!$B20:$U20),HLOOKUP('3'!D20+1,'3'!$B20:$U82,'3'!$W$3+3,0),'3'!D82)))</f>
        <v>2.6988043271968145</v>
      </c>
      <c r="E20" s="19">
        <f>IF(ISBLANK('Raw counts'!E21),"",IF(ISERROR(IF('3'!E20&lt;MAX('3'!$B20:$U20),HLOOKUP('3'!E20+1,'3'!$B20:$U82,'3'!$W$3+3,0),'3'!E82)),'3'!E82,IF('3'!E20&lt;MAX('3'!$B20:$U20),HLOOKUP('3'!E20+1,'3'!$B20:$U82,'3'!$W$3+3,0),'3'!E82)))</f>
        <v>-1.3182767128487427</v>
      </c>
      <c r="F20" s="19">
        <f>IF(ISBLANK('Raw counts'!F21),"",IF(ISERROR(IF('3'!F20&lt;MAX('3'!$B20:$U20),HLOOKUP('3'!F20+1,'3'!$B20:$U82,'3'!$W$3+3,0),'3'!F82)),'3'!F82,IF('3'!F20&lt;MAX('3'!$B20:$U20),HLOOKUP('3'!F20+1,'3'!$B20:$U82,'3'!$W$3+3,0),'3'!F82)))</f>
        <v>-4.538242550768647</v>
      </c>
      <c r="G20" s="19">
        <f>IF(ISBLANK('Raw counts'!G21),"",IF(ISERROR(IF('3'!G20&lt;MAX('3'!$B20:$U20),HLOOKUP('3'!G20+1,'3'!$B20:$U82,'3'!$W$3+3,0),'3'!G82)),'3'!G82,IF('3'!G20&lt;MAX('3'!$B20:$U20),HLOOKUP('3'!G20+1,'3'!$B20:$U82,'3'!$W$3+3,0),'3'!G82)))</f>
        <v>-8.705636743215031</v>
      </c>
      <c r="H20" s="19">
        <f>IF(ISBLANK('Raw counts'!H21),"",IF(ISERROR(IF('3'!H20&lt;MAX('3'!$B20:$U20),HLOOKUP('3'!H20+1,'3'!$B20:$U82,'3'!$W$3+3,0),'3'!H82)),'3'!H82,IF('3'!H20&lt;MAX('3'!$B20:$U20),HLOOKUP('3'!H20+1,'3'!$B20:$U82,'3'!$W$3+3,0),'3'!H82)))</f>
        <v>5.9893717973049903</v>
      </c>
      <c r="I20" s="19">
        <f>IF(ISBLANK('Raw counts'!I21),"",IF(ISERROR(IF('3'!I20&lt;MAX('3'!$B20:$U20),HLOOKUP('3'!I20+1,'3'!$B20:$U82,'3'!$W$3+3,0),'3'!I82)),'3'!I82,IF('3'!I20&lt;MAX('3'!$B20:$U20),HLOOKUP('3'!I20+1,'3'!$B20:$U82,'3'!$W$3+3,0),'3'!I82)))</f>
        <v>-6.537103814765608</v>
      </c>
      <c r="J20" s="19">
        <f>IF(ISBLANK('Raw counts'!J21),"",IF(ISERROR(IF('3'!J20&lt;MAX('3'!$B20:$U20),HLOOKUP('3'!J20+1,'3'!$B20:$U82,'3'!$W$3+3,0),'3'!J82)),'3'!J82,IF('3'!J20&lt;MAX('3'!$B20:$U20),HLOOKUP('3'!J20+1,'3'!$B20:$U82,'3'!$W$3+3,0),'3'!J82)))</f>
        <v>-0.94059593850825607</v>
      </c>
      <c r="K20" s="19">
        <f>IF(ISBLANK('Raw counts'!K21),"",IF(ISERROR(IF('3'!K20&lt;MAX('3'!$B20:$U20),HLOOKUP('3'!K20+1,'3'!$B20:$U82,'3'!$W$3+3,0),'3'!K82)),'3'!K82,IF('3'!K20&lt;MAX('3'!$B20:$U20),HLOOKUP('3'!K20+1,'3'!$B20:$U82,'3'!$W$3+3,0),'3'!K82)))</f>
        <v>2.6747010817992036</v>
      </c>
      <c r="L20" s="19">
        <f>IF(ISBLANK('Raw counts'!L21),"",IF(ISERROR(IF('3'!L20&lt;MAX('3'!$B20:$U20),HLOOKUP('3'!L20+1,'3'!$B20:$U82,'3'!$W$3+3,0),'3'!L82)),'3'!L82,IF('3'!L20&lt;MAX('3'!$B20:$U20),HLOOKUP('3'!L20+1,'3'!$B20:$U82,'3'!$W$3+3,0),'3'!L82)))</f>
        <v>1.3167583981780231</v>
      </c>
      <c r="M20" s="19" t="str">
        <f>IF(ISBLANK('Raw counts'!M21),"",IF(ISERROR(IF('3'!M20&lt;MAX('3'!$B20:$U20),HLOOKUP('3'!M20+1,'3'!$B20:$U82,'3'!$W$3+3,0),'3'!M82)),'3'!M82,IF('3'!M20&lt;MAX('3'!$B20:$U20),HLOOKUP('3'!M20+1,'3'!$B20:$U82,'3'!$W$3+3,0),'3'!M82)))</f>
        <v/>
      </c>
      <c r="N20" s="19" t="str">
        <f>IF(ISBLANK('Raw counts'!N21),"",IF(ISERROR(IF('3'!N20&lt;MAX('3'!$B20:$U20),HLOOKUP('3'!N20+1,'3'!$B20:$U82,'3'!$W$3+3,0),'3'!N82)),'3'!N82,IF('3'!N20&lt;MAX('3'!$B20:$U20),HLOOKUP('3'!N20+1,'3'!$B20:$U82,'3'!$W$3+3,0),'3'!N82)))</f>
        <v/>
      </c>
      <c r="O20" s="19" t="str">
        <f>IF(ISBLANK('Raw counts'!O21),"",IF(ISERROR(IF('3'!O20&lt;MAX('3'!$B20:$U20),HLOOKUP('3'!O20+1,'3'!$B20:$U82,'3'!$W$3+3,0),'3'!O82)),'3'!O82,IF('3'!O20&lt;MAX('3'!$B20:$U20),HLOOKUP('3'!O20+1,'3'!$B20:$U82,'3'!$W$3+3,0),'3'!O82)))</f>
        <v/>
      </c>
      <c r="P20" s="19" t="str">
        <f>IF(ISBLANK('Raw counts'!P21),"",IF(ISERROR(IF('3'!P20&lt;MAX('3'!$B20:$U20),HLOOKUP('3'!P20+1,'3'!$B20:$U82,'3'!$W$3+3,0),'3'!P82)),'3'!P82,IF('3'!P20&lt;MAX('3'!$B20:$U20),HLOOKUP('3'!P20+1,'3'!$B20:$U82,'3'!$W$3+3,0),'3'!P82)))</f>
        <v/>
      </c>
      <c r="Q20" s="19" t="str">
        <f>IF(ISBLANK('Raw counts'!Q21),"",IF(ISERROR(IF('3'!Q20&lt;MAX('3'!$B20:$U20),HLOOKUP('3'!Q20+1,'3'!$B20:$U82,'3'!$W$3+3,0),'3'!Q82)),'3'!Q82,IF('3'!Q20&lt;MAX('3'!$B20:$U20),HLOOKUP('3'!Q20+1,'3'!$B20:$U82,'3'!$W$3+3,0),'3'!Q82)))</f>
        <v/>
      </c>
      <c r="R20" s="19" t="str">
        <f>IF(ISBLANK('Raw counts'!R21),"",IF(ISERROR(IF('3'!R20&lt;MAX('3'!$B20:$U20),HLOOKUP('3'!R20+1,'3'!$B20:$U82,'3'!$W$3+3,0),'3'!R82)),'3'!R82,IF('3'!R20&lt;MAX('3'!$B20:$U20),HLOOKUP('3'!R20+1,'3'!$B20:$U82,'3'!$W$3+3,0),'3'!R82)))</f>
        <v/>
      </c>
      <c r="S20" s="19" t="str">
        <f>IF(ISBLANK('Raw counts'!S21),"",IF(ISERROR(IF('3'!S20&lt;MAX('3'!$B20:$U20),HLOOKUP('3'!S20+1,'3'!$B20:$U82,'3'!$W$3+3,0),'3'!S82)),'3'!S82,IF('3'!S20&lt;MAX('3'!$B20:$U20),HLOOKUP('3'!S20+1,'3'!$B20:$U82,'3'!$W$3+3,0),'3'!S82)))</f>
        <v/>
      </c>
      <c r="T20" s="19" t="str">
        <f>IF(ISBLANK('Raw counts'!T21),"",IF(ISERROR(IF('3'!T20&lt;MAX('3'!$B20:$U20),HLOOKUP('3'!T20+1,'3'!$B20:$U82,'3'!$W$3+3,0),'3'!T82)),'3'!T82,IF('3'!T20&lt;MAX('3'!$B20:$U20),HLOOKUP('3'!T20+1,'3'!$B20:$U82,'3'!$W$3+3,0),'3'!T82)))</f>
        <v/>
      </c>
      <c r="U20" s="19" t="str">
        <f>IF(ISBLANK('Raw counts'!U21),"",IF(ISERROR(IF('3'!U20&lt;MAX('3'!$B20:$U20),HLOOKUP('3'!U20+1,'3'!$B20:$U82,'3'!$W$3+3,0),'3'!U82)),'3'!U82,IF('3'!U20&lt;MAX('3'!$B20:$U20),HLOOKUP('3'!U20+1,'3'!$B20:$U82,'3'!$W$3+3,0),'3'!U82)))</f>
        <v/>
      </c>
    </row>
    <row r="21" spans="1:21" ht="25.5" x14ac:dyDescent="0.15">
      <c r="A21" s="18" t="str">
        <f>IF(ISBLANK('Raw counts'!A22),"",'Raw counts'!A22)</f>
        <v xml:space="preserve">Some other reason                                                           </v>
      </c>
      <c r="B21" s="19">
        <f>IF(ISBLANK('Raw counts'!B22),"",IF(ISERROR(IF('3'!B21&lt;MAX('3'!$B21:$U21),HLOOKUP('3'!B21+1,'3'!$B21:$U83,'3'!$W$3+3,0),'3'!B83)),'3'!B83,IF('3'!B21&lt;MAX('3'!$B21:$U21),HLOOKUP('3'!B21+1,'3'!$B21:$U83,'3'!$W$3+3,0),'3'!B83)))</f>
        <v>-0.94306319984816867</v>
      </c>
      <c r="C21" s="19">
        <f>IF(ISBLANK('Raw counts'!C22),"",IF(ISERROR(IF('3'!C21&lt;MAX('3'!$B21:$U21),HLOOKUP('3'!C21+1,'3'!$B21:$U83,'3'!$W$3+3,0),'3'!C83)),'3'!C83,IF('3'!C21&lt;MAX('3'!$B21:$U21),HLOOKUP('3'!C21+1,'3'!$B21:$U83,'3'!$W$3+3,0),'3'!C83)))</f>
        <v>0.54298728411463282</v>
      </c>
      <c r="D21" s="19">
        <f>IF(ISBLANK('Raw counts'!D22),"",IF(ISERROR(IF('3'!D21&lt;MAX('3'!$B21:$U21),HLOOKUP('3'!D21+1,'3'!$B21:$U83,'3'!$W$3+3,0),'3'!D83)),'3'!D83,IF('3'!D21&lt;MAX('3'!$B21:$U21),HLOOKUP('3'!D21+1,'3'!$B21:$U83,'3'!$W$3+3,0),'3'!D83)))</f>
        <v>0.38204592901878964</v>
      </c>
      <c r="E21" s="19">
        <f>IF(ISBLANK('Raw counts'!E22),"",IF(ISERROR(IF('3'!E21&lt;MAX('3'!$B21:$U21),HLOOKUP('3'!E21+1,'3'!$B21:$U83,'3'!$W$3+3,0),'3'!E83)),'3'!E83,IF('3'!E21&lt;MAX('3'!$B21:$U21),HLOOKUP('3'!E21+1,'3'!$B21:$U83,'3'!$W$3+3,0),'3'!E83)))</f>
        <v>0.17194913645853127</v>
      </c>
      <c r="F21" s="19">
        <f>IF(ISBLANK('Raw counts'!F22),"",IF(ISERROR(IF('3'!F21&lt;MAX('3'!$B21:$U21),HLOOKUP('3'!F21+1,'3'!$B21:$U83,'3'!$W$3+3,0),'3'!F83)),'3'!F83,IF('3'!F21&lt;MAX('3'!$B21:$U21),HLOOKUP('3'!F21+1,'3'!$B21:$U83,'3'!$W$3+3,0),'3'!F83)))</f>
        <v>-3.546972860125261</v>
      </c>
      <c r="G21" s="19">
        <f>IF(ISBLANK('Raw counts'!G22),"",IF(ISERROR(IF('3'!G21&lt;MAX('3'!$B21:$U21),HLOOKUP('3'!G21+1,'3'!$B21:$U83,'3'!$W$3+3,0),'3'!G83)),'3'!G83,IF('3'!G21&lt;MAX('3'!$B21:$U21),HLOOKUP('3'!G21+1,'3'!$B21:$U83,'3'!$W$3+3,0),'3'!G83)))</f>
        <v>0.3091668248244448</v>
      </c>
      <c r="H21" s="19">
        <f>IF(ISBLANK('Raw counts'!H22),"",IF(ISERROR(IF('3'!H21&lt;MAX('3'!$B21:$U21),HLOOKUP('3'!H21+1,'3'!$B21:$U83,'3'!$W$3+3,0),'3'!H83)),'3'!H83,IF('3'!H21&lt;MAX('3'!$B21:$U21),HLOOKUP('3'!H21+1,'3'!$B21:$U83,'3'!$W$3+3,0),'3'!H83)))</f>
        <v>-3.546972860125261</v>
      </c>
      <c r="I21" s="19">
        <f>IF(ISBLANK('Raw counts'!I22),"",IF(ISERROR(IF('3'!I21&lt;MAX('3'!$B21:$U21),HLOOKUP('3'!I21+1,'3'!$B21:$U83,'3'!$W$3+3,0),'3'!I83)),'3'!I83,IF('3'!I21&lt;MAX('3'!$B21:$U21),HLOOKUP('3'!I21+1,'3'!$B21:$U83,'3'!$W$3+3,0),'3'!I83)))</f>
        <v>0.26665401404441069</v>
      </c>
      <c r="J21" s="19">
        <f>IF(ISBLANK('Raw counts'!J22),"",IF(ISERROR(IF('3'!J21&lt;MAX('3'!$B21:$U21),HLOOKUP('3'!J21+1,'3'!$B21:$U83,'3'!$W$3+3,0),'3'!J83)),'3'!J83,IF('3'!J21&lt;MAX('3'!$B21:$U21),HLOOKUP('3'!J21+1,'3'!$B21:$U83,'3'!$W$3+3,0),'3'!J83)))</f>
        <v>1.1951034351869421</v>
      </c>
      <c r="K21" s="19">
        <f>IF(ISBLANK('Raw counts'!K22),"",IF(ISERROR(IF('3'!K21&lt;MAX('3'!$B21:$U21),HLOOKUP('3'!K21+1,'3'!$B21:$U83,'3'!$W$3+3,0),'3'!K83)),'3'!K83,IF('3'!K21&lt;MAX('3'!$B21:$U21),HLOOKUP('3'!K21+1,'3'!$B21:$U83,'3'!$W$3+3,0),'3'!K83)))</f>
        <v>-0.2831656860884415</v>
      </c>
      <c r="L21" s="19">
        <f>IF(ISBLANK('Raw counts'!L22),"",IF(ISERROR(IF('3'!L21&lt;MAX('3'!$B21:$U21),HLOOKUP('3'!L21+1,'3'!$B21:$U83,'3'!$W$3+3,0),'3'!L83)),'3'!L83,IF('3'!L21&lt;MAX('3'!$B21:$U21),HLOOKUP('3'!L21+1,'3'!$B21:$U83,'3'!$W$3+3,0),'3'!L83)))</f>
        <v>0.50578857468210292</v>
      </c>
      <c r="M21" s="19" t="str">
        <f>IF(ISBLANK('Raw counts'!M22),"",IF(ISERROR(IF('3'!M21&lt;MAX('3'!$B21:$U21),HLOOKUP('3'!M21+1,'3'!$B21:$U83,'3'!$W$3+3,0),'3'!M83)),'3'!M83,IF('3'!M21&lt;MAX('3'!$B21:$U21),HLOOKUP('3'!M21+1,'3'!$B21:$U83,'3'!$W$3+3,0),'3'!M83)))</f>
        <v/>
      </c>
      <c r="N21" s="19" t="str">
        <f>IF(ISBLANK('Raw counts'!N22),"",IF(ISERROR(IF('3'!N21&lt;MAX('3'!$B21:$U21),HLOOKUP('3'!N21+1,'3'!$B21:$U83,'3'!$W$3+3,0),'3'!N83)),'3'!N83,IF('3'!N21&lt;MAX('3'!$B21:$U21),HLOOKUP('3'!N21+1,'3'!$B21:$U83,'3'!$W$3+3,0),'3'!N83)))</f>
        <v/>
      </c>
      <c r="O21" s="19" t="str">
        <f>IF(ISBLANK('Raw counts'!O22),"",IF(ISERROR(IF('3'!O21&lt;MAX('3'!$B21:$U21),HLOOKUP('3'!O21+1,'3'!$B21:$U83,'3'!$W$3+3,0),'3'!O83)),'3'!O83,IF('3'!O21&lt;MAX('3'!$B21:$U21),HLOOKUP('3'!O21+1,'3'!$B21:$U83,'3'!$W$3+3,0),'3'!O83)))</f>
        <v/>
      </c>
      <c r="P21" s="19" t="str">
        <f>IF(ISBLANK('Raw counts'!P22),"",IF(ISERROR(IF('3'!P21&lt;MAX('3'!$B21:$U21),HLOOKUP('3'!P21+1,'3'!$B21:$U83,'3'!$W$3+3,0),'3'!P83)),'3'!P83,IF('3'!P21&lt;MAX('3'!$B21:$U21),HLOOKUP('3'!P21+1,'3'!$B21:$U83,'3'!$W$3+3,0),'3'!P83)))</f>
        <v/>
      </c>
      <c r="Q21" s="19" t="str">
        <f>IF(ISBLANK('Raw counts'!Q22),"",IF(ISERROR(IF('3'!Q21&lt;MAX('3'!$B21:$U21),HLOOKUP('3'!Q21+1,'3'!$B21:$U83,'3'!$W$3+3,0),'3'!Q83)),'3'!Q83,IF('3'!Q21&lt;MAX('3'!$B21:$U21),HLOOKUP('3'!Q21+1,'3'!$B21:$U83,'3'!$W$3+3,0),'3'!Q83)))</f>
        <v/>
      </c>
      <c r="R21" s="19" t="str">
        <f>IF(ISBLANK('Raw counts'!R22),"",IF(ISERROR(IF('3'!R21&lt;MAX('3'!$B21:$U21),HLOOKUP('3'!R21+1,'3'!$B21:$U83,'3'!$W$3+3,0),'3'!R83)),'3'!R83,IF('3'!R21&lt;MAX('3'!$B21:$U21),HLOOKUP('3'!R21+1,'3'!$B21:$U83,'3'!$W$3+3,0),'3'!R83)))</f>
        <v/>
      </c>
      <c r="S21" s="19" t="str">
        <f>IF(ISBLANK('Raw counts'!S22),"",IF(ISERROR(IF('3'!S21&lt;MAX('3'!$B21:$U21),HLOOKUP('3'!S21+1,'3'!$B21:$U83,'3'!$W$3+3,0),'3'!S83)),'3'!S83,IF('3'!S21&lt;MAX('3'!$B21:$U21),HLOOKUP('3'!S21+1,'3'!$B21:$U83,'3'!$W$3+3,0),'3'!S83)))</f>
        <v/>
      </c>
      <c r="T21" s="19" t="str">
        <f>IF(ISBLANK('Raw counts'!T22),"",IF(ISERROR(IF('3'!T21&lt;MAX('3'!$B21:$U21),HLOOKUP('3'!T21+1,'3'!$B21:$U83,'3'!$W$3+3,0),'3'!T83)),'3'!T83,IF('3'!T21&lt;MAX('3'!$B21:$U21),HLOOKUP('3'!T21+1,'3'!$B21:$U83,'3'!$W$3+3,0),'3'!T83)))</f>
        <v/>
      </c>
      <c r="U21" s="19" t="str">
        <f>IF(ISBLANK('Raw counts'!U22),"",IF(ISERROR(IF('3'!U21&lt;MAX('3'!$B21:$U21),HLOOKUP('3'!U21+1,'3'!$B21:$U83,'3'!$W$3+3,0),'3'!U83)),'3'!U83,IF('3'!U21&lt;MAX('3'!$B21:$U21),HLOOKUP('3'!U21+1,'3'!$B21:$U83,'3'!$W$3+3,0),'3'!U83)))</f>
        <v/>
      </c>
    </row>
    <row r="22" spans="1:21" ht="25.5" x14ac:dyDescent="0.15">
      <c r="A22" s="18" t="str">
        <f>IF(ISBLANK('Raw counts'!A23),"",'Raw counts'!A23)</f>
        <v/>
      </c>
      <c r="B22" s="19" t="str">
        <f>IF(ISBLANK('Raw counts'!B23),"",IF(ISERROR(IF('3'!B22&lt;MAX('3'!$B22:$U22),HLOOKUP('3'!B22+1,'3'!$B22:$U84,'3'!$W$3+3,0),'3'!B84)),'3'!B84,IF('3'!B22&lt;MAX('3'!$B22:$U22),HLOOKUP('3'!B22+1,'3'!$B22:$U84,'3'!$W$3+3,0),'3'!B84)))</f>
        <v/>
      </c>
      <c r="C22" s="19" t="str">
        <f>IF(ISBLANK('Raw counts'!C23),"",IF(ISERROR(IF('3'!C22&lt;MAX('3'!$B22:$U22),HLOOKUP('3'!C22+1,'3'!$B22:$U84,'3'!$W$3+3,0),'3'!C84)),'3'!C84,IF('3'!C22&lt;MAX('3'!$B22:$U22),HLOOKUP('3'!C22+1,'3'!$B22:$U84,'3'!$W$3+3,0),'3'!C84)))</f>
        <v/>
      </c>
      <c r="D22" s="19" t="str">
        <f>IF(ISBLANK('Raw counts'!D23),"",IF(ISERROR(IF('3'!D22&lt;MAX('3'!$B22:$U22),HLOOKUP('3'!D22+1,'3'!$B22:$U84,'3'!$W$3+3,0),'3'!D84)),'3'!D84,IF('3'!D22&lt;MAX('3'!$B22:$U22),HLOOKUP('3'!D22+1,'3'!$B22:$U84,'3'!$W$3+3,0),'3'!D84)))</f>
        <v/>
      </c>
      <c r="E22" s="19" t="str">
        <f>IF(ISBLANK('Raw counts'!E23),"",IF(ISERROR(IF('3'!E22&lt;MAX('3'!$B22:$U22),HLOOKUP('3'!E22+1,'3'!$B22:$U84,'3'!$W$3+3,0),'3'!E84)),'3'!E84,IF('3'!E22&lt;MAX('3'!$B22:$U22),HLOOKUP('3'!E22+1,'3'!$B22:$U84,'3'!$W$3+3,0),'3'!E84)))</f>
        <v/>
      </c>
      <c r="F22" s="19" t="str">
        <f>IF(ISBLANK('Raw counts'!F23),"",IF(ISERROR(IF('3'!F22&lt;MAX('3'!$B22:$U22),HLOOKUP('3'!F22+1,'3'!$B22:$U84,'3'!$W$3+3,0),'3'!F84)),'3'!F84,IF('3'!F22&lt;MAX('3'!$B22:$U22),HLOOKUP('3'!F22+1,'3'!$B22:$U84,'3'!$W$3+3,0),'3'!F84)))</f>
        <v/>
      </c>
      <c r="G22" s="19" t="str">
        <f>IF(ISBLANK('Raw counts'!G23),"",IF(ISERROR(IF('3'!G22&lt;MAX('3'!$B22:$U22),HLOOKUP('3'!G22+1,'3'!$B22:$U84,'3'!$W$3+3,0),'3'!G84)),'3'!G84,IF('3'!G22&lt;MAX('3'!$B22:$U22),HLOOKUP('3'!G22+1,'3'!$B22:$U84,'3'!$W$3+3,0),'3'!G84)))</f>
        <v/>
      </c>
      <c r="H22" s="19" t="str">
        <f>IF(ISBLANK('Raw counts'!H23),"",IF(ISERROR(IF('3'!H22&lt;MAX('3'!$B22:$U22),HLOOKUP('3'!H22+1,'3'!$B22:$U84,'3'!$W$3+3,0),'3'!H84)),'3'!H84,IF('3'!H22&lt;MAX('3'!$B22:$U22),HLOOKUP('3'!H22+1,'3'!$B22:$U84,'3'!$W$3+3,0),'3'!H84)))</f>
        <v/>
      </c>
      <c r="I22" s="19" t="str">
        <f>IF(ISBLANK('Raw counts'!I23),"",IF(ISERROR(IF('3'!I22&lt;MAX('3'!$B22:$U22),HLOOKUP('3'!I22+1,'3'!$B22:$U84,'3'!$W$3+3,0),'3'!I84)),'3'!I84,IF('3'!I22&lt;MAX('3'!$B22:$U22),HLOOKUP('3'!I22+1,'3'!$B22:$U84,'3'!$W$3+3,0),'3'!I84)))</f>
        <v/>
      </c>
      <c r="J22" s="19" t="str">
        <f>IF(ISBLANK('Raw counts'!J23),"",IF(ISERROR(IF('3'!J22&lt;MAX('3'!$B22:$U22),HLOOKUP('3'!J22+1,'3'!$B22:$U84,'3'!$W$3+3,0),'3'!J84)),'3'!J84,IF('3'!J22&lt;MAX('3'!$B22:$U22),HLOOKUP('3'!J22+1,'3'!$B22:$U84,'3'!$W$3+3,0),'3'!J84)))</f>
        <v/>
      </c>
      <c r="K22" s="19" t="str">
        <f>IF(ISBLANK('Raw counts'!K23),"",IF(ISERROR(IF('3'!K22&lt;MAX('3'!$B22:$U22),HLOOKUP('3'!K22+1,'3'!$B22:$U84,'3'!$W$3+3,0),'3'!K84)),'3'!K84,IF('3'!K22&lt;MAX('3'!$B22:$U22),HLOOKUP('3'!K22+1,'3'!$B22:$U84,'3'!$W$3+3,0),'3'!K84)))</f>
        <v/>
      </c>
      <c r="L22" s="19" t="str">
        <f>IF(ISBLANK('Raw counts'!L23),"",IF(ISERROR(IF('3'!L22&lt;MAX('3'!$B22:$U22),HLOOKUP('3'!L22+1,'3'!$B22:$U84,'3'!$W$3+3,0),'3'!L84)),'3'!L84,IF('3'!L22&lt;MAX('3'!$B22:$U22),HLOOKUP('3'!L22+1,'3'!$B22:$U84,'3'!$W$3+3,0),'3'!L84)))</f>
        <v/>
      </c>
      <c r="M22" s="19" t="str">
        <f>IF(ISBLANK('Raw counts'!M23),"",IF(ISERROR(IF('3'!M22&lt;MAX('3'!$B22:$U22),HLOOKUP('3'!M22+1,'3'!$B22:$U84,'3'!$W$3+3,0),'3'!M84)),'3'!M84,IF('3'!M22&lt;MAX('3'!$B22:$U22),HLOOKUP('3'!M22+1,'3'!$B22:$U84,'3'!$W$3+3,0),'3'!M84)))</f>
        <v/>
      </c>
      <c r="N22" s="19" t="str">
        <f>IF(ISBLANK('Raw counts'!N23),"",IF(ISERROR(IF('3'!N22&lt;MAX('3'!$B22:$U22),HLOOKUP('3'!N22+1,'3'!$B22:$U84,'3'!$W$3+3,0),'3'!N84)),'3'!N84,IF('3'!N22&lt;MAX('3'!$B22:$U22),HLOOKUP('3'!N22+1,'3'!$B22:$U84,'3'!$W$3+3,0),'3'!N84)))</f>
        <v/>
      </c>
      <c r="O22" s="19" t="str">
        <f>IF(ISBLANK('Raw counts'!O23),"",IF(ISERROR(IF('3'!O22&lt;MAX('3'!$B22:$U22),HLOOKUP('3'!O22+1,'3'!$B22:$U84,'3'!$W$3+3,0),'3'!O84)),'3'!O84,IF('3'!O22&lt;MAX('3'!$B22:$U22),HLOOKUP('3'!O22+1,'3'!$B22:$U84,'3'!$W$3+3,0),'3'!O84)))</f>
        <v/>
      </c>
      <c r="P22" s="19" t="str">
        <f>IF(ISBLANK('Raw counts'!P23),"",IF(ISERROR(IF('3'!P22&lt;MAX('3'!$B22:$U22),HLOOKUP('3'!P22+1,'3'!$B22:$U84,'3'!$W$3+3,0),'3'!P84)),'3'!P84,IF('3'!P22&lt;MAX('3'!$B22:$U22),HLOOKUP('3'!P22+1,'3'!$B22:$U84,'3'!$W$3+3,0),'3'!P84)))</f>
        <v/>
      </c>
      <c r="Q22" s="19" t="str">
        <f>IF(ISBLANK('Raw counts'!Q23),"",IF(ISERROR(IF('3'!Q22&lt;MAX('3'!$B22:$U22),HLOOKUP('3'!Q22+1,'3'!$B22:$U84,'3'!$W$3+3,0),'3'!Q84)),'3'!Q84,IF('3'!Q22&lt;MAX('3'!$B22:$U22),HLOOKUP('3'!Q22+1,'3'!$B22:$U84,'3'!$W$3+3,0),'3'!Q84)))</f>
        <v/>
      </c>
      <c r="R22" s="19" t="str">
        <f>IF(ISBLANK('Raw counts'!R23),"",IF(ISERROR(IF('3'!R22&lt;MAX('3'!$B22:$U22),HLOOKUP('3'!R22+1,'3'!$B22:$U84,'3'!$W$3+3,0),'3'!R84)),'3'!R84,IF('3'!R22&lt;MAX('3'!$B22:$U22),HLOOKUP('3'!R22+1,'3'!$B22:$U84,'3'!$W$3+3,0),'3'!R84)))</f>
        <v/>
      </c>
      <c r="S22" s="19" t="str">
        <f>IF(ISBLANK('Raw counts'!S23),"",IF(ISERROR(IF('3'!S22&lt;MAX('3'!$B22:$U22),HLOOKUP('3'!S22+1,'3'!$B22:$U84,'3'!$W$3+3,0),'3'!S84)),'3'!S84,IF('3'!S22&lt;MAX('3'!$B22:$U22),HLOOKUP('3'!S22+1,'3'!$B22:$U84,'3'!$W$3+3,0),'3'!S84)))</f>
        <v/>
      </c>
      <c r="T22" s="19" t="str">
        <f>IF(ISBLANK('Raw counts'!T23),"",IF(ISERROR(IF('3'!T22&lt;MAX('3'!$B22:$U22),HLOOKUP('3'!T22+1,'3'!$B22:$U84,'3'!$W$3+3,0),'3'!T84)),'3'!T84,IF('3'!T22&lt;MAX('3'!$B22:$U22),HLOOKUP('3'!T22+1,'3'!$B22:$U84,'3'!$W$3+3,0),'3'!T84)))</f>
        <v/>
      </c>
      <c r="U22" s="19" t="str">
        <f>IF(ISBLANK('Raw counts'!U23),"",IF(ISERROR(IF('3'!U22&lt;MAX('3'!$B22:$U22),HLOOKUP('3'!U22+1,'3'!$B22:$U84,'3'!$W$3+3,0),'3'!U84)),'3'!U84,IF('3'!U22&lt;MAX('3'!$B22:$U22),HLOOKUP('3'!U22+1,'3'!$B22:$U84,'3'!$W$3+3,0),'3'!U84)))</f>
        <v/>
      </c>
    </row>
    <row r="23" spans="1:21" x14ac:dyDescent="0.15">
      <c r="A23" s="18" t="str">
        <f>IF(ISBLANK('Raw counts'!A24),"",'Raw counts'!A24)</f>
        <v/>
      </c>
      <c r="B23" s="19" t="str">
        <f>IF(ISBLANK('Raw counts'!B24),"",IF(ISERROR(IF('3'!B23&lt;MAX('3'!$B23:$U23),HLOOKUP('3'!B23+1,'3'!$B23:$U85,'3'!$W$3+3,0),'3'!B85)),'3'!B85,IF('3'!B23&lt;MAX('3'!$B23:$U23),HLOOKUP('3'!B23+1,'3'!$B23:$U85,'3'!$W$3+3,0),'3'!B85)))</f>
        <v/>
      </c>
      <c r="C23" s="19" t="str">
        <f>IF(ISBLANK('Raw counts'!C24),"",IF(ISERROR(IF('3'!C23&lt;MAX('3'!$B23:$U23),HLOOKUP('3'!C23+1,'3'!$B23:$U85,'3'!$W$3+3,0),'3'!C85)),'3'!C85,IF('3'!C23&lt;MAX('3'!$B23:$U23),HLOOKUP('3'!C23+1,'3'!$B23:$U85,'3'!$W$3+3,0),'3'!C85)))</f>
        <v/>
      </c>
      <c r="D23" s="19" t="str">
        <f>IF(ISBLANK('Raw counts'!D24),"",IF(ISERROR(IF('3'!D23&lt;MAX('3'!$B23:$U23),HLOOKUP('3'!D23+1,'3'!$B23:$U85,'3'!$W$3+3,0),'3'!D85)),'3'!D85,IF('3'!D23&lt;MAX('3'!$B23:$U23),HLOOKUP('3'!D23+1,'3'!$B23:$U85,'3'!$W$3+3,0),'3'!D85)))</f>
        <v/>
      </c>
      <c r="E23" s="19" t="str">
        <f>IF(ISBLANK('Raw counts'!E24),"",IF(ISERROR(IF('3'!E23&lt;MAX('3'!$B23:$U23),HLOOKUP('3'!E23+1,'3'!$B23:$U85,'3'!$W$3+3,0),'3'!E85)),'3'!E85,IF('3'!E23&lt;MAX('3'!$B23:$U23),HLOOKUP('3'!E23+1,'3'!$B23:$U85,'3'!$W$3+3,0),'3'!E85)))</f>
        <v/>
      </c>
      <c r="F23" s="19" t="str">
        <f>IF(ISBLANK('Raw counts'!F24),"",IF(ISERROR(IF('3'!F23&lt;MAX('3'!$B23:$U23),HLOOKUP('3'!F23+1,'3'!$B23:$U85,'3'!$W$3+3,0),'3'!F85)),'3'!F85,IF('3'!F23&lt;MAX('3'!$B23:$U23),HLOOKUP('3'!F23+1,'3'!$B23:$U85,'3'!$W$3+3,0),'3'!F85)))</f>
        <v/>
      </c>
      <c r="G23" s="19" t="str">
        <f>IF(ISBLANK('Raw counts'!G24),"",IF(ISERROR(IF('3'!G23&lt;MAX('3'!$B23:$U23),HLOOKUP('3'!G23+1,'3'!$B23:$U85,'3'!$W$3+3,0),'3'!G85)),'3'!G85,IF('3'!G23&lt;MAX('3'!$B23:$U23),HLOOKUP('3'!G23+1,'3'!$B23:$U85,'3'!$W$3+3,0),'3'!G85)))</f>
        <v/>
      </c>
      <c r="H23" s="19" t="str">
        <f>IF(ISBLANK('Raw counts'!H24),"",IF(ISERROR(IF('3'!H23&lt;MAX('3'!$B23:$U23),HLOOKUP('3'!H23+1,'3'!$B23:$U85,'3'!$W$3+3,0),'3'!H85)),'3'!H85,IF('3'!H23&lt;MAX('3'!$B23:$U23),HLOOKUP('3'!H23+1,'3'!$B23:$U85,'3'!$W$3+3,0),'3'!H85)))</f>
        <v/>
      </c>
      <c r="I23" s="19" t="str">
        <f>IF(ISBLANK('Raw counts'!I24),"",IF(ISERROR(IF('3'!I23&lt;MAX('3'!$B23:$U23),HLOOKUP('3'!I23+1,'3'!$B23:$U85,'3'!$W$3+3,0),'3'!I85)),'3'!I85,IF('3'!I23&lt;MAX('3'!$B23:$U23),HLOOKUP('3'!I23+1,'3'!$B23:$U85,'3'!$W$3+3,0),'3'!I85)))</f>
        <v/>
      </c>
      <c r="J23" s="19" t="str">
        <f>IF(ISBLANK('Raw counts'!J24),"",IF(ISERROR(IF('3'!J23&lt;MAX('3'!$B23:$U23),HLOOKUP('3'!J23+1,'3'!$B23:$U85,'3'!$W$3+3,0),'3'!J85)),'3'!J85,IF('3'!J23&lt;MAX('3'!$B23:$U23),HLOOKUP('3'!J23+1,'3'!$B23:$U85,'3'!$W$3+3,0),'3'!J85)))</f>
        <v/>
      </c>
      <c r="K23" s="19" t="str">
        <f>IF(ISBLANK('Raw counts'!K24),"",IF(ISERROR(IF('3'!K23&lt;MAX('3'!$B23:$U23),HLOOKUP('3'!K23+1,'3'!$B23:$U85,'3'!$W$3+3,0),'3'!K85)),'3'!K85,IF('3'!K23&lt;MAX('3'!$B23:$U23),HLOOKUP('3'!K23+1,'3'!$B23:$U85,'3'!$W$3+3,0),'3'!K85)))</f>
        <v/>
      </c>
      <c r="L23" s="19" t="str">
        <f>IF(ISBLANK('Raw counts'!L24),"",IF(ISERROR(IF('3'!L23&lt;MAX('3'!$B23:$U23),HLOOKUP('3'!L23+1,'3'!$B23:$U85,'3'!$W$3+3,0),'3'!L85)),'3'!L85,IF('3'!L23&lt;MAX('3'!$B23:$U23),HLOOKUP('3'!L23+1,'3'!$B23:$U85,'3'!$W$3+3,0),'3'!L85)))</f>
        <v/>
      </c>
      <c r="M23" s="19" t="str">
        <f>IF(ISBLANK('Raw counts'!M24),"",IF(ISERROR(IF('3'!M23&lt;MAX('3'!$B23:$U23),HLOOKUP('3'!M23+1,'3'!$B23:$U85,'3'!$W$3+3,0),'3'!M85)),'3'!M85,IF('3'!M23&lt;MAX('3'!$B23:$U23),HLOOKUP('3'!M23+1,'3'!$B23:$U85,'3'!$W$3+3,0),'3'!M85)))</f>
        <v/>
      </c>
      <c r="N23" s="19" t="str">
        <f>IF(ISBLANK('Raw counts'!N24),"",IF(ISERROR(IF('3'!N23&lt;MAX('3'!$B23:$U23),HLOOKUP('3'!N23+1,'3'!$B23:$U85,'3'!$W$3+3,0),'3'!N85)),'3'!N85,IF('3'!N23&lt;MAX('3'!$B23:$U23),HLOOKUP('3'!N23+1,'3'!$B23:$U85,'3'!$W$3+3,0),'3'!N85)))</f>
        <v/>
      </c>
      <c r="O23" s="19" t="str">
        <f>IF(ISBLANK('Raw counts'!O24),"",IF(ISERROR(IF('3'!O23&lt;MAX('3'!$B23:$U23),HLOOKUP('3'!O23+1,'3'!$B23:$U85,'3'!$W$3+3,0),'3'!O85)),'3'!O85,IF('3'!O23&lt;MAX('3'!$B23:$U23),HLOOKUP('3'!O23+1,'3'!$B23:$U85,'3'!$W$3+3,0),'3'!O85)))</f>
        <v/>
      </c>
      <c r="P23" s="19" t="str">
        <f>IF(ISBLANK('Raw counts'!P24),"",IF(ISERROR(IF('3'!P23&lt;MAX('3'!$B23:$U23),HLOOKUP('3'!P23+1,'3'!$B23:$U85,'3'!$W$3+3,0),'3'!P85)),'3'!P85,IF('3'!P23&lt;MAX('3'!$B23:$U23),HLOOKUP('3'!P23+1,'3'!$B23:$U85,'3'!$W$3+3,0),'3'!P85)))</f>
        <v/>
      </c>
      <c r="Q23" s="19" t="str">
        <f>IF(ISBLANK('Raw counts'!Q24),"",IF(ISERROR(IF('3'!Q23&lt;MAX('3'!$B23:$U23),HLOOKUP('3'!Q23+1,'3'!$B23:$U85,'3'!$W$3+3,0),'3'!Q85)),'3'!Q85,IF('3'!Q23&lt;MAX('3'!$B23:$U23),HLOOKUP('3'!Q23+1,'3'!$B23:$U85,'3'!$W$3+3,0),'3'!Q85)))</f>
        <v/>
      </c>
      <c r="R23" s="19" t="str">
        <f>IF(ISBLANK('Raw counts'!R24),"",IF(ISERROR(IF('3'!R23&lt;MAX('3'!$B23:$U23),HLOOKUP('3'!R23+1,'3'!$B23:$U85,'3'!$W$3+3,0),'3'!R85)),'3'!R85,IF('3'!R23&lt;MAX('3'!$B23:$U23),HLOOKUP('3'!R23+1,'3'!$B23:$U85,'3'!$W$3+3,0),'3'!R85)))</f>
        <v/>
      </c>
      <c r="S23" s="19" t="str">
        <f>IF(ISBLANK('Raw counts'!S24),"",IF(ISERROR(IF('3'!S23&lt;MAX('3'!$B23:$U23),HLOOKUP('3'!S23+1,'3'!$B23:$U85,'3'!$W$3+3,0),'3'!S85)),'3'!S85,IF('3'!S23&lt;MAX('3'!$B23:$U23),HLOOKUP('3'!S23+1,'3'!$B23:$U85,'3'!$W$3+3,0),'3'!S85)))</f>
        <v/>
      </c>
      <c r="T23" s="19" t="str">
        <f>IF(ISBLANK('Raw counts'!T24),"",IF(ISERROR(IF('3'!T23&lt;MAX('3'!$B23:$U23),HLOOKUP('3'!T23+1,'3'!$B23:$U85,'3'!$W$3+3,0),'3'!T85)),'3'!T85,IF('3'!T23&lt;MAX('3'!$B23:$U23),HLOOKUP('3'!T23+1,'3'!$B23:$U85,'3'!$W$3+3,0),'3'!T85)))</f>
        <v/>
      </c>
      <c r="U23" s="19" t="str">
        <f>IF(ISBLANK('Raw counts'!U24),"",IF(ISERROR(IF('3'!U23&lt;MAX('3'!$B23:$U23),HLOOKUP('3'!U23+1,'3'!$B23:$U85,'3'!$W$3+3,0),'3'!U85)),'3'!U85,IF('3'!U23&lt;MAX('3'!$B23:$U23),HLOOKUP('3'!U23+1,'3'!$B23:$U85,'3'!$W$3+3,0),'3'!U85)))</f>
        <v/>
      </c>
    </row>
    <row r="24" spans="1:21" x14ac:dyDescent="0.15">
      <c r="A24" s="18" t="str">
        <f>IF(ISBLANK('Raw counts'!A25),"",'Raw counts'!A25)</f>
        <v/>
      </c>
      <c r="B24" s="19" t="str">
        <f>IF(ISBLANK('Raw counts'!B25),"",IF(ISERROR(IF('3'!B24&lt;MAX('3'!$B24:$U24),HLOOKUP('3'!B24+1,'3'!$B24:$U86,'3'!$W$3+3,0),'3'!B86)),'3'!B86,IF('3'!B24&lt;MAX('3'!$B24:$U24),HLOOKUP('3'!B24+1,'3'!$B24:$U86,'3'!$W$3+3,0),'3'!B86)))</f>
        <v/>
      </c>
      <c r="C24" s="19" t="str">
        <f>IF(ISBLANK('Raw counts'!C25),"",IF(ISERROR(IF('3'!C24&lt;MAX('3'!$B24:$U24),HLOOKUP('3'!C24+1,'3'!$B24:$U86,'3'!$W$3+3,0),'3'!C86)),'3'!C86,IF('3'!C24&lt;MAX('3'!$B24:$U24),HLOOKUP('3'!C24+1,'3'!$B24:$U86,'3'!$W$3+3,0),'3'!C86)))</f>
        <v/>
      </c>
      <c r="D24" s="19" t="str">
        <f>IF(ISBLANK('Raw counts'!D25),"",IF(ISERROR(IF('3'!D24&lt;MAX('3'!$B24:$U24),HLOOKUP('3'!D24+1,'3'!$B24:$U86,'3'!$W$3+3,0),'3'!D86)),'3'!D86,IF('3'!D24&lt;MAX('3'!$B24:$U24),HLOOKUP('3'!D24+1,'3'!$B24:$U86,'3'!$W$3+3,0),'3'!D86)))</f>
        <v/>
      </c>
      <c r="E24" s="19" t="str">
        <f>IF(ISBLANK('Raw counts'!E25),"",IF(ISERROR(IF('3'!E24&lt;MAX('3'!$B24:$U24),HLOOKUP('3'!E24+1,'3'!$B24:$U86,'3'!$W$3+3,0),'3'!E86)),'3'!E86,IF('3'!E24&lt;MAX('3'!$B24:$U24),HLOOKUP('3'!E24+1,'3'!$B24:$U86,'3'!$W$3+3,0),'3'!E86)))</f>
        <v/>
      </c>
      <c r="F24" s="19" t="str">
        <f>IF(ISBLANK('Raw counts'!F25),"",IF(ISERROR(IF('3'!F24&lt;MAX('3'!$B24:$U24),HLOOKUP('3'!F24+1,'3'!$B24:$U86,'3'!$W$3+3,0),'3'!F86)),'3'!F86,IF('3'!F24&lt;MAX('3'!$B24:$U24),HLOOKUP('3'!F24+1,'3'!$B24:$U86,'3'!$W$3+3,0),'3'!F86)))</f>
        <v/>
      </c>
      <c r="G24" s="19" t="str">
        <f>IF(ISBLANK('Raw counts'!G25),"",IF(ISERROR(IF('3'!G24&lt;MAX('3'!$B24:$U24),HLOOKUP('3'!G24+1,'3'!$B24:$U86,'3'!$W$3+3,0),'3'!G86)),'3'!G86,IF('3'!G24&lt;MAX('3'!$B24:$U24),HLOOKUP('3'!G24+1,'3'!$B24:$U86,'3'!$W$3+3,0),'3'!G86)))</f>
        <v/>
      </c>
      <c r="H24" s="19" t="str">
        <f>IF(ISBLANK('Raw counts'!H25),"",IF(ISERROR(IF('3'!H24&lt;MAX('3'!$B24:$U24),HLOOKUP('3'!H24+1,'3'!$B24:$U86,'3'!$W$3+3,0),'3'!H86)),'3'!H86,IF('3'!H24&lt;MAX('3'!$B24:$U24),HLOOKUP('3'!H24+1,'3'!$B24:$U86,'3'!$W$3+3,0),'3'!H86)))</f>
        <v/>
      </c>
      <c r="I24" s="19" t="str">
        <f>IF(ISBLANK('Raw counts'!I25),"",IF(ISERROR(IF('3'!I24&lt;MAX('3'!$B24:$U24),HLOOKUP('3'!I24+1,'3'!$B24:$U86,'3'!$W$3+3,0),'3'!I86)),'3'!I86,IF('3'!I24&lt;MAX('3'!$B24:$U24),HLOOKUP('3'!I24+1,'3'!$B24:$U86,'3'!$W$3+3,0),'3'!I86)))</f>
        <v/>
      </c>
      <c r="J24" s="19" t="str">
        <f>IF(ISBLANK('Raw counts'!J25),"",IF(ISERROR(IF('3'!J24&lt;MAX('3'!$B24:$U24),HLOOKUP('3'!J24+1,'3'!$B24:$U86,'3'!$W$3+3,0),'3'!J86)),'3'!J86,IF('3'!J24&lt;MAX('3'!$B24:$U24),HLOOKUP('3'!J24+1,'3'!$B24:$U86,'3'!$W$3+3,0),'3'!J86)))</f>
        <v/>
      </c>
      <c r="K24" s="19" t="str">
        <f>IF(ISBLANK('Raw counts'!K25),"",IF(ISERROR(IF('3'!K24&lt;MAX('3'!$B24:$U24),HLOOKUP('3'!K24+1,'3'!$B24:$U86,'3'!$W$3+3,0),'3'!K86)),'3'!K86,IF('3'!K24&lt;MAX('3'!$B24:$U24),HLOOKUP('3'!K24+1,'3'!$B24:$U86,'3'!$W$3+3,0),'3'!K86)))</f>
        <v/>
      </c>
      <c r="L24" s="19" t="str">
        <f>IF(ISBLANK('Raw counts'!L25),"",IF(ISERROR(IF('3'!L24&lt;MAX('3'!$B24:$U24),HLOOKUP('3'!L24+1,'3'!$B24:$U86,'3'!$W$3+3,0),'3'!L86)),'3'!L86,IF('3'!L24&lt;MAX('3'!$B24:$U24),HLOOKUP('3'!L24+1,'3'!$B24:$U86,'3'!$W$3+3,0),'3'!L86)))</f>
        <v/>
      </c>
      <c r="M24" s="19" t="str">
        <f>IF(ISBLANK('Raw counts'!M25),"",IF(ISERROR(IF('3'!M24&lt;MAX('3'!$B24:$U24),HLOOKUP('3'!M24+1,'3'!$B24:$U86,'3'!$W$3+3,0),'3'!M86)),'3'!M86,IF('3'!M24&lt;MAX('3'!$B24:$U24),HLOOKUP('3'!M24+1,'3'!$B24:$U86,'3'!$W$3+3,0),'3'!M86)))</f>
        <v/>
      </c>
      <c r="N24" s="19" t="str">
        <f>IF(ISBLANK('Raw counts'!N25),"",IF(ISERROR(IF('3'!N24&lt;MAX('3'!$B24:$U24),HLOOKUP('3'!N24+1,'3'!$B24:$U86,'3'!$W$3+3,0),'3'!N86)),'3'!N86,IF('3'!N24&lt;MAX('3'!$B24:$U24),HLOOKUP('3'!N24+1,'3'!$B24:$U86,'3'!$W$3+3,0),'3'!N86)))</f>
        <v/>
      </c>
      <c r="O24" s="19" t="str">
        <f>IF(ISBLANK('Raw counts'!O25),"",IF(ISERROR(IF('3'!O24&lt;MAX('3'!$B24:$U24),HLOOKUP('3'!O24+1,'3'!$B24:$U86,'3'!$W$3+3,0),'3'!O86)),'3'!O86,IF('3'!O24&lt;MAX('3'!$B24:$U24),HLOOKUP('3'!O24+1,'3'!$B24:$U86,'3'!$W$3+3,0),'3'!O86)))</f>
        <v/>
      </c>
      <c r="P24" s="19" t="str">
        <f>IF(ISBLANK('Raw counts'!P25),"",IF(ISERROR(IF('3'!P24&lt;MAX('3'!$B24:$U24),HLOOKUP('3'!P24+1,'3'!$B24:$U86,'3'!$W$3+3,0),'3'!P86)),'3'!P86,IF('3'!P24&lt;MAX('3'!$B24:$U24),HLOOKUP('3'!P24+1,'3'!$B24:$U86,'3'!$W$3+3,0),'3'!P86)))</f>
        <v/>
      </c>
      <c r="Q24" s="19" t="str">
        <f>IF(ISBLANK('Raw counts'!Q25),"",IF(ISERROR(IF('3'!Q24&lt;MAX('3'!$B24:$U24),HLOOKUP('3'!Q24+1,'3'!$B24:$U86,'3'!$W$3+3,0),'3'!Q86)),'3'!Q86,IF('3'!Q24&lt;MAX('3'!$B24:$U24),HLOOKUP('3'!Q24+1,'3'!$B24:$U86,'3'!$W$3+3,0),'3'!Q86)))</f>
        <v/>
      </c>
      <c r="R24" s="19" t="str">
        <f>IF(ISBLANK('Raw counts'!R25),"",IF(ISERROR(IF('3'!R24&lt;MAX('3'!$B24:$U24),HLOOKUP('3'!R24+1,'3'!$B24:$U86,'3'!$W$3+3,0),'3'!R86)),'3'!R86,IF('3'!R24&lt;MAX('3'!$B24:$U24),HLOOKUP('3'!R24+1,'3'!$B24:$U86,'3'!$W$3+3,0),'3'!R86)))</f>
        <v/>
      </c>
      <c r="S24" s="19" t="str">
        <f>IF(ISBLANK('Raw counts'!S25),"",IF(ISERROR(IF('3'!S24&lt;MAX('3'!$B24:$U24),HLOOKUP('3'!S24+1,'3'!$B24:$U86,'3'!$W$3+3,0),'3'!S86)),'3'!S86,IF('3'!S24&lt;MAX('3'!$B24:$U24),HLOOKUP('3'!S24+1,'3'!$B24:$U86,'3'!$W$3+3,0),'3'!S86)))</f>
        <v/>
      </c>
      <c r="T24" s="19" t="str">
        <f>IF(ISBLANK('Raw counts'!T25),"",IF(ISERROR(IF('3'!T24&lt;MAX('3'!$B24:$U24),HLOOKUP('3'!T24+1,'3'!$B24:$U86,'3'!$W$3+3,0),'3'!T86)),'3'!T86,IF('3'!T24&lt;MAX('3'!$B24:$U24),HLOOKUP('3'!T24+1,'3'!$B24:$U86,'3'!$W$3+3,0),'3'!T86)))</f>
        <v/>
      </c>
      <c r="U24" s="19" t="str">
        <f>IF(ISBLANK('Raw counts'!U25),"",IF(ISERROR(IF('3'!U24&lt;MAX('3'!$B24:$U24),HLOOKUP('3'!U24+1,'3'!$B24:$U86,'3'!$W$3+3,0),'3'!U86)),'3'!U86,IF('3'!U24&lt;MAX('3'!$B24:$U24),HLOOKUP('3'!U24+1,'3'!$B24:$U86,'3'!$W$3+3,0),'3'!U86)))</f>
        <v/>
      </c>
    </row>
    <row r="25" spans="1:21" x14ac:dyDescent="0.15">
      <c r="A25" s="18" t="str">
        <f>IF(ISBLANK('Raw counts'!A26),"",'Raw counts'!A26)</f>
        <v/>
      </c>
      <c r="B25" s="19" t="str">
        <f>IF(ISBLANK('Raw counts'!B26),"",IF(ISERROR(IF('3'!B25&lt;MAX('3'!$B25:$U25),HLOOKUP('3'!B25+1,'3'!$B25:$U87,'3'!$W$3+3,0),'3'!B87)),'3'!B87,IF('3'!B25&lt;MAX('3'!$B25:$U25),HLOOKUP('3'!B25+1,'3'!$B25:$U87,'3'!$W$3+3,0),'3'!B87)))</f>
        <v/>
      </c>
      <c r="C25" s="19" t="str">
        <f>IF(ISBLANK('Raw counts'!C26),"",IF(ISERROR(IF('3'!C25&lt;MAX('3'!$B25:$U25),HLOOKUP('3'!C25+1,'3'!$B25:$U87,'3'!$W$3+3,0),'3'!C87)),'3'!C87,IF('3'!C25&lt;MAX('3'!$B25:$U25),HLOOKUP('3'!C25+1,'3'!$B25:$U87,'3'!$W$3+3,0),'3'!C87)))</f>
        <v/>
      </c>
      <c r="D25" s="19" t="str">
        <f>IF(ISBLANK('Raw counts'!D26),"",IF(ISERROR(IF('3'!D25&lt;MAX('3'!$B25:$U25),HLOOKUP('3'!D25+1,'3'!$B25:$U87,'3'!$W$3+3,0),'3'!D87)),'3'!D87,IF('3'!D25&lt;MAX('3'!$B25:$U25),HLOOKUP('3'!D25+1,'3'!$B25:$U87,'3'!$W$3+3,0),'3'!D87)))</f>
        <v/>
      </c>
      <c r="E25" s="19" t="str">
        <f>IF(ISBLANK('Raw counts'!E26),"",IF(ISERROR(IF('3'!E25&lt;MAX('3'!$B25:$U25),HLOOKUP('3'!E25+1,'3'!$B25:$U87,'3'!$W$3+3,0),'3'!E87)),'3'!E87,IF('3'!E25&lt;MAX('3'!$B25:$U25),HLOOKUP('3'!E25+1,'3'!$B25:$U87,'3'!$W$3+3,0),'3'!E87)))</f>
        <v/>
      </c>
      <c r="F25" s="19" t="str">
        <f>IF(ISBLANK('Raw counts'!F26),"",IF(ISERROR(IF('3'!F25&lt;MAX('3'!$B25:$U25),HLOOKUP('3'!F25+1,'3'!$B25:$U87,'3'!$W$3+3,0),'3'!F87)),'3'!F87,IF('3'!F25&lt;MAX('3'!$B25:$U25),HLOOKUP('3'!F25+1,'3'!$B25:$U87,'3'!$W$3+3,0),'3'!F87)))</f>
        <v/>
      </c>
      <c r="G25" s="19" t="str">
        <f>IF(ISBLANK('Raw counts'!G26),"",IF(ISERROR(IF('3'!G25&lt;MAX('3'!$B25:$U25),HLOOKUP('3'!G25+1,'3'!$B25:$U87,'3'!$W$3+3,0),'3'!G87)),'3'!G87,IF('3'!G25&lt;MAX('3'!$B25:$U25),HLOOKUP('3'!G25+1,'3'!$B25:$U87,'3'!$W$3+3,0),'3'!G87)))</f>
        <v/>
      </c>
      <c r="H25" s="19" t="str">
        <f>IF(ISBLANK('Raw counts'!H26),"",IF(ISERROR(IF('3'!H25&lt;MAX('3'!$B25:$U25),HLOOKUP('3'!H25+1,'3'!$B25:$U87,'3'!$W$3+3,0),'3'!H87)),'3'!H87,IF('3'!H25&lt;MAX('3'!$B25:$U25),HLOOKUP('3'!H25+1,'3'!$B25:$U87,'3'!$W$3+3,0),'3'!H87)))</f>
        <v/>
      </c>
      <c r="I25" s="19" t="str">
        <f>IF(ISBLANK('Raw counts'!I26),"",IF(ISERROR(IF('3'!I25&lt;MAX('3'!$B25:$U25),HLOOKUP('3'!I25+1,'3'!$B25:$U87,'3'!$W$3+3,0),'3'!I87)),'3'!I87,IF('3'!I25&lt;MAX('3'!$B25:$U25),HLOOKUP('3'!I25+1,'3'!$B25:$U87,'3'!$W$3+3,0),'3'!I87)))</f>
        <v/>
      </c>
      <c r="J25" s="19" t="str">
        <f>IF(ISBLANK('Raw counts'!J26),"",IF(ISERROR(IF('3'!J25&lt;MAX('3'!$B25:$U25),HLOOKUP('3'!J25+1,'3'!$B25:$U87,'3'!$W$3+3,0),'3'!J87)),'3'!J87,IF('3'!J25&lt;MAX('3'!$B25:$U25),HLOOKUP('3'!J25+1,'3'!$B25:$U87,'3'!$W$3+3,0),'3'!J87)))</f>
        <v/>
      </c>
      <c r="K25" s="19" t="str">
        <f>IF(ISBLANK('Raw counts'!K26),"",IF(ISERROR(IF('3'!K25&lt;MAX('3'!$B25:$U25),HLOOKUP('3'!K25+1,'3'!$B25:$U87,'3'!$W$3+3,0),'3'!K87)),'3'!K87,IF('3'!K25&lt;MAX('3'!$B25:$U25),HLOOKUP('3'!K25+1,'3'!$B25:$U87,'3'!$W$3+3,0),'3'!K87)))</f>
        <v/>
      </c>
      <c r="L25" s="19" t="str">
        <f>IF(ISBLANK('Raw counts'!L26),"",IF(ISERROR(IF('3'!L25&lt;MAX('3'!$B25:$U25),HLOOKUP('3'!L25+1,'3'!$B25:$U87,'3'!$W$3+3,0),'3'!L87)),'3'!L87,IF('3'!L25&lt;MAX('3'!$B25:$U25),HLOOKUP('3'!L25+1,'3'!$B25:$U87,'3'!$W$3+3,0),'3'!L87)))</f>
        <v/>
      </c>
      <c r="M25" s="19" t="str">
        <f>IF(ISBLANK('Raw counts'!M26),"",IF(ISERROR(IF('3'!M25&lt;MAX('3'!$B25:$U25),HLOOKUP('3'!M25+1,'3'!$B25:$U87,'3'!$W$3+3,0),'3'!M87)),'3'!M87,IF('3'!M25&lt;MAX('3'!$B25:$U25),HLOOKUP('3'!M25+1,'3'!$B25:$U87,'3'!$W$3+3,0),'3'!M87)))</f>
        <v/>
      </c>
      <c r="N25" s="19" t="str">
        <f>IF(ISBLANK('Raw counts'!N26),"",IF(ISERROR(IF('3'!N25&lt;MAX('3'!$B25:$U25),HLOOKUP('3'!N25+1,'3'!$B25:$U87,'3'!$W$3+3,0),'3'!N87)),'3'!N87,IF('3'!N25&lt;MAX('3'!$B25:$U25),HLOOKUP('3'!N25+1,'3'!$B25:$U87,'3'!$W$3+3,0),'3'!N87)))</f>
        <v/>
      </c>
      <c r="O25" s="19" t="str">
        <f>IF(ISBLANK('Raw counts'!O26),"",IF(ISERROR(IF('3'!O25&lt;MAX('3'!$B25:$U25),HLOOKUP('3'!O25+1,'3'!$B25:$U87,'3'!$W$3+3,0),'3'!O87)),'3'!O87,IF('3'!O25&lt;MAX('3'!$B25:$U25),HLOOKUP('3'!O25+1,'3'!$B25:$U87,'3'!$W$3+3,0),'3'!O87)))</f>
        <v/>
      </c>
      <c r="P25" s="19" t="str">
        <f>IF(ISBLANK('Raw counts'!P26),"",IF(ISERROR(IF('3'!P25&lt;MAX('3'!$B25:$U25),HLOOKUP('3'!P25+1,'3'!$B25:$U87,'3'!$W$3+3,0),'3'!P87)),'3'!P87,IF('3'!P25&lt;MAX('3'!$B25:$U25),HLOOKUP('3'!P25+1,'3'!$B25:$U87,'3'!$W$3+3,0),'3'!P87)))</f>
        <v/>
      </c>
      <c r="Q25" s="19" t="str">
        <f>IF(ISBLANK('Raw counts'!Q26),"",IF(ISERROR(IF('3'!Q25&lt;MAX('3'!$B25:$U25),HLOOKUP('3'!Q25+1,'3'!$B25:$U87,'3'!$W$3+3,0),'3'!Q87)),'3'!Q87,IF('3'!Q25&lt;MAX('3'!$B25:$U25),HLOOKUP('3'!Q25+1,'3'!$B25:$U87,'3'!$W$3+3,0),'3'!Q87)))</f>
        <v/>
      </c>
      <c r="R25" s="19" t="str">
        <f>IF(ISBLANK('Raw counts'!R26),"",IF(ISERROR(IF('3'!R25&lt;MAX('3'!$B25:$U25),HLOOKUP('3'!R25+1,'3'!$B25:$U87,'3'!$W$3+3,0),'3'!R87)),'3'!R87,IF('3'!R25&lt;MAX('3'!$B25:$U25),HLOOKUP('3'!R25+1,'3'!$B25:$U87,'3'!$W$3+3,0),'3'!R87)))</f>
        <v/>
      </c>
      <c r="S25" s="19" t="str">
        <f>IF(ISBLANK('Raw counts'!S26),"",IF(ISERROR(IF('3'!S25&lt;MAX('3'!$B25:$U25),HLOOKUP('3'!S25+1,'3'!$B25:$U87,'3'!$W$3+3,0),'3'!S87)),'3'!S87,IF('3'!S25&lt;MAX('3'!$B25:$U25),HLOOKUP('3'!S25+1,'3'!$B25:$U87,'3'!$W$3+3,0),'3'!S87)))</f>
        <v/>
      </c>
      <c r="T25" s="19" t="str">
        <f>IF(ISBLANK('Raw counts'!T26),"",IF(ISERROR(IF('3'!T25&lt;MAX('3'!$B25:$U25),HLOOKUP('3'!T25+1,'3'!$B25:$U87,'3'!$W$3+3,0),'3'!T87)),'3'!T87,IF('3'!T25&lt;MAX('3'!$B25:$U25),HLOOKUP('3'!T25+1,'3'!$B25:$U87,'3'!$W$3+3,0),'3'!T87)))</f>
        <v/>
      </c>
      <c r="U25" s="19" t="str">
        <f>IF(ISBLANK('Raw counts'!U26),"",IF(ISERROR(IF('3'!U25&lt;MAX('3'!$B25:$U25),HLOOKUP('3'!U25+1,'3'!$B25:$U87,'3'!$W$3+3,0),'3'!U87)),'3'!U87,IF('3'!U25&lt;MAX('3'!$B25:$U25),HLOOKUP('3'!U25+1,'3'!$B25:$U87,'3'!$W$3+3,0),'3'!U87)))</f>
        <v/>
      </c>
    </row>
    <row r="26" spans="1:21" x14ac:dyDescent="0.15">
      <c r="A26" s="18" t="str">
        <f>IF(ISBLANK('Raw counts'!A27),"",'Raw counts'!A27)</f>
        <v/>
      </c>
      <c r="B26" s="19" t="str">
        <f>IF(ISBLANK('Raw counts'!B27),"",IF(ISERROR(IF('3'!B26&lt;MAX('3'!$B26:$U26),HLOOKUP('3'!B26+1,'3'!$B26:$U88,'3'!$W$3+3,0),'3'!B88)),'3'!B88,IF('3'!B26&lt;MAX('3'!$B26:$U26),HLOOKUP('3'!B26+1,'3'!$B26:$U88,'3'!$W$3+3,0),'3'!B88)))</f>
        <v/>
      </c>
      <c r="C26" s="19" t="str">
        <f>IF(ISBLANK('Raw counts'!C27),"",IF(ISERROR(IF('3'!C26&lt;MAX('3'!$B26:$U26),HLOOKUP('3'!C26+1,'3'!$B26:$U88,'3'!$W$3+3,0),'3'!C88)),'3'!C88,IF('3'!C26&lt;MAX('3'!$B26:$U26),HLOOKUP('3'!C26+1,'3'!$B26:$U88,'3'!$W$3+3,0),'3'!C88)))</f>
        <v/>
      </c>
      <c r="D26" s="19" t="str">
        <f>IF(ISBLANK('Raw counts'!D27),"",IF(ISERROR(IF('3'!D26&lt;MAX('3'!$B26:$U26),HLOOKUP('3'!D26+1,'3'!$B26:$U88,'3'!$W$3+3,0),'3'!D88)),'3'!D88,IF('3'!D26&lt;MAX('3'!$B26:$U26),HLOOKUP('3'!D26+1,'3'!$B26:$U88,'3'!$W$3+3,0),'3'!D88)))</f>
        <v/>
      </c>
      <c r="E26" s="19" t="str">
        <f>IF(ISBLANK('Raw counts'!E27),"",IF(ISERROR(IF('3'!E26&lt;MAX('3'!$B26:$U26),HLOOKUP('3'!E26+1,'3'!$B26:$U88,'3'!$W$3+3,0),'3'!E88)),'3'!E88,IF('3'!E26&lt;MAX('3'!$B26:$U26),HLOOKUP('3'!E26+1,'3'!$B26:$U88,'3'!$W$3+3,0),'3'!E88)))</f>
        <v/>
      </c>
      <c r="F26" s="19" t="str">
        <f>IF(ISBLANK('Raw counts'!F27),"",IF(ISERROR(IF('3'!F26&lt;MAX('3'!$B26:$U26),HLOOKUP('3'!F26+1,'3'!$B26:$U88,'3'!$W$3+3,0),'3'!F88)),'3'!F88,IF('3'!F26&lt;MAX('3'!$B26:$U26),HLOOKUP('3'!F26+1,'3'!$B26:$U88,'3'!$W$3+3,0),'3'!F88)))</f>
        <v/>
      </c>
      <c r="G26" s="19" t="str">
        <f>IF(ISBLANK('Raw counts'!G27),"",IF(ISERROR(IF('3'!G26&lt;MAX('3'!$B26:$U26),HLOOKUP('3'!G26+1,'3'!$B26:$U88,'3'!$W$3+3,0),'3'!G88)),'3'!G88,IF('3'!G26&lt;MAX('3'!$B26:$U26),HLOOKUP('3'!G26+1,'3'!$B26:$U88,'3'!$W$3+3,0),'3'!G88)))</f>
        <v/>
      </c>
      <c r="H26" s="19" t="str">
        <f>IF(ISBLANK('Raw counts'!H27),"",IF(ISERROR(IF('3'!H26&lt;MAX('3'!$B26:$U26),HLOOKUP('3'!H26+1,'3'!$B26:$U88,'3'!$W$3+3,0),'3'!H88)),'3'!H88,IF('3'!H26&lt;MAX('3'!$B26:$U26),HLOOKUP('3'!H26+1,'3'!$B26:$U88,'3'!$W$3+3,0),'3'!H88)))</f>
        <v/>
      </c>
      <c r="I26" s="19" t="str">
        <f>IF(ISBLANK('Raw counts'!I27),"",IF(ISERROR(IF('3'!I26&lt;MAX('3'!$B26:$U26),HLOOKUP('3'!I26+1,'3'!$B26:$U88,'3'!$W$3+3,0),'3'!I88)),'3'!I88,IF('3'!I26&lt;MAX('3'!$B26:$U26),HLOOKUP('3'!I26+1,'3'!$B26:$U88,'3'!$W$3+3,0),'3'!I88)))</f>
        <v/>
      </c>
      <c r="J26" s="19" t="str">
        <f>IF(ISBLANK('Raw counts'!J27),"",IF(ISERROR(IF('3'!J26&lt;MAX('3'!$B26:$U26),HLOOKUP('3'!J26+1,'3'!$B26:$U88,'3'!$W$3+3,0),'3'!J88)),'3'!J88,IF('3'!J26&lt;MAX('3'!$B26:$U26),HLOOKUP('3'!J26+1,'3'!$B26:$U88,'3'!$W$3+3,0),'3'!J88)))</f>
        <v/>
      </c>
      <c r="K26" s="19" t="str">
        <f>IF(ISBLANK('Raw counts'!K27),"",IF(ISERROR(IF('3'!K26&lt;MAX('3'!$B26:$U26),HLOOKUP('3'!K26+1,'3'!$B26:$U88,'3'!$W$3+3,0),'3'!K88)),'3'!K88,IF('3'!K26&lt;MAX('3'!$B26:$U26),HLOOKUP('3'!K26+1,'3'!$B26:$U88,'3'!$W$3+3,0),'3'!K88)))</f>
        <v/>
      </c>
      <c r="L26" s="19" t="str">
        <f>IF(ISBLANK('Raw counts'!L27),"",IF(ISERROR(IF('3'!L26&lt;MAX('3'!$B26:$U26),HLOOKUP('3'!L26+1,'3'!$B26:$U88,'3'!$W$3+3,0),'3'!L88)),'3'!L88,IF('3'!L26&lt;MAX('3'!$B26:$U26),HLOOKUP('3'!L26+1,'3'!$B26:$U88,'3'!$W$3+3,0),'3'!L88)))</f>
        <v/>
      </c>
      <c r="M26" s="19" t="str">
        <f>IF(ISBLANK('Raw counts'!M27),"",IF(ISERROR(IF('3'!M26&lt;MAX('3'!$B26:$U26),HLOOKUP('3'!M26+1,'3'!$B26:$U88,'3'!$W$3+3,0),'3'!M88)),'3'!M88,IF('3'!M26&lt;MAX('3'!$B26:$U26),HLOOKUP('3'!M26+1,'3'!$B26:$U88,'3'!$W$3+3,0),'3'!M88)))</f>
        <v/>
      </c>
      <c r="N26" s="19" t="str">
        <f>IF(ISBLANK('Raw counts'!N27),"",IF(ISERROR(IF('3'!N26&lt;MAX('3'!$B26:$U26),HLOOKUP('3'!N26+1,'3'!$B26:$U88,'3'!$W$3+3,0),'3'!N88)),'3'!N88,IF('3'!N26&lt;MAX('3'!$B26:$U26),HLOOKUP('3'!N26+1,'3'!$B26:$U88,'3'!$W$3+3,0),'3'!N88)))</f>
        <v/>
      </c>
      <c r="O26" s="19" t="str">
        <f>IF(ISBLANK('Raw counts'!O27),"",IF(ISERROR(IF('3'!O26&lt;MAX('3'!$B26:$U26),HLOOKUP('3'!O26+1,'3'!$B26:$U88,'3'!$W$3+3,0),'3'!O88)),'3'!O88,IF('3'!O26&lt;MAX('3'!$B26:$U26),HLOOKUP('3'!O26+1,'3'!$B26:$U88,'3'!$W$3+3,0),'3'!O88)))</f>
        <v/>
      </c>
      <c r="P26" s="19" t="str">
        <f>IF(ISBLANK('Raw counts'!P27),"",IF(ISERROR(IF('3'!P26&lt;MAX('3'!$B26:$U26),HLOOKUP('3'!P26+1,'3'!$B26:$U88,'3'!$W$3+3,0),'3'!P88)),'3'!P88,IF('3'!P26&lt;MAX('3'!$B26:$U26),HLOOKUP('3'!P26+1,'3'!$B26:$U88,'3'!$W$3+3,0),'3'!P88)))</f>
        <v/>
      </c>
      <c r="Q26" s="19" t="str">
        <f>IF(ISBLANK('Raw counts'!Q27),"",IF(ISERROR(IF('3'!Q26&lt;MAX('3'!$B26:$U26),HLOOKUP('3'!Q26+1,'3'!$B26:$U88,'3'!$W$3+3,0),'3'!Q88)),'3'!Q88,IF('3'!Q26&lt;MAX('3'!$B26:$U26),HLOOKUP('3'!Q26+1,'3'!$B26:$U88,'3'!$W$3+3,0),'3'!Q88)))</f>
        <v/>
      </c>
      <c r="R26" s="19" t="str">
        <f>IF(ISBLANK('Raw counts'!R27),"",IF(ISERROR(IF('3'!R26&lt;MAX('3'!$B26:$U26),HLOOKUP('3'!R26+1,'3'!$B26:$U88,'3'!$W$3+3,0),'3'!R88)),'3'!R88,IF('3'!R26&lt;MAX('3'!$B26:$U26),HLOOKUP('3'!R26+1,'3'!$B26:$U88,'3'!$W$3+3,0),'3'!R88)))</f>
        <v/>
      </c>
      <c r="S26" s="19" t="str">
        <f>IF(ISBLANK('Raw counts'!S27),"",IF(ISERROR(IF('3'!S26&lt;MAX('3'!$B26:$U26),HLOOKUP('3'!S26+1,'3'!$B26:$U88,'3'!$W$3+3,0),'3'!S88)),'3'!S88,IF('3'!S26&lt;MAX('3'!$B26:$U26),HLOOKUP('3'!S26+1,'3'!$B26:$U88,'3'!$W$3+3,0),'3'!S88)))</f>
        <v/>
      </c>
      <c r="T26" s="19" t="str">
        <f>IF(ISBLANK('Raw counts'!T27),"",IF(ISERROR(IF('3'!T26&lt;MAX('3'!$B26:$U26),HLOOKUP('3'!T26+1,'3'!$B26:$U88,'3'!$W$3+3,0),'3'!T88)),'3'!T88,IF('3'!T26&lt;MAX('3'!$B26:$U26),HLOOKUP('3'!T26+1,'3'!$B26:$U88,'3'!$W$3+3,0),'3'!T88)))</f>
        <v/>
      </c>
      <c r="U26" s="19" t="str">
        <f>IF(ISBLANK('Raw counts'!U27),"",IF(ISERROR(IF('3'!U26&lt;MAX('3'!$B26:$U26),HLOOKUP('3'!U26+1,'3'!$B26:$U88,'3'!$W$3+3,0),'3'!U88)),'3'!U88,IF('3'!U26&lt;MAX('3'!$B26:$U26),HLOOKUP('3'!U26+1,'3'!$B26:$U88,'3'!$W$3+3,0),'3'!U88)))</f>
        <v/>
      </c>
    </row>
    <row r="27" spans="1:21" x14ac:dyDescent="0.15">
      <c r="A27" s="18" t="str">
        <f>IF(ISBLANK('Raw counts'!A28),"",'Raw counts'!A28)</f>
        <v>Attr24</v>
      </c>
      <c r="B27" s="19" t="str">
        <f>IF(ISBLANK('Raw counts'!B28),"",IF(ISERROR(IF('3'!B27&lt;MAX('3'!$B27:$U27),HLOOKUP('3'!B27+1,'3'!$B27:$U89,'3'!$W$3+3,0),'3'!B89)),'3'!B89,IF('3'!B27&lt;MAX('3'!$B27:$U27),HLOOKUP('3'!B27+1,'3'!$B27:$U89,'3'!$W$3+3,0),'3'!B89)))</f>
        <v/>
      </c>
      <c r="C27" s="19" t="str">
        <f>IF(ISBLANK('Raw counts'!C28),"",IF(ISERROR(IF('3'!C27&lt;MAX('3'!$B27:$U27),HLOOKUP('3'!C27+1,'3'!$B27:$U89,'3'!$W$3+3,0),'3'!C89)),'3'!C89,IF('3'!C27&lt;MAX('3'!$B27:$U27),HLOOKUP('3'!C27+1,'3'!$B27:$U89,'3'!$W$3+3,0),'3'!C89)))</f>
        <v/>
      </c>
      <c r="D27" s="19" t="str">
        <f>IF(ISBLANK('Raw counts'!D28),"",IF(ISERROR(IF('3'!D27&lt;MAX('3'!$B27:$U27),HLOOKUP('3'!D27+1,'3'!$B27:$U89,'3'!$W$3+3,0),'3'!D89)),'3'!D89,IF('3'!D27&lt;MAX('3'!$B27:$U27),HLOOKUP('3'!D27+1,'3'!$B27:$U89,'3'!$W$3+3,0),'3'!D89)))</f>
        <v/>
      </c>
      <c r="E27" s="19" t="str">
        <f>IF(ISBLANK('Raw counts'!E28),"",IF(ISERROR(IF('3'!E27&lt;MAX('3'!$B27:$U27),HLOOKUP('3'!E27+1,'3'!$B27:$U89,'3'!$W$3+3,0),'3'!E89)),'3'!E89,IF('3'!E27&lt;MAX('3'!$B27:$U27),HLOOKUP('3'!E27+1,'3'!$B27:$U89,'3'!$W$3+3,0),'3'!E89)))</f>
        <v/>
      </c>
      <c r="F27" s="19" t="str">
        <f>IF(ISBLANK('Raw counts'!F28),"",IF(ISERROR(IF('3'!F27&lt;MAX('3'!$B27:$U27),HLOOKUP('3'!F27+1,'3'!$B27:$U89,'3'!$W$3+3,0),'3'!F89)),'3'!F89,IF('3'!F27&lt;MAX('3'!$B27:$U27),HLOOKUP('3'!F27+1,'3'!$B27:$U89,'3'!$W$3+3,0),'3'!F89)))</f>
        <v/>
      </c>
      <c r="G27" s="19" t="str">
        <f>IF(ISBLANK('Raw counts'!G28),"",IF(ISERROR(IF('3'!G27&lt;MAX('3'!$B27:$U27),HLOOKUP('3'!G27+1,'3'!$B27:$U89,'3'!$W$3+3,0),'3'!G89)),'3'!G89,IF('3'!G27&lt;MAX('3'!$B27:$U27),HLOOKUP('3'!G27+1,'3'!$B27:$U89,'3'!$W$3+3,0),'3'!G89)))</f>
        <v/>
      </c>
      <c r="H27" s="19" t="str">
        <f>IF(ISBLANK('Raw counts'!H28),"",IF(ISERROR(IF('3'!H27&lt;MAX('3'!$B27:$U27),HLOOKUP('3'!H27+1,'3'!$B27:$U89,'3'!$W$3+3,0),'3'!H89)),'3'!H89,IF('3'!H27&lt;MAX('3'!$B27:$U27),HLOOKUP('3'!H27+1,'3'!$B27:$U89,'3'!$W$3+3,0),'3'!H89)))</f>
        <v/>
      </c>
      <c r="I27" s="19" t="str">
        <f>IF(ISBLANK('Raw counts'!I28),"",IF(ISERROR(IF('3'!I27&lt;MAX('3'!$B27:$U27),HLOOKUP('3'!I27+1,'3'!$B27:$U89,'3'!$W$3+3,0),'3'!I89)),'3'!I89,IF('3'!I27&lt;MAX('3'!$B27:$U27),HLOOKUP('3'!I27+1,'3'!$B27:$U89,'3'!$W$3+3,0),'3'!I89)))</f>
        <v/>
      </c>
      <c r="J27" s="19" t="str">
        <f>IF(ISBLANK('Raw counts'!J28),"",IF(ISERROR(IF('3'!J27&lt;MAX('3'!$B27:$U27),HLOOKUP('3'!J27+1,'3'!$B27:$U89,'3'!$W$3+3,0),'3'!J89)),'3'!J89,IF('3'!J27&lt;MAX('3'!$B27:$U27),HLOOKUP('3'!J27+1,'3'!$B27:$U89,'3'!$W$3+3,0),'3'!J89)))</f>
        <v/>
      </c>
      <c r="K27" s="19" t="str">
        <f>IF(ISBLANK('Raw counts'!K28),"",IF(ISERROR(IF('3'!K27&lt;MAX('3'!$B27:$U27),HLOOKUP('3'!K27+1,'3'!$B27:$U89,'3'!$W$3+3,0),'3'!K89)),'3'!K89,IF('3'!K27&lt;MAX('3'!$B27:$U27),HLOOKUP('3'!K27+1,'3'!$B27:$U89,'3'!$W$3+3,0),'3'!K89)))</f>
        <v/>
      </c>
      <c r="L27" s="19" t="str">
        <f>IF(ISBLANK('Raw counts'!L28),"",IF(ISERROR(IF('3'!L27&lt;MAX('3'!$B27:$U27),HLOOKUP('3'!L27+1,'3'!$B27:$U89,'3'!$W$3+3,0),'3'!L89)),'3'!L89,IF('3'!L27&lt;MAX('3'!$B27:$U27),HLOOKUP('3'!L27+1,'3'!$B27:$U89,'3'!$W$3+3,0),'3'!L89)))</f>
        <v/>
      </c>
      <c r="M27" s="19" t="str">
        <f>IF(ISBLANK('Raw counts'!M28),"",IF(ISERROR(IF('3'!M27&lt;MAX('3'!$B27:$U27),HLOOKUP('3'!M27+1,'3'!$B27:$U89,'3'!$W$3+3,0),'3'!M89)),'3'!M89,IF('3'!M27&lt;MAX('3'!$B27:$U27),HLOOKUP('3'!M27+1,'3'!$B27:$U89,'3'!$W$3+3,0),'3'!M89)))</f>
        <v/>
      </c>
      <c r="N27" s="19" t="str">
        <f>IF(ISBLANK('Raw counts'!N28),"",IF(ISERROR(IF('3'!N27&lt;MAX('3'!$B27:$U27),HLOOKUP('3'!N27+1,'3'!$B27:$U89,'3'!$W$3+3,0),'3'!N89)),'3'!N89,IF('3'!N27&lt;MAX('3'!$B27:$U27),HLOOKUP('3'!N27+1,'3'!$B27:$U89,'3'!$W$3+3,0),'3'!N89)))</f>
        <v/>
      </c>
      <c r="O27" s="19" t="str">
        <f>IF(ISBLANK('Raw counts'!O28),"",IF(ISERROR(IF('3'!O27&lt;MAX('3'!$B27:$U27),HLOOKUP('3'!O27+1,'3'!$B27:$U89,'3'!$W$3+3,0),'3'!O89)),'3'!O89,IF('3'!O27&lt;MAX('3'!$B27:$U27),HLOOKUP('3'!O27+1,'3'!$B27:$U89,'3'!$W$3+3,0),'3'!O89)))</f>
        <v/>
      </c>
      <c r="P27" s="19" t="str">
        <f>IF(ISBLANK('Raw counts'!P28),"",IF(ISERROR(IF('3'!P27&lt;MAX('3'!$B27:$U27),HLOOKUP('3'!P27+1,'3'!$B27:$U89,'3'!$W$3+3,0),'3'!P89)),'3'!P89,IF('3'!P27&lt;MAX('3'!$B27:$U27),HLOOKUP('3'!P27+1,'3'!$B27:$U89,'3'!$W$3+3,0),'3'!P89)))</f>
        <v/>
      </c>
      <c r="Q27" s="19" t="str">
        <f>IF(ISBLANK('Raw counts'!Q28),"",IF(ISERROR(IF('3'!Q27&lt;MAX('3'!$B27:$U27),HLOOKUP('3'!Q27+1,'3'!$B27:$U89,'3'!$W$3+3,0),'3'!Q89)),'3'!Q89,IF('3'!Q27&lt;MAX('3'!$B27:$U27),HLOOKUP('3'!Q27+1,'3'!$B27:$U89,'3'!$W$3+3,0),'3'!Q89)))</f>
        <v/>
      </c>
      <c r="R27" s="19" t="str">
        <f>IF(ISBLANK('Raw counts'!R28),"",IF(ISERROR(IF('3'!R27&lt;MAX('3'!$B27:$U27),HLOOKUP('3'!R27+1,'3'!$B27:$U89,'3'!$W$3+3,0),'3'!R89)),'3'!R89,IF('3'!R27&lt;MAX('3'!$B27:$U27),HLOOKUP('3'!R27+1,'3'!$B27:$U89,'3'!$W$3+3,0),'3'!R89)))</f>
        <v/>
      </c>
      <c r="S27" s="19" t="str">
        <f>IF(ISBLANK('Raw counts'!S28),"",IF(ISERROR(IF('3'!S27&lt;MAX('3'!$B27:$U27),HLOOKUP('3'!S27+1,'3'!$B27:$U89,'3'!$W$3+3,0),'3'!S89)),'3'!S89,IF('3'!S27&lt;MAX('3'!$B27:$U27),HLOOKUP('3'!S27+1,'3'!$B27:$U89,'3'!$W$3+3,0),'3'!S89)))</f>
        <v/>
      </c>
      <c r="T27" s="19" t="str">
        <f>IF(ISBLANK('Raw counts'!T28),"",IF(ISERROR(IF('3'!T27&lt;MAX('3'!$B27:$U27),HLOOKUP('3'!T27+1,'3'!$B27:$U89,'3'!$W$3+3,0),'3'!T89)),'3'!T89,IF('3'!T27&lt;MAX('3'!$B27:$U27),HLOOKUP('3'!T27+1,'3'!$B27:$U89,'3'!$W$3+3,0),'3'!T89)))</f>
        <v/>
      </c>
      <c r="U27" s="19" t="str">
        <f>IF(ISBLANK('Raw counts'!U28),"",IF(ISERROR(IF('3'!U27&lt;MAX('3'!$B27:$U27),HLOOKUP('3'!U27+1,'3'!$B27:$U89,'3'!$W$3+3,0),'3'!U89)),'3'!U89,IF('3'!U27&lt;MAX('3'!$B27:$U27),HLOOKUP('3'!U27+1,'3'!$B27:$U89,'3'!$W$3+3,0),'3'!U89)))</f>
        <v/>
      </c>
    </row>
    <row r="28" spans="1:21" x14ac:dyDescent="0.15">
      <c r="A28" s="18" t="str">
        <f>IF(ISBLANK('Raw counts'!A29),"",'Raw counts'!A29)</f>
        <v>Attr25</v>
      </c>
      <c r="B28" s="19" t="str">
        <f>IF(ISBLANK('Raw counts'!B29),"",IF(ISERROR(IF('3'!B28&lt;MAX('3'!$B28:$U28),HLOOKUP('3'!B28+1,'3'!$B28:$U90,'3'!$W$3+3,0),'3'!B90)),'3'!B90,IF('3'!B28&lt;MAX('3'!$B28:$U28),HLOOKUP('3'!B28+1,'3'!$B28:$U90,'3'!$W$3+3,0),'3'!B90)))</f>
        <v/>
      </c>
      <c r="C28" s="19" t="str">
        <f>IF(ISBLANK('Raw counts'!C29),"",IF(ISERROR(IF('3'!C28&lt;MAX('3'!$B28:$U28),HLOOKUP('3'!C28+1,'3'!$B28:$U90,'3'!$W$3+3,0),'3'!C90)),'3'!C90,IF('3'!C28&lt;MAX('3'!$B28:$U28),HLOOKUP('3'!C28+1,'3'!$B28:$U90,'3'!$W$3+3,0),'3'!C90)))</f>
        <v/>
      </c>
      <c r="D28" s="19" t="str">
        <f>IF(ISBLANK('Raw counts'!D29),"",IF(ISERROR(IF('3'!D28&lt;MAX('3'!$B28:$U28),HLOOKUP('3'!D28+1,'3'!$B28:$U90,'3'!$W$3+3,0),'3'!D90)),'3'!D90,IF('3'!D28&lt;MAX('3'!$B28:$U28),HLOOKUP('3'!D28+1,'3'!$B28:$U90,'3'!$W$3+3,0),'3'!D90)))</f>
        <v/>
      </c>
      <c r="E28" s="19" t="str">
        <f>IF(ISBLANK('Raw counts'!E29),"",IF(ISERROR(IF('3'!E28&lt;MAX('3'!$B28:$U28),HLOOKUP('3'!E28+1,'3'!$B28:$U90,'3'!$W$3+3,0),'3'!E90)),'3'!E90,IF('3'!E28&lt;MAX('3'!$B28:$U28),HLOOKUP('3'!E28+1,'3'!$B28:$U90,'3'!$W$3+3,0),'3'!E90)))</f>
        <v/>
      </c>
      <c r="F28" s="19" t="str">
        <f>IF(ISBLANK('Raw counts'!F29),"",IF(ISERROR(IF('3'!F28&lt;MAX('3'!$B28:$U28),HLOOKUP('3'!F28+1,'3'!$B28:$U90,'3'!$W$3+3,0),'3'!F90)),'3'!F90,IF('3'!F28&lt;MAX('3'!$B28:$U28),HLOOKUP('3'!F28+1,'3'!$B28:$U90,'3'!$W$3+3,0),'3'!F90)))</f>
        <v/>
      </c>
      <c r="G28" s="19" t="str">
        <f>IF(ISBLANK('Raw counts'!G29),"",IF(ISERROR(IF('3'!G28&lt;MAX('3'!$B28:$U28),HLOOKUP('3'!G28+1,'3'!$B28:$U90,'3'!$W$3+3,0),'3'!G90)),'3'!G90,IF('3'!G28&lt;MAX('3'!$B28:$U28),HLOOKUP('3'!G28+1,'3'!$B28:$U90,'3'!$W$3+3,0),'3'!G90)))</f>
        <v/>
      </c>
      <c r="H28" s="19" t="str">
        <f>IF(ISBLANK('Raw counts'!H29),"",IF(ISERROR(IF('3'!H28&lt;MAX('3'!$B28:$U28),HLOOKUP('3'!H28+1,'3'!$B28:$U90,'3'!$W$3+3,0),'3'!H90)),'3'!H90,IF('3'!H28&lt;MAX('3'!$B28:$U28),HLOOKUP('3'!H28+1,'3'!$B28:$U90,'3'!$W$3+3,0),'3'!H90)))</f>
        <v/>
      </c>
      <c r="I28" s="19" t="str">
        <f>IF(ISBLANK('Raw counts'!I29),"",IF(ISERROR(IF('3'!I28&lt;MAX('3'!$B28:$U28),HLOOKUP('3'!I28+1,'3'!$B28:$U90,'3'!$W$3+3,0),'3'!I90)),'3'!I90,IF('3'!I28&lt;MAX('3'!$B28:$U28),HLOOKUP('3'!I28+1,'3'!$B28:$U90,'3'!$W$3+3,0),'3'!I90)))</f>
        <v/>
      </c>
      <c r="J28" s="19" t="str">
        <f>IF(ISBLANK('Raw counts'!J29),"",IF(ISERROR(IF('3'!J28&lt;MAX('3'!$B28:$U28),HLOOKUP('3'!J28+1,'3'!$B28:$U90,'3'!$W$3+3,0),'3'!J90)),'3'!J90,IF('3'!J28&lt;MAX('3'!$B28:$U28),HLOOKUP('3'!J28+1,'3'!$B28:$U90,'3'!$W$3+3,0),'3'!J90)))</f>
        <v/>
      </c>
      <c r="K28" s="19" t="str">
        <f>IF(ISBLANK('Raw counts'!K29),"",IF(ISERROR(IF('3'!K28&lt;MAX('3'!$B28:$U28),HLOOKUP('3'!K28+1,'3'!$B28:$U90,'3'!$W$3+3,0),'3'!K90)),'3'!K90,IF('3'!K28&lt;MAX('3'!$B28:$U28),HLOOKUP('3'!K28+1,'3'!$B28:$U90,'3'!$W$3+3,0),'3'!K90)))</f>
        <v/>
      </c>
      <c r="L28" s="19" t="str">
        <f>IF(ISBLANK('Raw counts'!L29),"",IF(ISERROR(IF('3'!L28&lt;MAX('3'!$B28:$U28),HLOOKUP('3'!L28+1,'3'!$B28:$U90,'3'!$W$3+3,0),'3'!L90)),'3'!L90,IF('3'!L28&lt;MAX('3'!$B28:$U28),HLOOKUP('3'!L28+1,'3'!$B28:$U90,'3'!$W$3+3,0),'3'!L90)))</f>
        <v/>
      </c>
      <c r="M28" s="19" t="str">
        <f>IF(ISBLANK('Raw counts'!M29),"",IF(ISERROR(IF('3'!M28&lt;MAX('3'!$B28:$U28),HLOOKUP('3'!M28+1,'3'!$B28:$U90,'3'!$W$3+3,0),'3'!M90)),'3'!M90,IF('3'!M28&lt;MAX('3'!$B28:$U28),HLOOKUP('3'!M28+1,'3'!$B28:$U90,'3'!$W$3+3,0),'3'!M90)))</f>
        <v/>
      </c>
      <c r="N28" s="19" t="str">
        <f>IF(ISBLANK('Raw counts'!N29),"",IF(ISERROR(IF('3'!N28&lt;MAX('3'!$B28:$U28),HLOOKUP('3'!N28+1,'3'!$B28:$U90,'3'!$W$3+3,0),'3'!N90)),'3'!N90,IF('3'!N28&lt;MAX('3'!$B28:$U28),HLOOKUP('3'!N28+1,'3'!$B28:$U90,'3'!$W$3+3,0),'3'!N90)))</f>
        <v/>
      </c>
      <c r="O28" s="19" t="str">
        <f>IF(ISBLANK('Raw counts'!O29),"",IF(ISERROR(IF('3'!O28&lt;MAX('3'!$B28:$U28),HLOOKUP('3'!O28+1,'3'!$B28:$U90,'3'!$W$3+3,0),'3'!O90)),'3'!O90,IF('3'!O28&lt;MAX('3'!$B28:$U28),HLOOKUP('3'!O28+1,'3'!$B28:$U90,'3'!$W$3+3,0),'3'!O90)))</f>
        <v/>
      </c>
      <c r="P28" s="19" t="str">
        <f>IF(ISBLANK('Raw counts'!P29),"",IF(ISERROR(IF('3'!P28&lt;MAX('3'!$B28:$U28),HLOOKUP('3'!P28+1,'3'!$B28:$U90,'3'!$W$3+3,0),'3'!P90)),'3'!P90,IF('3'!P28&lt;MAX('3'!$B28:$U28),HLOOKUP('3'!P28+1,'3'!$B28:$U90,'3'!$W$3+3,0),'3'!P90)))</f>
        <v/>
      </c>
      <c r="Q28" s="19" t="str">
        <f>IF(ISBLANK('Raw counts'!Q29),"",IF(ISERROR(IF('3'!Q28&lt;MAX('3'!$B28:$U28),HLOOKUP('3'!Q28+1,'3'!$B28:$U90,'3'!$W$3+3,0),'3'!Q90)),'3'!Q90,IF('3'!Q28&lt;MAX('3'!$B28:$U28),HLOOKUP('3'!Q28+1,'3'!$B28:$U90,'3'!$W$3+3,0),'3'!Q90)))</f>
        <v/>
      </c>
      <c r="R28" s="19" t="str">
        <f>IF(ISBLANK('Raw counts'!R29),"",IF(ISERROR(IF('3'!R28&lt;MAX('3'!$B28:$U28),HLOOKUP('3'!R28+1,'3'!$B28:$U90,'3'!$W$3+3,0),'3'!R90)),'3'!R90,IF('3'!R28&lt;MAX('3'!$B28:$U28),HLOOKUP('3'!R28+1,'3'!$B28:$U90,'3'!$W$3+3,0),'3'!R90)))</f>
        <v/>
      </c>
      <c r="S28" s="19" t="str">
        <f>IF(ISBLANK('Raw counts'!S29),"",IF(ISERROR(IF('3'!S28&lt;MAX('3'!$B28:$U28),HLOOKUP('3'!S28+1,'3'!$B28:$U90,'3'!$W$3+3,0),'3'!S90)),'3'!S90,IF('3'!S28&lt;MAX('3'!$B28:$U28),HLOOKUP('3'!S28+1,'3'!$B28:$U90,'3'!$W$3+3,0),'3'!S90)))</f>
        <v/>
      </c>
      <c r="T28" s="19" t="str">
        <f>IF(ISBLANK('Raw counts'!T29),"",IF(ISERROR(IF('3'!T28&lt;MAX('3'!$B28:$U28),HLOOKUP('3'!T28+1,'3'!$B28:$U90,'3'!$W$3+3,0),'3'!T90)),'3'!T90,IF('3'!T28&lt;MAX('3'!$B28:$U28),HLOOKUP('3'!T28+1,'3'!$B28:$U90,'3'!$W$3+3,0),'3'!T90)))</f>
        <v/>
      </c>
      <c r="U28" s="19" t="str">
        <f>IF(ISBLANK('Raw counts'!U29),"",IF(ISERROR(IF('3'!U28&lt;MAX('3'!$B28:$U28),HLOOKUP('3'!U28+1,'3'!$B28:$U90,'3'!$W$3+3,0),'3'!U90)),'3'!U90,IF('3'!U28&lt;MAX('3'!$B28:$U28),HLOOKUP('3'!U28+1,'3'!$B28:$U90,'3'!$W$3+3,0),'3'!U90)))</f>
        <v/>
      </c>
    </row>
    <row r="29" spans="1:21" x14ac:dyDescent="0.15">
      <c r="A29" s="18" t="str">
        <f>IF(ISBLANK('Raw counts'!A30),"",'Raw counts'!A30)</f>
        <v>Attr26</v>
      </c>
      <c r="B29" s="19" t="str">
        <f>IF(ISBLANK('Raw counts'!B30),"",IF(ISERROR(IF('3'!B29&lt;MAX('3'!$B29:$U29),HLOOKUP('3'!B29+1,'3'!$B29:$U91,'3'!$W$3+3,0),'3'!B91)),'3'!B91,IF('3'!B29&lt;MAX('3'!$B29:$U29),HLOOKUP('3'!B29+1,'3'!$B29:$U91,'3'!$W$3+3,0),'3'!B91)))</f>
        <v/>
      </c>
      <c r="C29" s="19" t="str">
        <f>IF(ISBLANK('Raw counts'!C30),"",IF(ISERROR(IF('3'!C29&lt;MAX('3'!$B29:$U29),HLOOKUP('3'!C29+1,'3'!$B29:$U91,'3'!$W$3+3,0),'3'!C91)),'3'!C91,IF('3'!C29&lt;MAX('3'!$B29:$U29),HLOOKUP('3'!C29+1,'3'!$B29:$U91,'3'!$W$3+3,0),'3'!C91)))</f>
        <v/>
      </c>
      <c r="D29" s="19" t="str">
        <f>IF(ISBLANK('Raw counts'!D30),"",IF(ISERROR(IF('3'!D29&lt;MAX('3'!$B29:$U29),HLOOKUP('3'!D29+1,'3'!$B29:$U91,'3'!$W$3+3,0),'3'!D91)),'3'!D91,IF('3'!D29&lt;MAX('3'!$B29:$U29),HLOOKUP('3'!D29+1,'3'!$B29:$U91,'3'!$W$3+3,0),'3'!D91)))</f>
        <v/>
      </c>
      <c r="E29" s="19" t="str">
        <f>IF(ISBLANK('Raw counts'!E30),"",IF(ISERROR(IF('3'!E29&lt;MAX('3'!$B29:$U29),HLOOKUP('3'!E29+1,'3'!$B29:$U91,'3'!$W$3+3,0),'3'!E91)),'3'!E91,IF('3'!E29&lt;MAX('3'!$B29:$U29),HLOOKUP('3'!E29+1,'3'!$B29:$U91,'3'!$W$3+3,0),'3'!E91)))</f>
        <v/>
      </c>
      <c r="F29" s="19" t="str">
        <f>IF(ISBLANK('Raw counts'!F30),"",IF(ISERROR(IF('3'!F29&lt;MAX('3'!$B29:$U29),HLOOKUP('3'!F29+1,'3'!$B29:$U91,'3'!$W$3+3,0),'3'!F91)),'3'!F91,IF('3'!F29&lt;MAX('3'!$B29:$U29),HLOOKUP('3'!F29+1,'3'!$B29:$U91,'3'!$W$3+3,0),'3'!F91)))</f>
        <v/>
      </c>
      <c r="G29" s="19" t="str">
        <f>IF(ISBLANK('Raw counts'!G30),"",IF(ISERROR(IF('3'!G29&lt;MAX('3'!$B29:$U29),HLOOKUP('3'!G29+1,'3'!$B29:$U91,'3'!$W$3+3,0),'3'!G91)),'3'!G91,IF('3'!G29&lt;MAX('3'!$B29:$U29),HLOOKUP('3'!G29+1,'3'!$B29:$U91,'3'!$W$3+3,0),'3'!G91)))</f>
        <v/>
      </c>
      <c r="H29" s="19" t="str">
        <f>IF(ISBLANK('Raw counts'!H30),"",IF(ISERROR(IF('3'!H29&lt;MAX('3'!$B29:$U29),HLOOKUP('3'!H29+1,'3'!$B29:$U91,'3'!$W$3+3,0),'3'!H91)),'3'!H91,IF('3'!H29&lt;MAX('3'!$B29:$U29),HLOOKUP('3'!H29+1,'3'!$B29:$U91,'3'!$W$3+3,0),'3'!H91)))</f>
        <v/>
      </c>
      <c r="I29" s="19" t="str">
        <f>IF(ISBLANK('Raw counts'!I30),"",IF(ISERROR(IF('3'!I29&lt;MAX('3'!$B29:$U29),HLOOKUP('3'!I29+1,'3'!$B29:$U91,'3'!$W$3+3,0),'3'!I91)),'3'!I91,IF('3'!I29&lt;MAX('3'!$B29:$U29),HLOOKUP('3'!I29+1,'3'!$B29:$U91,'3'!$W$3+3,0),'3'!I91)))</f>
        <v/>
      </c>
      <c r="J29" s="19" t="str">
        <f>IF(ISBLANK('Raw counts'!J30),"",IF(ISERROR(IF('3'!J29&lt;MAX('3'!$B29:$U29),HLOOKUP('3'!J29+1,'3'!$B29:$U91,'3'!$W$3+3,0),'3'!J91)),'3'!J91,IF('3'!J29&lt;MAX('3'!$B29:$U29),HLOOKUP('3'!J29+1,'3'!$B29:$U91,'3'!$W$3+3,0),'3'!J91)))</f>
        <v/>
      </c>
      <c r="K29" s="19" t="str">
        <f>IF(ISBLANK('Raw counts'!K30),"",IF(ISERROR(IF('3'!K29&lt;MAX('3'!$B29:$U29),HLOOKUP('3'!K29+1,'3'!$B29:$U91,'3'!$W$3+3,0),'3'!K91)),'3'!K91,IF('3'!K29&lt;MAX('3'!$B29:$U29),HLOOKUP('3'!K29+1,'3'!$B29:$U91,'3'!$W$3+3,0),'3'!K91)))</f>
        <v/>
      </c>
      <c r="L29" s="19" t="str">
        <f>IF(ISBLANK('Raw counts'!L30),"",IF(ISERROR(IF('3'!L29&lt;MAX('3'!$B29:$U29),HLOOKUP('3'!L29+1,'3'!$B29:$U91,'3'!$W$3+3,0),'3'!L91)),'3'!L91,IF('3'!L29&lt;MAX('3'!$B29:$U29),HLOOKUP('3'!L29+1,'3'!$B29:$U91,'3'!$W$3+3,0),'3'!L91)))</f>
        <v/>
      </c>
      <c r="M29" s="19" t="str">
        <f>IF(ISBLANK('Raw counts'!M30),"",IF(ISERROR(IF('3'!M29&lt;MAX('3'!$B29:$U29),HLOOKUP('3'!M29+1,'3'!$B29:$U91,'3'!$W$3+3,0),'3'!M91)),'3'!M91,IF('3'!M29&lt;MAX('3'!$B29:$U29),HLOOKUP('3'!M29+1,'3'!$B29:$U91,'3'!$W$3+3,0),'3'!M91)))</f>
        <v/>
      </c>
      <c r="N29" s="19" t="str">
        <f>IF(ISBLANK('Raw counts'!N30),"",IF(ISERROR(IF('3'!N29&lt;MAX('3'!$B29:$U29),HLOOKUP('3'!N29+1,'3'!$B29:$U91,'3'!$W$3+3,0),'3'!N91)),'3'!N91,IF('3'!N29&lt;MAX('3'!$B29:$U29),HLOOKUP('3'!N29+1,'3'!$B29:$U91,'3'!$W$3+3,0),'3'!N91)))</f>
        <v/>
      </c>
      <c r="O29" s="19" t="str">
        <f>IF(ISBLANK('Raw counts'!O30),"",IF(ISERROR(IF('3'!O29&lt;MAX('3'!$B29:$U29),HLOOKUP('3'!O29+1,'3'!$B29:$U91,'3'!$W$3+3,0),'3'!O91)),'3'!O91,IF('3'!O29&lt;MAX('3'!$B29:$U29),HLOOKUP('3'!O29+1,'3'!$B29:$U91,'3'!$W$3+3,0),'3'!O91)))</f>
        <v/>
      </c>
      <c r="P29" s="19" t="str">
        <f>IF(ISBLANK('Raw counts'!P30),"",IF(ISERROR(IF('3'!P29&lt;MAX('3'!$B29:$U29),HLOOKUP('3'!P29+1,'3'!$B29:$U91,'3'!$W$3+3,0),'3'!P91)),'3'!P91,IF('3'!P29&lt;MAX('3'!$B29:$U29),HLOOKUP('3'!P29+1,'3'!$B29:$U91,'3'!$W$3+3,0),'3'!P91)))</f>
        <v/>
      </c>
      <c r="Q29" s="19" t="str">
        <f>IF(ISBLANK('Raw counts'!Q30),"",IF(ISERROR(IF('3'!Q29&lt;MAX('3'!$B29:$U29),HLOOKUP('3'!Q29+1,'3'!$B29:$U91,'3'!$W$3+3,0),'3'!Q91)),'3'!Q91,IF('3'!Q29&lt;MAX('3'!$B29:$U29),HLOOKUP('3'!Q29+1,'3'!$B29:$U91,'3'!$W$3+3,0),'3'!Q91)))</f>
        <v/>
      </c>
      <c r="R29" s="19" t="str">
        <f>IF(ISBLANK('Raw counts'!R30),"",IF(ISERROR(IF('3'!R29&lt;MAX('3'!$B29:$U29),HLOOKUP('3'!R29+1,'3'!$B29:$U91,'3'!$W$3+3,0),'3'!R91)),'3'!R91,IF('3'!R29&lt;MAX('3'!$B29:$U29),HLOOKUP('3'!R29+1,'3'!$B29:$U91,'3'!$W$3+3,0),'3'!R91)))</f>
        <v/>
      </c>
      <c r="S29" s="19" t="str">
        <f>IF(ISBLANK('Raw counts'!S30),"",IF(ISERROR(IF('3'!S29&lt;MAX('3'!$B29:$U29),HLOOKUP('3'!S29+1,'3'!$B29:$U91,'3'!$W$3+3,0),'3'!S91)),'3'!S91,IF('3'!S29&lt;MAX('3'!$B29:$U29),HLOOKUP('3'!S29+1,'3'!$B29:$U91,'3'!$W$3+3,0),'3'!S91)))</f>
        <v/>
      </c>
      <c r="T29" s="19" t="str">
        <f>IF(ISBLANK('Raw counts'!T30),"",IF(ISERROR(IF('3'!T29&lt;MAX('3'!$B29:$U29),HLOOKUP('3'!T29+1,'3'!$B29:$U91,'3'!$W$3+3,0),'3'!T91)),'3'!T91,IF('3'!T29&lt;MAX('3'!$B29:$U29),HLOOKUP('3'!T29+1,'3'!$B29:$U91,'3'!$W$3+3,0),'3'!T91)))</f>
        <v/>
      </c>
      <c r="U29" s="19" t="str">
        <f>IF(ISBLANK('Raw counts'!U30),"",IF(ISERROR(IF('3'!U29&lt;MAX('3'!$B29:$U29),HLOOKUP('3'!U29+1,'3'!$B29:$U91,'3'!$W$3+3,0),'3'!U91)),'3'!U91,IF('3'!U29&lt;MAX('3'!$B29:$U29),HLOOKUP('3'!U29+1,'3'!$B29:$U91,'3'!$W$3+3,0),'3'!U91)))</f>
        <v/>
      </c>
    </row>
    <row r="30" spans="1:21" x14ac:dyDescent="0.15">
      <c r="A30" s="18" t="str">
        <f>IF(ISBLANK('Raw counts'!A31),"",'Raw counts'!A31)</f>
        <v>Attr27</v>
      </c>
      <c r="B30" s="19" t="str">
        <f>IF(ISBLANK('Raw counts'!B31),"",IF(ISERROR(IF('3'!B30&lt;MAX('3'!$B30:$U30),HLOOKUP('3'!B30+1,'3'!$B30:$U92,'3'!$W$3+3,0),'3'!B92)),'3'!B92,IF('3'!B30&lt;MAX('3'!$B30:$U30),HLOOKUP('3'!B30+1,'3'!$B30:$U92,'3'!$W$3+3,0),'3'!B92)))</f>
        <v/>
      </c>
      <c r="C30" s="19" t="str">
        <f>IF(ISBLANK('Raw counts'!C31),"",IF(ISERROR(IF('3'!C30&lt;MAX('3'!$B30:$U30),HLOOKUP('3'!C30+1,'3'!$B30:$U92,'3'!$W$3+3,0),'3'!C92)),'3'!C92,IF('3'!C30&lt;MAX('3'!$B30:$U30),HLOOKUP('3'!C30+1,'3'!$B30:$U92,'3'!$W$3+3,0),'3'!C92)))</f>
        <v/>
      </c>
      <c r="D30" s="19" t="str">
        <f>IF(ISBLANK('Raw counts'!D31),"",IF(ISERROR(IF('3'!D30&lt;MAX('3'!$B30:$U30),HLOOKUP('3'!D30+1,'3'!$B30:$U92,'3'!$W$3+3,0),'3'!D92)),'3'!D92,IF('3'!D30&lt;MAX('3'!$B30:$U30),HLOOKUP('3'!D30+1,'3'!$B30:$U92,'3'!$W$3+3,0),'3'!D92)))</f>
        <v/>
      </c>
      <c r="E30" s="19" t="str">
        <f>IF(ISBLANK('Raw counts'!E31),"",IF(ISERROR(IF('3'!E30&lt;MAX('3'!$B30:$U30),HLOOKUP('3'!E30+1,'3'!$B30:$U92,'3'!$W$3+3,0),'3'!E92)),'3'!E92,IF('3'!E30&lt;MAX('3'!$B30:$U30),HLOOKUP('3'!E30+1,'3'!$B30:$U92,'3'!$W$3+3,0),'3'!E92)))</f>
        <v/>
      </c>
      <c r="F30" s="19" t="str">
        <f>IF(ISBLANK('Raw counts'!F31),"",IF(ISERROR(IF('3'!F30&lt;MAX('3'!$B30:$U30),HLOOKUP('3'!F30+1,'3'!$B30:$U92,'3'!$W$3+3,0),'3'!F92)),'3'!F92,IF('3'!F30&lt;MAX('3'!$B30:$U30),HLOOKUP('3'!F30+1,'3'!$B30:$U92,'3'!$W$3+3,0),'3'!F92)))</f>
        <v/>
      </c>
      <c r="G30" s="19" t="str">
        <f>IF(ISBLANK('Raw counts'!G31),"",IF(ISERROR(IF('3'!G30&lt;MAX('3'!$B30:$U30),HLOOKUP('3'!G30+1,'3'!$B30:$U92,'3'!$W$3+3,0),'3'!G92)),'3'!G92,IF('3'!G30&lt;MAX('3'!$B30:$U30),HLOOKUP('3'!G30+1,'3'!$B30:$U92,'3'!$W$3+3,0),'3'!G92)))</f>
        <v/>
      </c>
      <c r="H30" s="19" t="str">
        <f>IF(ISBLANK('Raw counts'!H31),"",IF(ISERROR(IF('3'!H30&lt;MAX('3'!$B30:$U30),HLOOKUP('3'!H30+1,'3'!$B30:$U92,'3'!$W$3+3,0),'3'!H92)),'3'!H92,IF('3'!H30&lt;MAX('3'!$B30:$U30),HLOOKUP('3'!H30+1,'3'!$B30:$U92,'3'!$W$3+3,0),'3'!H92)))</f>
        <v/>
      </c>
      <c r="I30" s="19" t="str">
        <f>IF(ISBLANK('Raw counts'!I31),"",IF(ISERROR(IF('3'!I30&lt;MAX('3'!$B30:$U30),HLOOKUP('3'!I30+1,'3'!$B30:$U92,'3'!$W$3+3,0),'3'!I92)),'3'!I92,IF('3'!I30&lt;MAX('3'!$B30:$U30),HLOOKUP('3'!I30+1,'3'!$B30:$U92,'3'!$W$3+3,0),'3'!I92)))</f>
        <v/>
      </c>
      <c r="J30" s="19" t="str">
        <f>IF(ISBLANK('Raw counts'!J31),"",IF(ISERROR(IF('3'!J30&lt;MAX('3'!$B30:$U30),HLOOKUP('3'!J30+1,'3'!$B30:$U92,'3'!$W$3+3,0),'3'!J92)),'3'!J92,IF('3'!J30&lt;MAX('3'!$B30:$U30),HLOOKUP('3'!J30+1,'3'!$B30:$U92,'3'!$W$3+3,0),'3'!J92)))</f>
        <v/>
      </c>
      <c r="K30" s="19" t="str">
        <f>IF(ISBLANK('Raw counts'!K31),"",IF(ISERROR(IF('3'!K30&lt;MAX('3'!$B30:$U30),HLOOKUP('3'!K30+1,'3'!$B30:$U92,'3'!$W$3+3,0),'3'!K92)),'3'!K92,IF('3'!K30&lt;MAX('3'!$B30:$U30),HLOOKUP('3'!K30+1,'3'!$B30:$U92,'3'!$W$3+3,0),'3'!K92)))</f>
        <v/>
      </c>
      <c r="L30" s="19" t="str">
        <f>IF(ISBLANK('Raw counts'!L31),"",IF(ISERROR(IF('3'!L30&lt;MAX('3'!$B30:$U30),HLOOKUP('3'!L30+1,'3'!$B30:$U92,'3'!$W$3+3,0),'3'!L92)),'3'!L92,IF('3'!L30&lt;MAX('3'!$B30:$U30),HLOOKUP('3'!L30+1,'3'!$B30:$U92,'3'!$W$3+3,0),'3'!L92)))</f>
        <v/>
      </c>
      <c r="M30" s="19" t="str">
        <f>IF(ISBLANK('Raw counts'!M31),"",IF(ISERROR(IF('3'!M30&lt;MAX('3'!$B30:$U30),HLOOKUP('3'!M30+1,'3'!$B30:$U92,'3'!$W$3+3,0),'3'!M92)),'3'!M92,IF('3'!M30&lt;MAX('3'!$B30:$U30),HLOOKUP('3'!M30+1,'3'!$B30:$U92,'3'!$W$3+3,0),'3'!M92)))</f>
        <v/>
      </c>
      <c r="N30" s="19" t="str">
        <f>IF(ISBLANK('Raw counts'!N31),"",IF(ISERROR(IF('3'!N30&lt;MAX('3'!$B30:$U30),HLOOKUP('3'!N30+1,'3'!$B30:$U92,'3'!$W$3+3,0),'3'!N92)),'3'!N92,IF('3'!N30&lt;MAX('3'!$B30:$U30),HLOOKUP('3'!N30+1,'3'!$B30:$U92,'3'!$W$3+3,0),'3'!N92)))</f>
        <v/>
      </c>
      <c r="O30" s="19" t="str">
        <f>IF(ISBLANK('Raw counts'!O31),"",IF(ISERROR(IF('3'!O30&lt;MAX('3'!$B30:$U30),HLOOKUP('3'!O30+1,'3'!$B30:$U92,'3'!$W$3+3,0),'3'!O92)),'3'!O92,IF('3'!O30&lt;MAX('3'!$B30:$U30),HLOOKUP('3'!O30+1,'3'!$B30:$U92,'3'!$W$3+3,0),'3'!O92)))</f>
        <v/>
      </c>
      <c r="P30" s="19" t="str">
        <f>IF(ISBLANK('Raw counts'!P31),"",IF(ISERROR(IF('3'!P30&lt;MAX('3'!$B30:$U30),HLOOKUP('3'!P30+1,'3'!$B30:$U92,'3'!$W$3+3,0),'3'!P92)),'3'!P92,IF('3'!P30&lt;MAX('3'!$B30:$U30),HLOOKUP('3'!P30+1,'3'!$B30:$U92,'3'!$W$3+3,0),'3'!P92)))</f>
        <v/>
      </c>
      <c r="Q30" s="19" t="str">
        <f>IF(ISBLANK('Raw counts'!Q31),"",IF(ISERROR(IF('3'!Q30&lt;MAX('3'!$B30:$U30),HLOOKUP('3'!Q30+1,'3'!$B30:$U92,'3'!$W$3+3,0),'3'!Q92)),'3'!Q92,IF('3'!Q30&lt;MAX('3'!$B30:$U30),HLOOKUP('3'!Q30+1,'3'!$B30:$U92,'3'!$W$3+3,0),'3'!Q92)))</f>
        <v/>
      </c>
      <c r="R30" s="19" t="str">
        <f>IF(ISBLANK('Raw counts'!R31),"",IF(ISERROR(IF('3'!R30&lt;MAX('3'!$B30:$U30),HLOOKUP('3'!R30+1,'3'!$B30:$U92,'3'!$W$3+3,0),'3'!R92)),'3'!R92,IF('3'!R30&lt;MAX('3'!$B30:$U30),HLOOKUP('3'!R30+1,'3'!$B30:$U92,'3'!$W$3+3,0),'3'!R92)))</f>
        <v/>
      </c>
      <c r="S30" s="19" t="str">
        <f>IF(ISBLANK('Raw counts'!S31),"",IF(ISERROR(IF('3'!S30&lt;MAX('3'!$B30:$U30),HLOOKUP('3'!S30+1,'3'!$B30:$U92,'3'!$W$3+3,0),'3'!S92)),'3'!S92,IF('3'!S30&lt;MAX('3'!$B30:$U30),HLOOKUP('3'!S30+1,'3'!$B30:$U92,'3'!$W$3+3,0),'3'!S92)))</f>
        <v/>
      </c>
      <c r="T30" s="19" t="str">
        <f>IF(ISBLANK('Raw counts'!T31),"",IF(ISERROR(IF('3'!T30&lt;MAX('3'!$B30:$U30),HLOOKUP('3'!T30+1,'3'!$B30:$U92,'3'!$W$3+3,0),'3'!T92)),'3'!T92,IF('3'!T30&lt;MAX('3'!$B30:$U30),HLOOKUP('3'!T30+1,'3'!$B30:$U92,'3'!$W$3+3,0),'3'!T92)))</f>
        <v/>
      </c>
      <c r="U30" s="19" t="str">
        <f>IF(ISBLANK('Raw counts'!U31),"",IF(ISERROR(IF('3'!U30&lt;MAX('3'!$B30:$U30),HLOOKUP('3'!U30+1,'3'!$B30:$U92,'3'!$W$3+3,0),'3'!U92)),'3'!U92,IF('3'!U30&lt;MAX('3'!$B30:$U30),HLOOKUP('3'!U30+1,'3'!$B30:$U92,'3'!$W$3+3,0),'3'!U92)))</f>
        <v/>
      </c>
    </row>
    <row r="31" spans="1:21" x14ac:dyDescent="0.15">
      <c r="A31" s="18" t="str">
        <f>IF(ISBLANK('Raw counts'!A32),"",'Raw counts'!A32)</f>
        <v>Attr28</v>
      </c>
      <c r="B31" s="19" t="str">
        <f>IF(ISBLANK('Raw counts'!B32),"",IF(ISERROR(IF('3'!B31&lt;MAX('3'!$B31:$U31),HLOOKUP('3'!B31+1,'3'!$B31:$U93,'3'!$W$3+3,0),'3'!B93)),'3'!B93,IF('3'!B31&lt;MAX('3'!$B31:$U31),HLOOKUP('3'!B31+1,'3'!$B31:$U93,'3'!$W$3+3,0),'3'!B93)))</f>
        <v/>
      </c>
      <c r="C31" s="19" t="str">
        <f>IF(ISBLANK('Raw counts'!C32),"",IF(ISERROR(IF('3'!C31&lt;MAX('3'!$B31:$U31),HLOOKUP('3'!C31+1,'3'!$B31:$U93,'3'!$W$3+3,0),'3'!C93)),'3'!C93,IF('3'!C31&lt;MAX('3'!$B31:$U31),HLOOKUP('3'!C31+1,'3'!$B31:$U93,'3'!$W$3+3,0),'3'!C93)))</f>
        <v/>
      </c>
      <c r="D31" s="19" t="str">
        <f>IF(ISBLANK('Raw counts'!D32),"",IF(ISERROR(IF('3'!D31&lt;MAX('3'!$B31:$U31),HLOOKUP('3'!D31+1,'3'!$B31:$U93,'3'!$W$3+3,0),'3'!D93)),'3'!D93,IF('3'!D31&lt;MAX('3'!$B31:$U31),HLOOKUP('3'!D31+1,'3'!$B31:$U93,'3'!$W$3+3,0),'3'!D93)))</f>
        <v/>
      </c>
      <c r="E31" s="19" t="str">
        <f>IF(ISBLANK('Raw counts'!E32),"",IF(ISERROR(IF('3'!E31&lt;MAX('3'!$B31:$U31),HLOOKUP('3'!E31+1,'3'!$B31:$U93,'3'!$W$3+3,0),'3'!E93)),'3'!E93,IF('3'!E31&lt;MAX('3'!$B31:$U31),HLOOKUP('3'!E31+1,'3'!$B31:$U93,'3'!$W$3+3,0),'3'!E93)))</f>
        <v/>
      </c>
      <c r="F31" s="19" t="str">
        <f>IF(ISBLANK('Raw counts'!F32),"",IF(ISERROR(IF('3'!F31&lt;MAX('3'!$B31:$U31),HLOOKUP('3'!F31+1,'3'!$B31:$U93,'3'!$W$3+3,0),'3'!F93)),'3'!F93,IF('3'!F31&lt;MAX('3'!$B31:$U31),HLOOKUP('3'!F31+1,'3'!$B31:$U93,'3'!$W$3+3,0),'3'!F93)))</f>
        <v/>
      </c>
      <c r="G31" s="19" t="str">
        <f>IF(ISBLANK('Raw counts'!G32),"",IF(ISERROR(IF('3'!G31&lt;MAX('3'!$B31:$U31),HLOOKUP('3'!G31+1,'3'!$B31:$U93,'3'!$W$3+3,0),'3'!G93)),'3'!G93,IF('3'!G31&lt;MAX('3'!$B31:$U31),HLOOKUP('3'!G31+1,'3'!$B31:$U93,'3'!$W$3+3,0),'3'!G93)))</f>
        <v/>
      </c>
      <c r="H31" s="19" t="str">
        <f>IF(ISBLANK('Raw counts'!H32),"",IF(ISERROR(IF('3'!H31&lt;MAX('3'!$B31:$U31),HLOOKUP('3'!H31+1,'3'!$B31:$U93,'3'!$W$3+3,0),'3'!H93)),'3'!H93,IF('3'!H31&lt;MAX('3'!$B31:$U31),HLOOKUP('3'!H31+1,'3'!$B31:$U93,'3'!$W$3+3,0),'3'!H93)))</f>
        <v/>
      </c>
      <c r="I31" s="19" t="str">
        <f>IF(ISBLANK('Raw counts'!I32),"",IF(ISERROR(IF('3'!I31&lt;MAX('3'!$B31:$U31),HLOOKUP('3'!I31+1,'3'!$B31:$U93,'3'!$W$3+3,0),'3'!I93)),'3'!I93,IF('3'!I31&lt;MAX('3'!$B31:$U31),HLOOKUP('3'!I31+1,'3'!$B31:$U93,'3'!$W$3+3,0),'3'!I93)))</f>
        <v/>
      </c>
      <c r="J31" s="19" t="str">
        <f>IF(ISBLANK('Raw counts'!J32),"",IF(ISERROR(IF('3'!J31&lt;MAX('3'!$B31:$U31),HLOOKUP('3'!J31+1,'3'!$B31:$U93,'3'!$W$3+3,0),'3'!J93)),'3'!J93,IF('3'!J31&lt;MAX('3'!$B31:$U31),HLOOKUP('3'!J31+1,'3'!$B31:$U93,'3'!$W$3+3,0),'3'!J93)))</f>
        <v/>
      </c>
      <c r="K31" s="19" t="str">
        <f>IF(ISBLANK('Raw counts'!K32),"",IF(ISERROR(IF('3'!K31&lt;MAX('3'!$B31:$U31),HLOOKUP('3'!K31+1,'3'!$B31:$U93,'3'!$W$3+3,0),'3'!K93)),'3'!K93,IF('3'!K31&lt;MAX('3'!$B31:$U31),HLOOKUP('3'!K31+1,'3'!$B31:$U93,'3'!$W$3+3,0),'3'!K93)))</f>
        <v/>
      </c>
      <c r="L31" s="19" t="str">
        <f>IF(ISBLANK('Raw counts'!L32),"",IF(ISERROR(IF('3'!L31&lt;MAX('3'!$B31:$U31),HLOOKUP('3'!L31+1,'3'!$B31:$U93,'3'!$W$3+3,0),'3'!L93)),'3'!L93,IF('3'!L31&lt;MAX('3'!$B31:$U31),HLOOKUP('3'!L31+1,'3'!$B31:$U93,'3'!$W$3+3,0),'3'!L93)))</f>
        <v/>
      </c>
      <c r="M31" s="19" t="str">
        <f>IF(ISBLANK('Raw counts'!M32),"",IF(ISERROR(IF('3'!M31&lt;MAX('3'!$B31:$U31),HLOOKUP('3'!M31+1,'3'!$B31:$U93,'3'!$W$3+3,0),'3'!M93)),'3'!M93,IF('3'!M31&lt;MAX('3'!$B31:$U31),HLOOKUP('3'!M31+1,'3'!$B31:$U93,'3'!$W$3+3,0),'3'!M93)))</f>
        <v/>
      </c>
      <c r="N31" s="19" t="str">
        <f>IF(ISBLANK('Raw counts'!N32),"",IF(ISERROR(IF('3'!N31&lt;MAX('3'!$B31:$U31),HLOOKUP('3'!N31+1,'3'!$B31:$U93,'3'!$W$3+3,0),'3'!N93)),'3'!N93,IF('3'!N31&lt;MAX('3'!$B31:$U31),HLOOKUP('3'!N31+1,'3'!$B31:$U93,'3'!$W$3+3,0),'3'!N93)))</f>
        <v/>
      </c>
      <c r="O31" s="19" t="str">
        <f>IF(ISBLANK('Raw counts'!O32),"",IF(ISERROR(IF('3'!O31&lt;MAX('3'!$B31:$U31),HLOOKUP('3'!O31+1,'3'!$B31:$U93,'3'!$W$3+3,0),'3'!O93)),'3'!O93,IF('3'!O31&lt;MAX('3'!$B31:$U31),HLOOKUP('3'!O31+1,'3'!$B31:$U93,'3'!$W$3+3,0),'3'!O93)))</f>
        <v/>
      </c>
      <c r="P31" s="19" t="str">
        <f>IF(ISBLANK('Raw counts'!P32),"",IF(ISERROR(IF('3'!P31&lt;MAX('3'!$B31:$U31),HLOOKUP('3'!P31+1,'3'!$B31:$U93,'3'!$W$3+3,0),'3'!P93)),'3'!P93,IF('3'!P31&lt;MAX('3'!$B31:$U31),HLOOKUP('3'!P31+1,'3'!$B31:$U93,'3'!$W$3+3,0),'3'!P93)))</f>
        <v/>
      </c>
      <c r="Q31" s="19" t="str">
        <f>IF(ISBLANK('Raw counts'!Q32),"",IF(ISERROR(IF('3'!Q31&lt;MAX('3'!$B31:$U31),HLOOKUP('3'!Q31+1,'3'!$B31:$U93,'3'!$W$3+3,0),'3'!Q93)),'3'!Q93,IF('3'!Q31&lt;MAX('3'!$B31:$U31),HLOOKUP('3'!Q31+1,'3'!$B31:$U93,'3'!$W$3+3,0),'3'!Q93)))</f>
        <v/>
      </c>
      <c r="R31" s="19" t="str">
        <f>IF(ISBLANK('Raw counts'!R32),"",IF(ISERROR(IF('3'!R31&lt;MAX('3'!$B31:$U31),HLOOKUP('3'!R31+1,'3'!$B31:$U93,'3'!$W$3+3,0),'3'!R93)),'3'!R93,IF('3'!R31&lt;MAX('3'!$B31:$U31),HLOOKUP('3'!R31+1,'3'!$B31:$U93,'3'!$W$3+3,0),'3'!R93)))</f>
        <v/>
      </c>
      <c r="S31" s="19" t="str">
        <f>IF(ISBLANK('Raw counts'!S32),"",IF(ISERROR(IF('3'!S31&lt;MAX('3'!$B31:$U31),HLOOKUP('3'!S31+1,'3'!$B31:$U93,'3'!$W$3+3,0),'3'!S93)),'3'!S93,IF('3'!S31&lt;MAX('3'!$B31:$U31),HLOOKUP('3'!S31+1,'3'!$B31:$U93,'3'!$W$3+3,0),'3'!S93)))</f>
        <v/>
      </c>
      <c r="T31" s="19" t="str">
        <f>IF(ISBLANK('Raw counts'!T32),"",IF(ISERROR(IF('3'!T31&lt;MAX('3'!$B31:$U31),HLOOKUP('3'!T31+1,'3'!$B31:$U93,'3'!$W$3+3,0),'3'!T93)),'3'!T93,IF('3'!T31&lt;MAX('3'!$B31:$U31),HLOOKUP('3'!T31+1,'3'!$B31:$U93,'3'!$W$3+3,0),'3'!T93)))</f>
        <v/>
      </c>
      <c r="U31" s="19" t="str">
        <f>IF(ISBLANK('Raw counts'!U32),"",IF(ISERROR(IF('3'!U31&lt;MAX('3'!$B31:$U31),HLOOKUP('3'!U31+1,'3'!$B31:$U93,'3'!$W$3+3,0),'3'!U93)),'3'!U93,IF('3'!U31&lt;MAX('3'!$B31:$U31),HLOOKUP('3'!U31+1,'3'!$B31:$U93,'3'!$W$3+3,0),'3'!U93)))</f>
        <v/>
      </c>
    </row>
    <row r="32" spans="1:21" x14ac:dyDescent="0.15">
      <c r="A32" s="18" t="str">
        <f>IF(ISBLANK('Raw counts'!A33),"",'Raw counts'!A33)</f>
        <v>Attr29</v>
      </c>
      <c r="B32" s="19" t="str">
        <f>IF(ISBLANK('Raw counts'!B33),"",IF(ISERROR(IF('3'!B32&lt;MAX('3'!$B32:$U32),HLOOKUP('3'!B32+1,'3'!$B32:$U94,'3'!$W$3+3,0),'3'!B94)),'3'!B94,IF('3'!B32&lt;MAX('3'!$B32:$U32),HLOOKUP('3'!B32+1,'3'!$B32:$U94,'3'!$W$3+3,0),'3'!B94)))</f>
        <v/>
      </c>
      <c r="C32" s="19" t="str">
        <f>IF(ISBLANK('Raw counts'!C33),"",IF(ISERROR(IF('3'!C32&lt;MAX('3'!$B32:$U32),HLOOKUP('3'!C32+1,'3'!$B32:$U94,'3'!$W$3+3,0),'3'!C94)),'3'!C94,IF('3'!C32&lt;MAX('3'!$B32:$U32),HLOOKUP('3'!C32+1,'3'!$B32:$U94,'3'!$W$3+3,0),'3'!C94)))</f>
        <v/>
      </c>
      <c r="D32" s="19" t="str">
        <f>IF(ISBLANK('Raw counts'!D33),"",IF(ISERROR(IF('3'!D32&lt;MAX('3'!$B32:$U32),HLOOKUP('3'!D32+1,'3'!$B32:$U94,'3'!$W$3+3,0),'3'!D94)),'3'!D94,IF('3'!D32&lt;MAX('3'!$B32:$U32),HLOOKUP('3'!D32+1,'3'!$B32:$U94,'3'!$W$3+3,0),'3'!D94)))</f>
        <v/>
      </c>
      <c r="E32" s="19" t="str">
        <f>IF(ISBLANK('Raw counts'!E33),"",IF(ISERROR(IF('3'!E32&lt;MAX('3'!$B32:$U32),HLOOKUP('3'!E32+1,'3'!$B32:$U94,'3'!$W$3+3,0),'3'!E94)),'3'!E94,IF('3'!E32&lt;MAX('3'!$B32:$U32),HLOOKUP('3'!E32+1,'3'!$B32:$U94,'3'!$W$3+3,0),'3'!E94)))</f>
        <v/>
      </c>
      <c r="F32" s="19" t="str">
        <f>IF(ISBLANK('Raw counts'!F33),"",IF(ISERROR(IF('3'!F32&lt;MAX('3'!$B32:$U32),HLOOKUP('3'!F32+1,'3'!$B32:$U94,'3'!$W$3+3,0),'3'!F94)),'3'!F94,IF('3'!F32&lt;MAX('3'!$B32:$U32),HLOOKUP('3'!F32+1,'3'!$B32:$U94,'3'!$W$3+3,0),'3'!F94)))</f>
        <v/>
      </c>
      <c r="G32" s="19" t="str">
        <f>IF(ISBLANK('Raw counts'!G33),"",IF(ISERROR(IF('3'!G32&lt;MAX('3'!$B32:$U32),HLOOKUP('3'!G32+1,'3'!$B32:$U94,'3'!$W$3+3,0),'3'!G94)),'3'!G94,IF('3'!G32&lt;MAX('3'!$B32:$U32),HLOOKUP('3'!G32+1,'3'!$B32:$U94,'3'!$W$3+3,0),'3'!G94)))</f>
        <v/>
      </c>
      <c r="H32" s="19" t="str">
        <f>IF(ISBLANK('Raw counts'!H33),"",IF(ISERROR(IF('3'!H32&lt;MAX('3'!$B32:$U32),HLOOKUP('3'!H32+1,'3'!$B32:$U94,'3'!$W$3+3,0),'3'!H94)),'3'!H94,IF('3'!H32&lt;MAX('3'!$B32:$U32),HLOOKUP('3'!H32+1,'3'!$B32:$U94,'3'!$W$3+3,0),'3'!H94)))</f>
        <v/>
      </c>
      <c r="I32" s="19" t="str">
        <f>IF(ISBLANK('Raw counts'!I33),"",IF(ISERROR(IF('3'!I32&lt;MAX('3'!$B32:$U32),HLOOKUP('3'!I32+1,'3'!$B32:$U94,'3'!$W$3+3,0),'3'!I94)),'3'!I94,IF('3'!I32&lt;MAX('3'!$B32:$U32),HLOOKUP('3'!I32+1,'3'!$B32:$U94,'3'!$W$3+3,0),'3'!I94)))</f>
        <v/>
      </c>
      <c r="J32" s="19" t="str">
        <f>IF(ISBLANK('Raw counts'!J33),"",IF(ISERROR(IF('3'!J32&lt;MAX('3'!$B32:$U32),HLOOKUP('3'!J32+1,'3'!$B32:$U94,'3'!$W$3+3,0),'3'!J94)),'3'!J94,IF('3'!J32&lt;MAX('3'!$B32:$U32),HLOOKUP('3'!J32+1,'3'!$B32:$U94,'3'!$W$3+3,0),'3'!J94)))</f>
        <v/>
      </c>
      <c r="K32" s="19" t="str">
        <f>IF(ISBLANK('Raw counts'!K33),"",IF(ISERROR(IF('3'!K32&lt;MAX('3'!$B32:$U32),HLOOKUP('3'!K32+1,'3'!$B32:$U94,'3'!$W$3+3,0),'3'!K94)),'3'!K94,IF('3'!K32&lt;MAX('3'!$B32:$U32),HLOOKUP('3'!K32+1,'3'!$B32:$U94,'3'!$W$3+3,0),'3'!K94)))</f>
        <v/>
      </c>
      <c r="L32" s="19" t="str">
        <f>IF(ISBLANK('Raw counts'!L33),"",IF(ISERROR(IF('3'!L32&lt;MAX('3'!$B32:$U32),HLOOKUP('3'!L32+1,'3'!$B32:$U94,'3'!$W$3+3,0),'3'!L94)),'3'!L94,IF('3'!L32&lt;MAX('3'!$B32:$U32),HLOOKUP('3'!L32+1,'3'!$B32:$U94,'3'!$W$3+3,0),'3'!L94)))</f>
        <v/>
      </c>
      <c r="M32" s="19" t="str">
        <f>IF(ISBLANK('Raw counts'!M33),"",IF(ISERROR(IF('3'!M32&lt;MAX('3'!$B32:$U32),HLOOKUP('3'!M32+1,'3'!$B32:$U94,'3'!$W$3+3,0),'3'!M94)),'3'!M94,IF('3'!M32&lt;MAX('3'!$B32:$U32),HLOOKUP('3'!M32+1,'3'!$B32:$U94,'3'!$W$3+3,0),'3'!M94)))</f>
        <v/>
      </c>
      <c r="N32" s="19" t="str">
        <f>IF(ISBLANK('Raw counts'!N33),"",IF(ISERROR(IF('3'!N32&lt;MAX('3'!$B32:$U32),HLOOKUP('3'!N32+1,'3'!$B32:$U94,'3'!$W$3+3,0),'3'!N94)),'3'!N94,IF('3'!N32&lt;MAX('3'!$B32:$U32),HLOOKUP('3'!N32+1,'3'!$B32:$U94,'3'!$W$3+3,0),'3'!N94)))</f>
        <v/>
      </c>
      <c r="O32" s="19" t="str">
        <f>IF(ISBLANK('Raw counts'!O33),"",IF(ISERROR(IF('3'!O32&lt;MAX('3'!$B32:$U32),HLOOKUP('3'!O32+1,'3'!$B32:$U94,'3'!$W$3+3,0),'3'!O94)),'3'!O94,IF('3'!O32&lt;MAX('3'!$B32:$U32),HLOOKUP('3'!O32+1,'3'!$B32:$U94,'3'!$W$3+3,0),'3'!O94)))</f>
        <v/>
      </c>
      <c r="P32" s="19" t="str">
        <f>IF(ISBLANK('Raw counts'!P33),"",IF(ISERROR(IF('3'!P32&lt;MAX('3'!$B32:$U32),HLOOKUP('3'!P32+1,'3'!$B32:$U94,'3'!$W$3+3,0),'3'!P94)),'3'!P94,IF('3'!P32&lt;MAX('3'!$B32:$U32),HLOOKUP('3'!P32+1,'3'!$B32:$U94,'3'!$W$3+3,0),'3'!P94)))</f>
        <v/>
      </c>
      <c r="Q32" s="19" t="str">
        <f>IF(ISBLANK('Raw counts'!Q33),"",IF(ISERROR(IF('3'!Q32&lt;MAX('3'!$B32:$U32),HLOOKUP('3'!Q32+1,'3'!$B32:$U94,'3'!$W$3+3,0),'3'!Q94)),'3'!Q94,IF('3'!Q32&lt;MAX('3'!$B32:$U32),HLOOKUP('3'!Q32+1,'3'!$B32:$U94,'3'!$W$3+3,0),'3'!Q94)))</f>
        <v/>
      </c>
      <c r="R32" s="19" t="str">
        <f>IF(ISBLANK('Raw counts'!R33),"",IF(ISERROR(IF('3'!R32&lt;MAX('3'!$B32:$U32),HLOOKUP('3'!R32+1,'3'!$B32:$U94,'3'!$W$3+3,0),'3'!R94)),'3'!R94,IF('3'!R32&lt;MAX('3'!$B32:$U32),HLOOKUP('3'!R32+1,'3'!$B32:$U94,'3'!$W$3+3,0),'3'!R94)))</f>
        <v/>
      </c>
      <c r="S32" s="19" t="str">
        <f>IF(ISBLANK('Raw counts'!S33),"",IF(ISERROR(IF('3'!S32&lt;MAX('3'!$B32:$U32),HLOOKUP('3'!S32+1,'3'!$B32:$U94,'3'!$W$3+3,0),'3'!S94)),'3'!S94,IF('3'!S32&lt;MAX('3'!$B32:$U32),HLOOKUP('3'!S32+1,'3'!$B32:$U94,'3'!$W$3+3,0),'3'!S94)))</f>
        <v/>
      </c>
      <c r="T32" s="19" t="str">
        <f>IF(ISBLANK('Raw counts'!T33),"",IF(ISERROR(IF('3'!T32&lt;MAX('3'!$B32:$U32),HLOOKUP('3'!T32+1,'3'!$B32:$U94,'3'!$W$3+3,0),'3'!T94)),'3'!T94,IF('3'!T32&lt;MAX('3'!$B32:$U32),HLOOKUP('3'!T32+1,'3'!$B32:$U94,'3'!$W$3+3,0),'3'!T94)))</f>
        <v/>
      </c>
      <c r="U32" s="19" t="str">
        <f>IF(ISBLANK('Raw counts'!U33),"",IF(ISERROR(IF('3'!U32&lt;MAX('3'!$B32:$U32),HLOOKUP('3'!U32+1,'3'!$B32:$U94,'3'!$W$3+3,0),'3'!U94)),'3'!U94,IF('3'!U32&lt;MAX('3'!$B32:$U32),HLOOKUP('3'!U32+1,'3'!$B32:$U94,'3'!$W$3+3,0),'3'!U94)))</f>
        <v/>
      </c>
    </row>
    <row r="33" spans="1:21" x14ac:dyDescent="0.15">
      <c r="A33" s="18" t="str">
        <f>IF(ISBLANK('Raw counts'!A34),"",'Raw counts'!A34)</f>
        <v>Attr30</v>
      </c>
      <c r="B33" s="19" t="str">
        <f>IF(ISBLANK('Raw counts'!B34),"",IF(ISERROR(IF('3'!B33&lt;MAX('3'!$B33:$U33),HLOOKUP('3'!B33+1,'3'!$B33:$U95,'3'!$W$3+3,0),'3'!B95)),'3'!B95,IF('3'!B33&lt;MAX('3'!$B33:$U33),HLOOKUP('3'!B33+1,'3'!$B33:$U95,'3'!$W$3+3,0),'3'!B95)))</f>
        <v/>
      </c>
      <c r="C33" s="19" t="str">
        <f>IF(ISBLANK('Raw counts'!C34),"",IF(ISERROR(IF('3'!C33&lt;MAX('3'!$B33:$U33),HLOOKUP('3'!C33+1,'3'!$B33:$U95,'3'!$W$3+3,0),'3'!C95)),'3'!C95,IF('3'!C33&lt;MAX('3'!$B33:$U33),HLOOKUP('3'!C33+1,'3'!$B33:$U95,'3'!$W$3+3,0),'3'!C95)))</f>
        <v/>
      </c>
      <c r="D33" s="19" t="str">
        <f>IF(ISBLANK('Raw counts'!D34),"",IF(ISERROR(IF('3'!D33&lt;MAX('3'!$B33:$U33),HLOOKUP('3'!D33+1,'3'!$B33:$U95,'3'!$W$3+3,0),'3'!D95)),'3'!D95,IF('3'!D33&lt;MAX('3'!$B33:$U33),HLOOKUP('3'!D33+1,'3'!$B33:$U95,'3'!$W$3+3,0),'3'!D95)))</f>
        <v/>
      </c>
      <c r="E33" s="19" t="str">
        <f>IF(ISBLANK('Raw counts'!E34),"",IF(ISERROR(IF('3'!E33&lt;MAX('3'!$B33:$U33),HLOOKUP('3'!E33+1,'3'!$B33:$U95,'3'!$W$3+3,0),'3'!E95)),'3'!E95,IF('3'!E33&lt;MAX('3'!$B33:$U33),HLOOKUP('3'!E33+1,'3'!$B33:$U95,'3'!$W$3+3,0),'3'!E95)))</f>
        <v/>
      </c>
      <c r="F33" s="19" t="str">
        <f>IF(ISBLANK('Raw counts'!F34),"",IF(ISERROR(IF('3'!F33&lt;MAX('3'!$B33:$U33),HLOOKUP('3'!F33+1,'3'!$B33:$U95,'3'!$W$3+3,0),'3'!F95)),'3'!F95,IF('3'!F33&lt;MAX('3'!$B33:$U33),HLOOKUP('3'!F33+1,'3'!$B33:$U95,'3'!$W$3+3,0),'3'!F95)))</f>
        <v/>
      </c>
      <c r="G33" s="19" t="str">
        <f>IF(ISBLANK('Raw counts'!G34),"",IF(ISERROR(IF('3'!G33&lt;MAX('3'!$B33:$U33),HLOOKUP('3'!G33+1,'3'!$B33:$U95,'3'!$W$3+3,0),'3'!G95)),'3'!G95,IF('3'!G33&lt;MAX('3'!$B33:$U33),HLOOKUP('3'!G33+1,'3'!$B33:$U95,'3'!$W$3+3,0),'3'!G95)))</f>
        <v/>
      </c>
      <c r="H33" s="19" t="str">
        <f>IF(ISBLANK('Raw counts'!H34),"",IF(ISERROR(IF('3'!H33&lt;MAX('3'!$B33:$U33),HLOOKUP('3'!H33+1,'3'!$B33:$U95,'3'!$W$3+3,0),'3'!H95)),'3'!H95,IF('3'!H33&lt;MAX('3'!$B33:$U33),HLOOKUP('3'!H33+1,'3'!$B33:$U95,'3'!$W$3+3,0),'3'!H95)))</f>
        <v/>
      </c>
      <c r="I33" s="19" t="str">
        <f>IF(ISBLANK('Raw counts'!I34),"",IF(ISERROR(IF('3'!I33&lt;MAX('3'!$B33:$U33),HLOOKUP('3'!I33+1,'3'!$B33:$U95,'3'!$W$3+3,0),'3'!I95)),'3'!I95,IF('3'!I33&lt;MAX('3'!$B33:$U33),HLOOKUP('3'!I33+1,'3'!$B33:$U95,'3'!$W$3+3,0),'3'!I95)))</f>
        <v/>
      </c>
      <c r="J33" s="19" t="str">
        <f>IF(ISBLANK('Raw counts'!J34),"",IF(ISERROR(IF('3'!J33&lt;MAX('3'!$B33:$U33),HLOOKUP('3'!J33+1,'3'!$B33:$U95,'3'!$W$3+3,0),'3'!J95)),'3'!J95,IF('3'!J33&lt;MAX('3'!$B33:$U33),HLOOKUP('3'!J33+1,'3'!$B33:$U95,'3'!$W$3+3,0),'3'!J95)))</f>
        <v/>
      </c>
      <c r="K33" s="19" t="str">
        <f>IF(ISBLANK('Raw counts'!K34),"",IF(ISERROR(IF('3'!K33&lt;MAX('3'!$B33:$U33),HLOOKUP('3'!K33+1,'3'!$B33:$U95,'3'!$W$3+3,0),'3'!K95)),'3'!K95,IF('3'!K33&lt;MAX('3'!$B33:$U33),HLOOKUP('3'!K33+1,'3'!$B33:$U95,'3'!$W$3+3,0),'3'!K95)))</f>
        <v/>
      </c>
      <c r="L33" s="19" t="str">
        <f>IF(ISBLANK('Raw counts'!L34),"",IF(ISERROR(IF('3'!L33&lt;MAX('3'!$B33:$U33),HLOOKUP('3'!L33+1,'3'!$B33:$U95,'3'!$W$3+3,0),'3'!L95)),'3'!L95,IF('3'!L33&lt;MAX('3'!$B33:$U33),HLOOKUP('3'!L33+1,'3'!$B33:$U95,'3'!$W$3+3,0),'3'!L95)))</f>
        <v/>
      </c>
      <c r="M33" s="19" t="str">
        <f>IF(ISBLANK('Raw counts'!M34),"",IF(ISERROR(IF('3'!M33&lt;MAX('3'!$B33:$U33),HLOOKUP('3'!M33+1,'3'!$B33:$U95,'3'!$W$3+3,0),'3'!M95)),'3'!M95,IF('3'!M33&lt;MAX('3'!$B33:$U33),HLOOKUP('3'!M33+1,'3'!$B33:$U95,'3'!$W$3+3,0),'3'!M95)))</f>
        <v/>
      </c>
      <c r="N33" s="19" t="str">
        <f>IF(ISBLANK('Raw counts'!N34),"",IF(ISERROR(IF('3'!N33&lt;MAX('3'!$B33:$U33),HLOOKUP('3'!N33+1,'3'!$B33:$U95,'3'!$W$3+3,0),'3'!N95)),'3'!N95,IF('3'!N33&lt;MAX('3'!$B33:$U33),HLOOKUP('3'!N33+1,'3'!$B33:$U95,'3'!$W$3+3,0),'3'!N95)))</f>
        <v/>
      </c>
      <c r="O33" s="19" t="str">
        <f>IF(ISBLANK('Raw counts'!O34),"",IF(ISERROR(IF('3'!O33&lt;MAX('3'!$B33:$U33),HLOOKUP('3'!O33+1,'3'!$B33:$U95,'3'!$W$3+3,0),'3'!O95)),'3'!O95,IF('3'!O33&lt;MAX('3'!$B33:$U33),HLOOKUP('3'!O33+1,'3'!$B33:$U95,'3'!$W$3+3,0),'3'!O95)))</f>
        <v/>
      </c>
      <c r="P33" s="19" t="str">
        <f>IF(ISBLANK('Raw counts'!P34),"",IF(ISERROR(IF('3'!P33&lt;MAX('3'!$B33:$U33),HLOOKUP('3'!P33+1,'3'!$B33:$U95,'3'!$W$3+3,0),'3'!P95)),'3'!P95,IF('3'!P33&lt;MAX('3'!$B33:$U33),HLOOKUP('3'!P33+1,'3'!$B33:$U95,'3'!$W$3+3,0),'3'!P95)))</f>
        <v/>
      </c>
      <c r="Q33" s="19" t="str">
        <f>IF(ISBLANK('Raw counts'!Q34),"",IF(ISERROR(IF('3'!Q33&lt;MAX('3'!$B33:$U33),HLOOKUP('3'!Q33+1,'3'!$B33:$U95,'3'!$W$3+3,0),'3'!Q95)),'3'!Q95,IF('3'!Q33&lt;MAX('3'!$B33:$U33),HLOOKUP('3'!Q33+1,'3'!$B33:$U95,'3'!$W$3+3,0),'3'!Q95)))</f>
        <v/>
      </c>
      <c r="R33" s="19" t="str">
        <f>IF(ISBLANK('Raw counts'!R34),"",IF(ISERROR(IF('3'!R33&lt;MAX('3'!$B33:$U33),HLOOKUP('3'!R33+1,'3'!$B33:$U95,'3'!$W$3+3,0),'3'!R95)),'3'!R95,IF('3'!R33&lt;MAX('3'!$B33:$U33),HLOOKUP('3'!R33+1,'3'!$B33:$U95,'3'!$W$3+3,0),'3'!R95)))</f>
        <v/>
      </c>
      <c r="S33" s="19" t="str">
        <f>IF(ISBLANK('Raw counts'!S34),"",IF(ISERROR(IF('3'!S33&lt;MAX('3'!$B33:$U33),HLOOKUP('3'!S33+1,'3'!$B33:$U95,'3'!$W$3+3,0),'3'!S95)),'3'!S95,IF('3'!S33&lt;MAX('3'!$B33:$U33),HLOOKUP('3'!S33+1,'3'!$B33:$U95,'3'!$W$3+3,0),'3'!S95)))</f>
        <v/>
      </c>
      <c r="T33" s="19" t="str">
        <f>IF(ISBLANK('Raw counts'!T34),"",IF(ISERROR(IF('3'!T33&lt;MAX('3'!$B33:$U33),HLOOKUP('3'!T33+1,'3'!$B33:$U95,'3'!$W$3+3,0),'3'!T95)),'3'!T95,IF('3'!T33&lt;MAX('3'!$B33:$U33),HLOOKUP('3'!T33+1,'3'!$B33:$U95,'3'!$W$3+3,0),'3'!T95)))</f>
        <v/>
      </c>
      <c r="U33" s="19" t="str">
        <f>IF(ISBLANK('Raw counts'!U34),"",IF(ISERROR(IF('3'!U33&lt;MAX('3'!$B33:$U33),HLOOKUP('3'!U33+1,'3'!$B33:$U95,'3'!$W$3+3,0),'3'!U95)),'3'!U95,IF('3'!U33&lt;MAX('3'!$B33:$U33),HLOOKUP('3'!U33+1,'3'!$B33:$U95,'3'!$W$3+3,0),'3'!U95)))</f>
        <v/>
      </c>
    </row>
    <row r="34" spans="1:21" x14ac:dyDescent="0.15">
      <c r="A34" s="18" t="str">
        <f>IF(ISBLANK('Raw counts'!A35),"",'Raw counts'!A35)</f>
        <v>Attr31</v>
      </c>
      <c r="B34" s="19" t="str">
        <f>IF(ISBLANK('Raw counts'!B35),"",IF(ISERROR(IF('3'!B34&lt;MAX('3'!$B34:$U34),HLOOKUP('3'!B34+1,'3'!$B34:$U96,'3'!$W$3+3,0),'3'!B96)),'3'!B96,IF('3'!B34&lt;MAX('3'!$B34:$U34),HLOOKUP('3'!B34+1,'3'!$B34:$U96,'3'!$W$3+3,0),'3'!B96)))</f>
        <v/>
      </c>
      <c r="C34" s="19" t="str">
        <f>IF(ISBLANK('Raw counts'!C35),"",IF(ISERROR(IF('3'!C34&lt;MAX('3'!$B34:$U34),HLOOKUP('3'!C34+1,'3'!$B34:$U96,'3'!$W$3+3,0),'3'!C96)),'3'!C96,IF('3'!C34&lt;MAX('3'!$B34:$U34),HLOOKUP('3'!C34+1,'3'!$B34:$U96,'3'!$W$3+3,0),'3'!C96)))</f>
        <v/>
      </c>
      <c r="D34" s="19" t="str">
        <f>IF(ISBLANK('Raw counts'!D35),"",IF(ISERROR(IF('3'!D34&lt;MAX('3'!$B34:$U34),HLOOKUP('3'!D34+1,'3'!$B34:$U96,'3'!$W$3+3,0),'3'!D96)),'3'!D96,IF('3'!D34&lt;MAX('3'!$B34:$U34),HLOOKUP('3'!D34+1,'3'!$B34:$U96,'3'!$W$3+3,0),'3'!D96)))</f>
        <v/>
      </c>
      <c r="E34" s="19" t="str">
        <f>IF(ISBLANK('Raw counts'!E35),"",IF(ISERROR(IF('3'!E34&lt;MAX('3'!$B34:$U34),HLOOKUP('3'!E34+1,'3'!$B34:$U96,'3'!$W$3+3,0),'3'!E96)),'3'!E96,IF('3'!E34&lt;MAX('3'!$B34:$U34),HLOOKUP('3'!E34+1,'3'!$B34:$U96,'3'!$W$3+3,0),'3'!E96)))</f>
        <v/>
      </c>
      <c r="F34" s="19" t="str">
        <f>IF(ISBLANK('Raw counts'!F35),"",IF(ISERROR(IF('3'!F34&lt;MAX('3'!$B34:$U34),HLOOKUP('3'!F34+1,'3'!$B34:$U96,'3'!$W$3+3,0),'3'!F96)),'3'!F96,IF('3'!F34&lt;MAX('3'!$B34:$U34),HLOOKUP('3'!F34+1,'3'!$B34:$U96,'3'!$W$3+3,0),'3'!F96)))</f>
        <v/>
      </c>
      <c r="G34" s="19" t="str">
        <f>IF(ISBLANK('Raw counts'!G35),"",IF(ISERROR(IF('3'!G34&lt;MAX('3'!$B34:$U34),HLOOKUP('3'!G34+1,'3'!$B34:$U96,'3'!$W$3+3,0),'3'!G96)),'3'!G96,IF('3'!G34&lt;MAX('3'!$B34:$U34),HLOOKUP('3'!G34+1,'3'!$B34:$U96,'3'!$W$3+3,0),'3'!G96)))</f>
        <v/>
      </c>
      <c r="H34" s="19" t="str">
        <f>IF(ISBLANK('Raw counts'!H35),"",IF(ISERROR(IF('3'!H34&lt;MAX('3'!$B34:$U34),HLOOKUP('3'!H34+1,'3'!$B34:$U96,'3'!$W$3+3,0),'3'!H96)),'3'!H96,IF('3'!H34&lt;MAX('3'!$B34:$U34),HLOOKUP('3'!H34+1,'3'!$B34:$U96,'3'!$W$3+3,0),'3'!H96)))</f>
        <v/>
      </c>
      <c r="I34" s="19" t="str">
        <f>IF(ISBLANK('Raw counts'!I35),"",IF(ISERROR(IF('3'!I34&lt;MAX('3'!$B34:$U34),HLOOKUP('3'!I34+1,'3'!$B34:$U96,'3'!$W$3+3,0),'3'!I96)),'3'!I96,IF('3'!I34&lt;MAX('3'!$B34:$U34),HLOOKUP('3'!I34+1,'3'!$B34:$U96,'3'!$W$3+3,0),'3'!I96)))</f>
        <v/>
      </c>
      <c r="J34" s="19" t="str">
        <f>IF(ISBLANK('Raw counts'!J35),"",IF(ISERROR(IF('3'!J34&lt;MAX('3'!$B34:$U34),HLOOKUP('3'!J34+1,'3'!$B34:$U96,'3'!$W$3+3,0),'3'!J96)),'3'!J96,IF('3'!J34&lt;MAX('3'!$B34:$U34),HLOOKUP('3'!J34+1,'3'!$B34:$U96,'3'!$W$3+3,0),'3'!J96)))</f>
        <v/>
      </c>
      <c r="K34" s="19" t="str">
        <f>IF(ISBLANK('Raw counts'!K35),"",IF(ISERROR(IF('3'!K34&lt;MAX('3'!$B34:$U34),HLOOKUP('3'!K34+1,'3'!$B34:$U96,'3'!$W$3+3,0),'3'!K96)),'3'!K96,IF('3'!K34&lt;MAX('3'!$B34:$U34),HLOOKUP('3'!K34+1,'3'!$B34:$U96,'3'!$W$3+3,0),'3'!K96)))</f>
        <v/>
      </c>
      <c r="L34" s="19" t="str">
        <f>IF(ISBLANK('Raw counts'!L35),"",IF(ISERROR(IF('3'!L34&lt;MAX('3'!$B34:$U34),HLOOKUP('3'!L34+1,'3'!$B34:$U96,'3'!$W$3+3,0),'3'!L96)),'3'!L96,IF('3'!L34&lt;MAX('3'!$B34:$U34),HLOOKUP('3'!L34+1,'3'!$B34:$U96,'3'!$W$3+3,0),'3'!L96)))</f>
        <v/>
      </c>
      <c r="M34" s="19" t="str">
        <f>IF(ISBLANK('Raw counts'!M35),"",IF(ISERROR(IF('3'!M34&lt;MAX('3'!$B34:$U34),HLOOKUP('3'!M34+1,'3'!$B34:$U96,'3'!$W$3+3,0),'3'!M96)),'3'!M96,IF('3'!M34&lt;MAX('3'!$B34:$U34),HLOOKUP('3'!M34+1,'3'!$B34:$U96,'3'!$W$3+3,0),'3'!M96)))</f>
        <v/>
      </c>
      <c r="N34" s="19" t="str">
        <f>IF(ISBLANK('Raw counts'!N35),"",IF(ISERROR(IF('3'!N34&lt;MAX('3'!$B34:$U34),HLOOKUP('3'!N34+1,'3'!$B34:$U96,'3'!$W$3+3,0),'3'!N96)),'3'!N96,IF('3'!N34&lt;MAX('3'!$B34:$U34),HLOOKUP('3'!N34+1,'3'!$B34:$U96,'3'!$W$3+3,0),'3'!N96)))</f>
        <v/>
      </c>
      <c r="O34" s="19" t="str">
        <f>IF(ISBLANK('Raw counts'!O35),"",IF(ISERROR(IF('3'!O34&lt;MAX('3'!$B34:$U34),HLOOKUP('3'!O34+1,'3'!$B34:$U96,'3'!$W$3+3,0),'3'!O96)),'3'!O96,IF('3'!O34&lt;MAX('3'!$B34:$U34),HLOOKUP('3'!O34+1,'3'!$B34:$U96,'3'!$W$3+3,0),'3'!O96)))</f>
        <v/>
      </c>
      <c r="P34" s="19" t="str">
        <f>IF(ISBLANK('Raw counts'!P35),"",IF(ISERROR(IF('3'!P34&lt;MAX('3'!$B34:$U34),HLOOKUP('3'!P34+1,'3'!$B34:$U96,'3'!$W$3+3,0),'3'!P96)),'3'!P96,IF('3'!P34&lt;MAX('3'!$B34:$U34),HLOOKUP('3'!P34+1,'3'!$B34:$U96,'3'!$W$3+3,0),'3'!P96)))</f>
        <v/>
      </c>
      <c r="Q34" s="19" t="str">
        <f>IF(ISBLANK('Raw counts'!Q35),"",IF(ISERROR(IF('3'!Q34&lt;MAX('3'!$B34:$U34),HLOOKUP('3'!Q34+1,'3'!$B34:$U96,'3'!$W$3+3,0),'3'!Q96)),'3'!Q96,IF('3'!Q34&lt;MAX('3'!$B34:$U34),HLOOKUP('3'!Q34+1,'3'!$B34:$U96,'3'!$W$3+3,0),'3'!Q96)))</f>
        <v/>
      </c>
      <c r="R34" s="19" t="str">
        <f>IF(ISBLANK('Raw counts'!R35),"",IF(ISERROR(IF('3'!R34&lt;MAX('3'!$B34:$U34),HLOOKUP('3'!R34+1,'3'!$B34:$U96,'3'!$W$3+3,0),'3'!R96)),'3'!R96,IF('3'!R34&lt;MAX('3'!$B34:$U34),HLOOKUP('3'!R34+1,'3'!$B34:$U96,'3'!$W$3+3,0),'3'!R96)))</f>
        <v/>
      </c>
      <c r="S34" s="19" t="str">
        <f>IF(ISBLANK('Raw counts'!S35),"",IF(ISERROR(IF('3'!S34&lt;MAX('3'!$B34:$U34),HLOOKUP('3'!S34+1,'3'!$B34:$U96,'3'!$W$3+3,0),'3'!S96)),'3'!S96,IF('3'!S34&lt;MAX('3'!$B34:$U34),HLOOKUP('3'!S34+1,'3'!$B34:$U96,'3'!$W$3+3,0),'3'!S96)))</f>
        <v/>
      </c>
      <c r="T34" s="19" t="str">
        <f>IF(ISBLANK('Raw counts'!T35),"",IF(ISERROR(IF('3'!T34&lt;MAX('3'!$B34:$U34),HLOOKUP('3'!T34+1,'3'!$B34:$U96,'3'!$W$3+3,0),'3'!T96)),'3'!T96,IF('3'!T34&lt;MAX('3'!$B34:$U34),HLOOKUP('3'!T34+1,'3'!$B34:$U96,'3'!$W$3+3,0),'3'!T96)))</f>
        <v/>
      </c>
      <c r="U34" s="19" t="str">
        <f>IF(ISBLANK('Raw counts'!U35),"",IF(ISERROR(IF('3'!U34&lt;MAX('3'!$B34:$U34),HLOOKUP('3'!U34+1,'3'!$B34:$U96,'3'!$W$3+3,0),'3'!U96)),'3'!U96,IF('3'!U34&lt;MAX('3'!$B34:$U34),HLOOKUP('3'!U34+1,'3'!$B34:$U96,'3'!$W$3+3,0),'3'!U96)))</f>
        <v/>
      </c>
    </row>
    <row r="35" spans="1:21" x14ac:dyDescent="0.15">
      <c r="A35" s="18" t="str">
        <f>IF(ISBLANK('Raw counts'!A36),"",'Raw counts'!A36)</f>
        <v>Attr32</v>
      </c>
      <c r="B35" s="19" t="str">
        <f>IF(ISBLANK('Raw counts'!B36),"",IF(ISERROR(IF('3'!B35&lt;MAX('3'!$B35:$U35),HLOOKUP('3'!B35+1,'3'!$B35:$U97,'3'!$W$3+3,0),'3'!B97)),'3'!B97,IF('3'!B35&lt;MAX('3'!$B35:$U35),HLOOKUP('3'!B35+1,'3'!$B35:$U97,'3'!$W$3+3,0),'3'!B97)))</f>
        <v/>
      </c>
      <c r="C35" s="19" t="str">
        <f>IF(ISBLANK('Raw counts'!C36),"",IF(ISERROR(IF('3'!C35&lt;MAX('3'!$B35:$U35),HLOOKUP('3'!C35+1,'3'!$B35:$U97,'3'!$W$3+3,0),'3'!C97)),'3'!C97,IF('3'!C35&lt;MAX('3'!$B35:$U35),HLOOKUP('3'!C35+1,'3'!$B35:$U97,'3'!$W$3+3,0),'3'!C97)))</f>
        <v/>
      </c>
      <c r="D35" s="19" t="str">
        <f>IF(ISBLANK('Raw counts'!D36),"",IF(ISERROR(IF('3'!D35&lt;MAX('3'!$B35:$U35),HLOOKUP('3'!D35+1,'3'!$B35:$U97,'3'!$W$3+3,0),'3'!D97)),'3'!D97,IF('3'!D35&lt;MAX('3'!$B35:$U35),HLOOKUP('3'!D35+1,'3'!$B35:$U97,'3'!$W$3+3,0),'3'!D97)))</f>
        <v/>
      </c>
      <c r="E35" s="19" t="str">
        <f>IF(ISBLANK('Raw counts'!E36),"",IF(ISERROR(IF('3'!E35&lt;MAX('3'!$B35:$U35),HLOOKUP('3'!E35+1,'3'!$B35:$U97,'3'!$W$3+3,0),'3'!E97)),'3'!E97,IF('3'!E35&lt;MAX('3'!$B35:$U35),HLOOKUP('3'!E35+1,'3'!$B35:$U97,'3'!$W$3+3,0),'3'!E97)))</f>
        <v/>
      </c>
      <c r="F35" s="19" t="str">
        <f>IF(ISBLANK('Raw counts'!F36),"",IF(ISERROR(IF('3'!F35&lt;MAX('3'!$B35:$U35),HLOOKUP('3'!F35+1,'3'!$B35:$U97,'3'!$W$3+3,0),'3'!F97)),'3'!F97,IF('3'!F35&lt;MAX('3'!$B35:$U35),HLOOKUP('3'!F35+1,'3'!$B35:$U97,'3'!$W$3+3,0),'3'!F97)))</f>
        <v/>
      </c>
      <c r="G35" s="19" t="str">
        <f>IF(ISBLANK('Raw counts'!G36),"",IF(ISERROR(IF('3'!G35&lt;MAX('3'!$B35:$U35),HLOOKUP('3'!G35+1,'3'!$B35:$U97,'3'!$W$3+3,0),'3'!G97)),'3'!G97,IF('3'!G35&lt;MAX('3'!$B35:$U35),HLOOKUP('3'!G35+1,'3'!$B35:$U97,'3'!$W$3+3,0),'3'!G97)))</f>
        <v/>
      </c>
      <c r="H35" s="19" t="str">
        <f>IF(ISBLANK('Raw counts'!H36),"",IF(ISERROR(IF('3'!H35&lt;MAX('3'!$B35:$U35),HLOOKUP('3'!H35+1,'3'!$B35:$U97,'3'!$W$3+3,0),'3'!H97)),'3'!H97,IF('3'!H35&lt;MAX('3'!$B35:$U35),HLOOKUP('3'!H35+1,'3'!$B35:$U97,'3'!$W$3+3,0),'3'!H97)))</f>
        <v/>
      </c>
      <c r="I35" s="19" t="str">
        <f>IF(ISBLANK('Raw counts'!I36),"",IF(ISERROR(IF('3'!I35&lt;MAX('3'!$B35:$U35),HLOOKUP('3'!I35+1,'3'!$B35:$U97,'3'!$W$3+3,0),'3'!I97)),'3'!I97,IF('3'!I35&lt;MAX('3'!$B35:$U35),HLOOKUP('3'!I35+1,'3'!$B35:$U97,'3'!$W$3+3,0),'3'!I97)))</f>
        <v/>
      </c>
      <c r="J35" s="19" t="str">
        <f>IF(ISBLANK('Raw counts'!J36),"",IF(ISERROR(IF('3'!J35&lt;MAX('3'!$B35:$U35),HLOOKUP('3'!J35+1,'3'!$B35:$U97,'3'!$W$3+3,0),'3'!J97)),'3'!J97,IF('3'!J35&lt;MAX('3'!$B35:$U35),HLOOKUP('3'!J35+1,'3'!$B35:$U97,'3'!$W$3+3,0),'3'!J97)))</f>
        <v/>
      </c>
      <c r="K35" s="19" t="str">
        <f>IF(ISBLANK('Raw counts'!K36),"",IF(ISERROR(IF('3'!K35&lt;MAX('3'!$B35:$U35),HLOOKUP('3'!K35+1,'3'!$B35:$U97,'3'!$W$3+3,0),'3'!K97)),'3'!K97,IF('3'!K35&lt;MAX('3'!$B35:$U35),HLOOKUP('3'!K35+1,'3'!$B35:$U97,'3'!$W$3+3,0),'3'!K97)))</f>
        <v/>
      </c>
      <c r="L35" s="19" t="str">
        <f>IF(ISBLANK('Raw counts'!L36),"",IF(ISERROR(IF('3'!L35&lt;MAX('3'!$B35:$U35),HLOOKUP('3'!L35+1,'3'!$B35:$U97,'3'!$W$3+3,0),'3'!L97)),'3'!L97,IF('3'!L35&lt;MAX('3'!$B35:$U35),HLOOKUP('3'!L35+1,'3'!$B35:$U97,'3'!$W$3+3,0),'3'!L97)))</f>
        <v/>
      </c>
      <c r="M35" s="19" t="str">
        <f>IF(ISBLANK('Raw counts'!M36),"",IF(ISERROR(IF('3'!M35&lt;MAX('3'!$B35:$U35),HLOOKUP('3'!M35+1,'3'!$B35:$U97,'3'!$W$3+3,0),'3'!M97)),'3'!M97,IF('3'!M35&lt;MAX('3'!$B35:$U35),HLOOKUP('3'!M35+1,'3'!$B35:$U97,'3'!$W$3+3,0),'3'!M97)))</f>
        <v/>
      </c>
      <c r="N35" s="19" t="str">
        <f>IF(ISBLANK('Raw counts'!N36),"",IF(ISERROR(IF('3'!N35&lt;MAX('3'!$B35:$U35),HLOOKUP('3'!N35+1,'3'!$B35:$U97,'3'!$W$3+3,0),'3'!N97)),'3'!N97,IF('3'!N35&lt;MAX('3'!$B35:$U35),HLOOKUP('3'!N35+1,'3'!$B35:$U97,'3'!$W$3+3,0),'3'!N97)))</f>
        <v/>
      </c>
      <c r="O35" s="19" t="str">
        <f>IF(ISBLANK('Raw counts'!O36),"",IF(ISERROR(IF('3'!O35&lt;MAX('3'!$B35:$U35),HLOOKUP('3'!O35+1,'3'!$B35:$U97,'3'!$W$3+3,0),'3'!O97)),'3'!O97,IF('3'!O35&lt;MAX('3'!$B35:$U35),HLOOKUP('3'!O35+1,'3'!$B35:$U97,'3'!$W$3+3,0),'3'!O97)))</f>
        <v/>
      </c>
      <c r="P35" s="19" t="str">
        <f>IF(ISBLANK('Raw counts'!P36),"",IF(ISERROR(IF('3'!P35&lt;MAX('3'!$B35:$U35),HLOOKUP('3'!P35+1,'3'!$B35:$U97,'3'!$W$3+3,0),'3'!P97)),'3'!P97,IF('3'!P35&lt;MAX('3'!$B35:$U35),HLOOKUP('3'!P35+1,'3'!$B35:$U97,'3'!$W$3+3,0),'3'!P97)))</f>
        <v/>
      </c>
      <c r="Q35" s="19" t="str">
        <f>IF(ISBLANK('Raw counts'!Q36),"",IF(ISERROR(IF('3'!Q35&lt;MAX('3'!$B35:$U35),HLOOKUP('3'!Q35+1,'3'!$B35:$U97,'3'!$W$3+3,0),'3'!Q97)),'3'!Q97,IF('3'!Q35&lt;MAX('3'!$B35:$U35),HLOOKUP('3'!Q35+1,'3'!$B35:$U97,'3'!$W$3+3,0),'3'!Q97)))</f>
        <v/>
      </c>
      <c r="R35" s="19" t="str">
        <f>IF(ISBLANK('Raw counts'!R36),"",IF(ISERROR(IF('3'!R35&lt;MAX('3'!$B35:$U35),HLOOKUP('3'!R35+1,'3'!$B35:$U97,'3'!$W$3+3,0),'3'!R97)),'3'!R97,IF('3'!R35&lt;MAX('3'!$B35:$U35),HLOOKUP('3'!R35+1,'3'!$B35:$U97,'3'!$W$3+3,0),'3'!R97)))</f>
        <v/>
      </c>
      <c r="S35" s="19" t="str">
        <f>IF(ISBLANK('Raw counts'!S36),"",IF(ISERROR(IF('3'!S35&lt;MAX('3'!$B35:$U35),HLOOKUP('3'!S35+1,'3'!$B35:$U97,'3'!$W$3+3,0),'3'!S97)),'3'!S97,IF('3'!S35&lt;MAX('3'!$B35:$U35),HLOOKUP('3'!S35+1,'3'!$B35:$U97,'3'!$W$3+3,0),'3'!S97)))</f>
        <v/>
      </c>
      <c r="T35" s="19" t="str">
        <f>IF(ISBLANK('Raw counts'!T36),"",IF(ISERROR(IF('3'!T35&lt;MAX('3'!$B35:$U35),HLOOKUP('3'!T35+1,'3'!$B35:$U97,'3'!$W$3+3,0),'3'!T97)),'3'!T97,IF('3'!T35&lt;MAX('3'!$B35:$U35),HLOOKUP('3'!T35+1,'3'!$B35:$U97,'3'!$W$3+3,0),'3'!T97)))</f>
        <v/>
      </c>
      <c r="U35" s="19" t="str">
        <f>IF(ISBLANK('Raw counts'!U36),"",IF(ISERROR(IF('3'!U35&lt;MAX('3'!$B35:$U35),HLOOKUP('3'!U35+1,'3'!$B35:$U97,'3'!$W$3+3,0),'3'!U97)),'3'!U97,IF('3'!U35&lt;MAX('3'!$B35:$U35),HLOOKUP('3'!U35+1,'3'!$B35:$U97,'3'!$W$3+3,0),'3'!U97)))</f>
        <v/>
      </c>
    </row>
    <row r="36" spans="1:21" x14ac:dyDescent="0.15">
      <c r="A36" s="18" t="str">
        <f>IF(ISBLANK('Raw counts'!A37),"",'Raw counts'!A37)</f>
        <v>Attr33</v>
      </c>
      <c r="B36" s="19" t="str">
        <f>IF(ISBLANK('Raw counts'!B37),"",IF(ISERROR(IF('3'!B36&lt;MAX('3'!$B36:$U36),HLOOKUP('3'!B36+1,'3'!$B36:$U98,'3'!$W$3+3,0),'3'!B98)),'3'!B98,IF('3'!B36&lt;MAX('3'!$B36:$U36),HLOOKUP('3'!B36+1,'3'!$B36:$U98,'3'!$W$3+3,0),'3'!B98)))</f>
        <v/>
      </c>
      <c r="C36" s="19" t="str">
        <f>IF(ISBLANK('Raw counts'!C37),"",IF(ISERROR(IF('3'!C36&lt;MAX('3'!$B36:$U36),HLOOKUP('3'!C36+1,'3'!$B36:$U98,'3'!$W$3+3,0),'3'!C98)),'3'!C98,IF('3'!C36&lt;MAX('3'!$B36:$U36),HLOOKUP('3'!C36+1,'3'!$B36:$U98,'3'!$W$3+3,0),'3'!C98)))</f>
        <v/>
      </c>
      <c r="D36" s="19" t="str">
        <f>IF(ISBLANK('Raw counts'!D37),"",IF(ISERROR(IF('3'!D36&lt;MAX('3'!$B36:$U36),HLOOKUP('3'!D36+1,'3'!$B36:$U98,'3'!$W$3+3,0),'3'!D98)),'3'!D98,IF('3'!D36&lt;MAX('3'!$B36:$U36),HLOOKUP('3'!D36+1,'3'!$B36:$U98,'3'!$W$3+3,0),'3'!D98)))</f>
        <v/>
      </c>
      <c r="E36" s="19" t="str">
        <f>IF(ISBLANK('Raw counts'!E37),"",IF(ISERROR(IF('3'!E36&lt;MAX('3'!$B36:$U36),HLOOKUP('3'!E36+1,'3'!$B36:$U98,'3'!$W$3+3,0),'3'!E98)),'3'!E98,IF('3'!E36&lt;MAX('3'!$B36:$U36),HLOOKUP('3'!E36+1,'3'!$B36:$U98,'3'!$W$3+3,0),'3'!E98)))</f>
        <v/>
      </c>
      <c r="F36" s="19" t="str">
        <f>IF(ISBLANK('Raw counts'!F37),"",IF(ISERROR(IF('3'!F36&lt;MAX('3'!$B36:$U36),HLOOKUP('3'!F36+1,'3'!$B36:$U98,'3'!$W$3+3,0),'3'!F98)),'3'!F98,IF('3'!F36&lt;MAX('3'!$B36:$U36),HLOOKUP('3'!F36+1,'3'!$B36:$U98,'3'!$W$3+3,0),'3'!F98)))</f>
        <v/>
      </c>
      <c r="G36" s="19" t="str">
        <f>IF(ISBLANK('Raw counts'!G37),"",IF(ISERROR(IF('3'!G36&lt;MAX('3'!$B36:$U36),HLOOKUP('3'!G36+1,'3'!$B36:$U98,'3'!$W$3+3,0),'3'!G98)),'3'!G98,IF('3'!G36&lt;MAX('3'!$B36:$U36),HLOOKUP('3'!G36+1,'3'!$B36:$U98,'3'!$W$3+3,0),'3'!G98)))</f>
        <v/>
      </c>
      <c r="H36" s="19" t="str">
        <f>IF(ISBLANK('Raw counts'!H37),"",IF(ISERROR(IF('3'!H36&lt;MAX('3'!$B36:$U36),HLOOKUP('3'!H36+1,'3'!$B36:$U98,'3'!$W$3+3,0),'3'!H98)),'3'!H98,IF('3'!H36&lt;MAX('3'!$B36:$U36),HLOOKUP('3'!H36+1,'3'!$B36:$U98,'3'!$W$3+3,0),'3'!H98)))</f>
        <v/>
      </c>
      <c r="I36" s="19" t="str">
        <f>IF(ISBLANK('Raw counts'!I37),"",IF(ISERROR(IF('3'!I36&lt;MAX('3'!$B36:$U36),HLOOKUP('3'!I36+1,'3'!$B36:$U98,'3'!$W$3+3,0),'3'!I98)),'3'!I98,IF('3'!I36&lt;MAX('3'!$B36:$U36),HLOOKUP('3'!I36+1,'3'!$B36:$U98,'3'!$W$3+3,0),'3'!I98)))</f>
        <v/>
      </c>
      <c r="J36" s="19" t="str">
        <f>IF(ISBLANK('Raw counts'!J37),"",IF(ISERROR(IF('3'!J36&lt;MAX('3'!$B36:$U36),HLOOKUP('3'!J36+1,'3'!$B36:$U98,'3'!$W$3+3,0),'3'!J98)),'3'!J98,IF('3'!J36&lt;MAX('3'!$B36:$U36),HLOOKUP('3'!J36+1,'3'!$B36:$U98,'3'!$W$3+3,0),'3'!J98)))</f>
        <v/>
      </c>
      <c r="K36" s="19" t="str">
        <f>IF(ISBLANK('Raw counts'!K37),"",IF(ISERROR(IF('3'!K36&lt;MAX('3'!$B36:$U36),HLOOKUP('3'!K36+1,'3'!$B36:$U98,'3'!$W$3+3,0),'3'!K98)),'3'!K98,IF('3'!K36&lt;MAX('3'!$B36:$U36),HLOOKUP('3'!K36+1,'3'!$B36:$U98,'3'!$W$3+3,0),'3'!K98)))</f>
        <v/>
      </c>
      <c r="L36" s="19" t="str">
        <f>IF(ISBLANK('Raw counts'!L37),"",IF(ISERROR(IF('3'!L36&lt;MAX('3'!$B36:$U36),HLOOKUP('3'!L36+1,'3'!$B36:$U98,'3'!$W$3+3,0),'3'!L98)),'3'!L98,IF('3'!L36&lt;MAX('3'!$B36:$U36),HLOOKUP('3'!L36+1,'3'!$B36:$U98,'3'!$W$3+3,0),'3'!L98)))</f>
        <v/>
      </c>
      <c r="M36" s="19" t="str">
        <f>IF(ISBLANK('Raw counts'!M37),"",IF(ISERROR(IF('3'!M36&lt;MAX('3'!$B36:$U36),HLOOKUP('3'!M36+1,'3'!$B36:$U98,'3'!$W$3+3,0),'3'!M98)),'3'!M98,IF('3'!M36&lt;MAX('3'!$B36:$U36),HLOOKUP('3'!M36+1,'3'!$B36:$U98,'3'!$W$3+3,0),'3'!M98)))</f>
        <v/>
      </c>
      <c r="N36" s="19" t="str">
        <f>IF(ISBLANK('Raw counts'!N37),"",IF(ISERROR(IF('3'!N36&lt;MAX('3'!$B36:$U36),HLOOKUP('3'!N36+1,'3'!$B36:$U98,'3'!$W$3+3,0),'3'!N98)),'3'!N98,IF('3'!N36&lt;MAX('3'!$B36:$U36),HLOOKUP('3'!N36+1,'3'!$B36:$U98,'3'!$W$3+3,0),'3'!N98)))</f>
        <v/>
      </c>
      <c r="O36" s="19" t="str">
        <f>IF(ISBLANK('Raw counts'!O37),"",IF(ISERROR(IF('3'!O36&lt;MAX('3'!$B36:$U36),HLOOKUP('3'!O36+1,'3'!$B36:$U98,'3'!$W$3+3,0),'3'!O98)),'3'!O98,IF('3'!O36&lt;MAX('3'!$B36:$U36),HLOOKUP('3'!O36+1,'3'!$B36:$U98,'3'!$W$3+3,0),'3'!O98)))</f>
        <v/>
      </c>
      <c r="P36" s="19" t="str">
        <f>IF(ISBLANK('Raw counts'!P37),"",IF(ISERROR(IF('3'!P36&lt;MAX('3'!$B36:$U36),HLOOKUP('3'!P36+1,'3'!$B36:$U98,'3'!$W$3+3,0),'3'!P98)),'3'!P98,IF('3'!P36&lt;MAX('3'!$B36:$U36),HLOOKUP('3'!P36+1,'3'!$B36:$U98,'3'!$W$3+3,0),'3'!P98)))</f>
        <v/>
      </c>
      <c r="Q36" s="19" t="str">
        <f>IF(ISBLANK('Raw counts'!Q37),"",IF(ISERROR(IF('3'!Q36&lt;MAX('3'!$B36:$U36),HLOOKUP('3'!Q36+1,'3'!$B36:$U98,'3'!$W$3+3,0),'3'!Q98)),'3'!Q98,IF('3'!Q36&lt;MAX('3'!$B36:$U36),HLOOKUP('3'!Q36+1,'3'!$B36:$U98,'3'!$W$3+3,0),'3'!Q98)))</f>
        <v/>
      </c>
      <c r="R36" s="19" t="str">
        <f>IF(ISBLANK('Raw counts'!R37),"",IF(ISERROR(IF('3'!R36&lt;MAX('3'!$B36:$U36),HLOOKUP('3'!R36+1,'3'!$B36:$U98,'3'!$W$3+3,0),'3'!R98)),'3'!R98,IF('3'!R36&lt;MAX('3'!$B36:$U36),HLOOKUP('3'!R36+1,'3'!$B36:$U98,'3'!$W$3+3,0),'3'!R98)))</f>
        <v/>
      </c>
      <c r="S36" s="19" t="str">
        <f>IF(ISBLANK('Raw counts'!S37),"",IF(ISERROR(IF('3'!S36&lt;MAX('3'!$B36:$U36),HLOOKUP('3'!S36+1,'3'!$B36:$U98,'3'!$W$3+3,0),'3'!S98)),'3'!S98,IF('3'!S36&lt;MAX('3'!$B36:$U36),HLOOKUP('3'!S36+1,'3'!$B36:$U98,'3'!$W$3+3,0),'3'!S98)))</f>
        <v/>
      </c>
      <c r="T36" s="19" t="str">
        <f>IF(ISBLANK('Raw counts'!T37),"",IF(ISERROR(IF('3'!T36&lt;MAX('3'!$B36:$U36),HLOOKUP('3'!T36+1,'3'!$B36:$U98,'3'!$W$3+3,0),'3'!T98)),'3'!T98,IF('3'!T36&lt;MAX('3'!$B36:$U36),HLOOKUP('3'!T36+1,'3'!$B36:$U98,'3'!$W$3+3,0),'3'!T98)))</f>
        <v/>
      </c>
      <c r="U36" s="19" t="str">
        <f>IF(ISBLANK('Raw counts'!U37),"",IF(ISERROR(IF('3'!U36&lt;MAX('3'!$B36:$U36),HLOOKUP('3'!U36+1,'3'!$B36:$U98,'3'!$W$3+3,0),'3'!U98)),'3'!U98,IF('3'!U36&lt;MAX('3'!$B36:$U36),HLOOKUP('3'!U36+1,'3'!$B36:$U98,'3'!$W$3+3,0),'3'!U98)))</f>
        <v/>
      </c>
    </row>
    <row r="37" spans="1:21" x14ac:dyDescent="0.15">
      <c r="A37" s="18" t="str">
        <f>IF(ISBLANK('Raw counts'!A38),"",'Raw counts'!A38)</f>
        <v>Attr34</v>
      </c>
      <c r="B37" s="19" t="str">
        <f>IF(ISBLANK('Raw counts'!B38),"",IF(ISERROR(IF('3'!B37&lt;MAX('3'!$B37:$U37),HLOOKUP('3'!B37+1,'3'!$B37:$U99,'3'!$W$3+3,0),'3'!B99)),'3'!B99,IF('3'!B37&lt;MAX('3'!$B37:$U37),HLOOKUP('3'!B37+1,'3'!$B37:$U99,'3'!$W$3+3,0),'3'!B99)))</f>
        <v/>
      </c>
      <c r="C37" s="19" t="str">
        <f>IF(ISBLANK('Raw counts'!C38),"",IF(ISERROR(IF('3'!C37&lt;MAX('3'!$B37:$U37),HLOOKUP('3'!C37+1,'3'!$B37:$U99,'3'!$W$3+3,0),'3'!C99)),'3'!C99,IF('3'!C37&lt;MAX('3'!$B37:$U37),HLOOKUP('3'!C37+1,'3'!$B37:$U99,'3'!$W$3+3,0),'3'!C99)))</f>
        <v/>
      </c>
      <c r="D37" s="19" t="str">
        <f>IF(ISBLANK('Raw counts'!D38),"",IF(ISERROR(IF('3'!D37&lt;MAX('3'!$B37:$U37),HLOOKUP('3'!D37+1,'3'!$B37:$U99,'3'!$W$3+3,0),'3'!D99)),'3'!D99,IF('3'!D37&lt;MAX('3'!$B37:$U37),HLOOKUP('3'!D37+1,'3'!$B37:$U99,'3'!$W$3+3,0),'3'!D99)))</f>
        <v/>
      </c>
      <c r="E37" s="19" t="str">
        <f>IF(ISBLANK('Raw counts'!E38),"",IF(ISERROR(IF('3'!E37&lt;MAX('3'!$B37:$U37),HLOOKUP('3'!E37+1,'3'!$B37:$U99,'3'!$W$3+3,0),'3'!E99)),'3'!E99,IF('3'!E37&lt;MAX('3'!$B37:$U37),HLOOKUP('3'!E37+1,'3'!$B37:$U99,'3'!$W$3+3,0),'3'!E99)))</f>
        <v/>
      </c>
      <c r="F37" s="19" t="str">
        <f>IF(ISBLANK('Raw counts'!F38),"",IF(ISERROR(IF('3'!F37&lt;MAX('3'!$B37:$U37),HLOOKUP('3'!F37+1,'3'!$B37:$U99,'3'!$W$3+3,0),'3'!F99)),'3'!F99,IF('3'!F37&lt;MAX('3'!$B37:$U37),HLOOKUP('3'!F37+1,'3'!$B37:$U99,'3'!$W$3+3,0),'3'!F99)))</f>
        <v/>
      </c>
      <c r="G37" s="19" t="str">
        <f>IF(ISBLANK('Raw counts'!G38),"",IF(ISERROR(IF('3'!G37&lt;MAX('3'!$B37:$U37),HLOOKUP('3'!G37+1,'3'!$B37:$U99,'3'!$W$3+3,0),'3'!G99)),'3'!G99,IF('3'!G37&lt;MAX('3'!$B37:$U37),HLOOKUP('3'!G37+1,'3'!$B37:$U99,'3'!$W$3+3,0),'3'!G99)))</f>
        <v/>
      </c>
      <c r="H37" s="19" t="str">
        <f>IF(ISBLANK('Raw counts'!H38),"",IF(ISERROR(IF('3'!H37&lt;MAX('3'!$B37:$U37),HLOOKUP('3'!H37+1,'3'!$B37:$U99,'3'!$W$3+3,0),'3'!H99)),'3'!H99,IF('3'!H37&lt;MAX('3'!$B37:$U37),HLOOKUP('3'!H37+1,'3'!$B37:$U99,'3'!$W$3+3,0),'3'!H99)))</f>
        <v/>
      </c>
      <c r="I37" s="19" t="str">
        <f>IF(ISBLANK('Raw counts'!I38),"",IF(ISERROR(IF('3'!I37&lt;MAX('3'!$B37:$U37),HLOOKUP('3'!I37+1,'3'!$B37:$U99,'3'!$W$3+3,0),'3'!I99)),'3'!I99,IF('3'!I37&lt;MAX('3'!$B37:$U37),HLOOKUP('3'!I37+1,'3'!$B37:$U99,'3'!$W$3+3,0),'3'!I99)))</f>
        <v/>
      </c>
      <c r="J37" s="19" t="str">
        <f>IF(ISBLANK('Raw counts'!J38),"",IF(ISERROR(IF('3'!J37&lt;MAX('3'!$B37:$U37),HLOOKUP('3'!J37+1,'3'!$B37:$U99,'3'!$W$3+3,0),'3'!J99)),'3'!J99,IF('3'!J37&lt;MAX('3'!$B37:$U37),HLOOKUP('3'!J37+1,'3'!$B37:$U99,'3'!$W$3+3,0),'3'!J99)))</f>
        <v/>
      </c>
      <c r="K37" s="19" t="str">
        <f>IF(ISBLANK('Raw counts'!K38),"",IF(ISERROR(IF('3'!K37&lt;MAX('3'!$B37:$U37),HLOOKUP('3'!K37+1,'3'!$B37:$U99,'3'!$W$3+3,0),'3'!K99)),'3'!K99,IF('3'!K37&lt;MAX('3'!$B37:$U37),HLOOKUP('3'!K37+1,'3'!$B37:$U99,'3'!$W$3+3,0),'3'!K99)))</f>
        <v/>
      </c>
      <c r="L37" s="19" t="str">
        <f>IF(ISBLANK('Raw counts'!L38),"",IF(ISERROR(IF('3'!L37&lt;MAX('3'!$B37:$U37),HLOOKUP('3'!L37+1,'3'!$B37:$U99,'3'!$W$3+3,0),'3'!L99)),'3'!L99,IF('3'!L37&lt;MAX('3'!$B37:$U37),HLOOKUP('3'!L37+1,'3'!$B37:$U99,'3'!$W$3+3,0),'3'!L99)))</f>
        <v/>
      </c>
      <c r="M37" s="19" t="str">
        <f>IF(ISBLANK('Raw counts'!M38),"",IF(ISERROR(IF('3'!M37&lt;MAX('3'!$B37:$U37),HLOOKUP('3'!M37+1,'3'!$B37:$U99,'3'!$W$3+3,0),'3'!M99)),'3'!M99,IF('3'!M37&lt;MAX('3'!$B37:$U37),HLOOKUP('3'!M37+1,'3'!$B37:$U99,'3'!$W$3+3,0),'3'!M99)))</f>
        <v/>
      </c>
      <c r="N37" s="19" t="str">
        <f>IF(ISBLANK('Raw counts'!N38),"",IF(ISERROR(IF('3'!N37&lt;MAX('3'!$B37:$U37),HLOOKUP('3'!N37+1,'3'!$B37:$U99,'3'!$W$3+3,0),'3'!N99)),'3'!N99,IF('3'!N37&lt;MAX('3'!$B37:$U37),HLOOKUP('3'!N37+1,'3'!$B37:$U99,'3'!$W$3+3,0),'3'!N99)))</f>
        <v/>
      </c>
      <c r="O37" s="19" t="str">
        <f>IF(ISBLANK('Raw counts'!O38),"",IF(ISERROR(IF('3'!O37&lt;MAX('3'!$B37:$U37),HLOOKUP('3'!O37+1,'3'!$B37:$U99,'3'!$W$3+3,0),'3'!O99)),'3'!O99,IF('3'!O37&lt;MAX('3'!$B37:$U37),HLOOKUP('3'!O37+1,'3'!$B37:$U99,'3'!$W$3+3,0),'3'!O99)))</f>
        <v/>
      </c>
      <c r="P37" s="19" t="str">
        <f>IF(ISBLANK('Raw counts'!P38),"",IF(ISERROR(IF('3'!P37&lt;MAX('3'!$B37:$U37),HLOOKUP('3'!P37+1,'3'!$B37:$U99,'3'!$W$3+3,0),'3'!P99)),'3'!P99,IF('3'!P37&lt;MAX('3'!$B37:$U37),HLOOKUP('3'!P37+1,'3'!$B37:$U99,'3'!$W$3+3,0),'3'!P99)))</f>
        <v/>
      </c>
      <c r="Q37" s="19" t="str">
        <f>IF(ISBLANK('Raw counts'!Q38),"",IF(ISERROR(IF('3'!Q37&lt;MAX('3'!$B37:$U37),HLOOKUP('3'!Q37+1,'3'!$B37:$U99,'3'!$W$3+3,0),'3'!Q99)),'3'!Q99,IF('3'!Q37&lt;MAX('3'!$B37:$U37),HLOOKUP('3'!Q37+1,'3'!$B37:$U99,'3'!$W$3+3,0),'3'!Q99)))</f>
        <v/>
      </c>
      <c r="R37" s="19" t="str">
        <f>IF(ISBLANK('Raw counts'!R38),"",IF(ISERROR(IF('3'!R37&lt;MAX('3'!$B37:$U37),HLOOKUP('3'!R37+1,'3'!$B37:$U99,'3'!$W$3+3,0),'3'!R99)),'3'!R99,IF('3'!R37&lt;MAX('3'!$B37:$U37),HLOOKUP('3'!R37+1,'3'!$B37:$U99,'3'!$W$3+3,0),'3'!R99)))</f>
        <v/>
      </c>
      <c r="S37" s="19" t="str">
        <f>IF(ISBLANK('Raw counts'!S38),"",IF(ISERROR(IF('3'!S37&lt;MAX('3'!$B37:$U37),HLOOKUP('3'!S37+1,'3'!$B37:$U99,'3'!$W$3+3,0),'3'!S99)),'3'!S99,IF('3'!S37&lt;MAX('3'!$B37:$U37),HLOOKUP('3'!S37+1,'3'!$B37:$U99,'3'!$W$3+3,0),'3'!S99)))</f>
        <v/>
      </c>
      <c r="T37" s="19" t="str">
        <f>IF(ISBLANK('Raw counts'!T38),"",IF(ISERROR(IF('3'!T37&lt;MAX('3'!$B37:$U37),HLOOKUP('3'!T37+1,'3'!$B37:$U99,'3'!$W$3+3,0),'3'!T99)),'3'!T99,IF('3'!T37&lt;MAX('3'!$B37:$U37),HLOOKUP('3'!T37+1,'3'!$B37:$U99,'3'!$W$3+3,0),'3'!T99)))</f>
        <v/>
      </c>
      <c r="U37" s="19" t="str">
        <f>IF(ISBLANK('Raw counts'!U38),"",IF(ISERROR(IF('3'!U37&lt;MAX('3'!$B37:$U37),HLOOKUP('3'!U37+1,'3'!$B37:$U99,'3'!$W$3+3,0),'3'!U99)),'3'!U99,IF('3'!U37&lt;MAX('3'!$B37:$U37),HLOOKUP('3'!U37+1,'3'!$B37:$U99,'3'!$W$3+3,0),'3'!U99)))</f>
        <v/>
      </c>
    </row>
    <row r="38" spans="1:21" x14ac:dyDescent="0.15">
      <c r="A38" s="18" t="str">
        <f>IF(ISBLANK('Raw counts'!A39),"",'Raw counts'!A39)</f>
        <v>Attr35</v>
      </c>
      <c r="B38" s="19" t="str">
        <f>IF(ISBLANK('Raw counts'!B39),"",IF(ISERROR(IF('3'!B38&lt;MAX('3'!$B38:$U38),HLOOKUP('3'!B38+1,'3'!$B38:$U100,'3'!$W$3+3,0),'3'!B100)),'3'!B100,IF('3'!B38&lt;MAX('3'!$B38:$U38),HLOOKUP('3'!B38+1,'3'!$B38:$U100,'3'!$W$3+3,0),'3'!B100)))</f>
        <v/>
      </c>
      <c r="C38" s="19" t="str">
        <f>IF(ISBLANK('Raw counts'!C39),"",IF(ISERROR(IF('3'!C38&lt;MAX('3'!$B38:$U38),HLOOKUP('3'!C38+1,'3'!$B38:$U100,'3'!$W$3+3,0),'3'!C100)),'3'!C100,IF('3'!C38&lt;MAX('3'!$B38:$U38),HLOOKUP('3'!C38+1,'3'!$B38:$U100,'3'!$W$3+3,0),'3'!C100)))</f>
        <v/>
      </c>
      <c r="D38" s="19" t="str">
        <f>IF(ISBLANK('Raw counts'!D39),"",IF(ISERROR(IF('3'!D38&lt;MAX('3'!$B38:$U38),HLOOKUP('3'!D38+1,'3'!$B38:$U100,'3'!$W$3+3,0),'3'!D100)),'3'!D100,IF('3'!D38&lt;MAX('3'!$B38:$U38),HLOOKUP('3'!D38+1,'3'!$B38:$U100,'3'!$W$3+3,0),'3'!D100)))</f>
        <v/>
      </c>
      <c r="E38" s="19" t="str">
        <f>IF(ISBLANK('Raw counts'!E39),"",IF(ISERROR(IF('3'!E38&lt;MAX('3'!$B38:$U38),HLOOKUP('3'!E38+1,'3'!$B38:$U100,'3'!$W$3+3,0),'3'!E100)),'3'!E100,IF('3'!E38&lt;MAX('3'!$B38:$U38),HLOOKUP('3'!E38+1,'3'!$B38:$U100,'3'!$W$3+3,0),'3'!E100)))</f>
        <v/>
      </c>
      <c r="F38" s="19" t="str">
        <f>IF(ISBLANK('Raw counts'!F39),"",IF(ISERROR(IF('3'!F38&lt;MAX('3'!$B38:$U38),HLOOKUP('3'!F38+1,'3'!$B38:$U100,'3'!$W$3+3,0),'3'!F100)),'3'!F100,IF('3'!F38&lt;MAX('3'!$B38:$U38),HLOOKUP('3'!F38+1,'3'!$B38:$U100,'3'!$W$3+3,0),'3'!F100)))</f>
        <v/>
      </c>
      <c r="G38" s="19" t="str">
        <f>IF(ISBLANK('Raw counts'!G39),"",IF(ISERROR(IF('3'!G38&lt;MAX('3'!$B38:$U38),HLOOKUP('3'!G38+1,'3'!$B38:$U100,'3'!$W$3+3,0),'3'!G100)),'3'!G100,IF('3'!G38&lt;MAX('3'!$B38:$U38),HLOOKUP('3'!G38+1,'3'!$B38:$U100,'3'!$W$3+3,0),'3'!G100)))</f>
        <v/>
      </c>
      <c r="H38" s="19" t="str">
        <f>IF(ISBLANK('Raw counts'!H39),"",IF(ISERROR(IF('3'!H38&lt;MAX('3'!$B38:$U38),HLOOKUP('3'!H38+1,'3'!$B38:$U100,'3'!$W$3+3,0),'3'!H100)),'3'!H100,IF('3'!H38&lt;MAX('3'!$B38:$U38),HLOOKUP('3'!H38+1,'3'!$B38:$U100,'3'!$W$3+3,0),'3'!H100)))</f>
        <v/>
      </c>
      <c r="I38" s="19" t="str">
        <f>IF(ISBLANK('Raw counts'!I39),"",IF(ISERROR(IF('3'!I38&lt;MAX('3'!$B38:$U38),HLOOKUP('3'!I38+1,'3'!$B38:$U100,'3'!$W$3+3,0),'3'!I100)),'3'!I100,IF('3'!I38&lt;MAX('3'!$B38:$U38),HLOOKUP('3'!I38+1,'3'!$B38:$U100,'3'!$W$3+3,0),'3'!I100)))</f>
        <v/>
      </c>
      <c r="J38" s="19" t="str">
        <f>IF(ISBLANK('Raw counts'!J39),"",IF(ISERROR(IF('3'!J38&lt;MAX('3'!$B38:$U38),HLOOKUP('3'!J38+1,'3'!$B38:$U100,'3'!$W$3+3,0),'3'!J100)),'3'!J100,IF('3'!J38&lt;MAX('3'!$B38:$U38),HLOOKUP('3'!J38+1,'3'!$B38:$U100,'3'!$W$3+3,0),'3'!J100)))</f>
        <v/>
      </c>
      <c r="K38" s="19" t="str">
        <f>IF(ISBLANK('Raw counts'!K39),"",IF(ISERROR(IF('3'!K38&lt;MAX('3'!$B38:$U38),HLOOKUP('3'!K38+1,'3'!$B38:$U100,'3'!$W$3+3,0),'3'!K100)),'3'!K100,IF('3'!K38&lt;MAX('3'!$B38:$U38),HLOOKUP('3'!K38+1,'3'!$B38:$U100,'3'!$W$3+3,0),'3'!K100)))</f>
        <v/>
      </c>
      <c r="L38" s="19" t="str">
        <f>IF(ISBLANK('Raw counts'!L39),"",IF(ISERROR(IF('3'!L38&lt;MAX('3'!$B38:$U38),HLOOKUP('3'!L38+1,'3'!$B38:$U100,'3'!$W$3+3,0),'3'!L100)),'3'!L100,IF('3'!L38&lt;MAX('3'!$B38:$U38),HLOOKUP('3'!L38+1,'3'!$B38:$U100,'3'!$W$3+3,0),'3'!L100)))</f>
        <v/>
      </c>
      <c r="M38" s="19" t="str">
        <f>IF(ISBLANK('Raw counts'!M39),"",IF(ISERROR(IF('3'!M38&lt;MAX('3'!$B38:$U38),HLOOKUP('3'!M38+1,'3'!$B38:$U100,'3'!$W$3+3,0),'3'!M100)),'3'!M100,IF('3'!M38&lt;MAX('3'!$B38:$U38),HLOOKUP('3'!M38+1,'3'!$B38:$U100,'3'!$W$3+3,0),'3'!M100)))</f>
        <v/>
      </c>
      <c r="N38" s="19" t="str">
        <f>IF(ISBLANK('Raw counts'!N39),"",IF(ISERROR(IF('3'!N38&lt;MAX('3'!$B38:$U38),HLOOKUP('3'!N38+1,'3'!$B38:$U100,'3'!$W$3+3,0),'3'!N100)),'3'!N100,IF('3'!N38&lt;MAX('3'!$B38:$U38),HLOOKUP('3'!N38+1,'3'!$B38:$U100,'3'!$W$3+3,0),'3'!N100)))</f>
        <v/>
      </c>
      <c r="O38" s="19" t="str">
        <f>IF(ISBLANK('Raw counts'!O39),"",IF(ISERROR(IF('3'!O38&lt;MAX('3'!$B38:$U38),HLOOKUP('3'!O38+1,'3'!$B38:$U100,'3'!$W$3+3,0),'3'!O100)),'3'!O100,IF('3'!O38&lt;MAX('3'!$B38:$U38),HLOOKUP('3'!O38+1,'3'!$B38:$U100,'3'!$W$3+3,0),'3'!O100)))</f>
        <v/>
      </c>
      <c r="P38" s="19" t="str">
        <f>IF(ISBLANK('Raw counts'!P39),"",IF(ISERROR(IF('3'!P38&lt;MAX('3'!$B38:$U38),HLOOKUP('3'!P38+1,'3'!$B38:$U100,'3'!$W$3+3,0),'3'!P100)),'3'!P100,IF('3'!P38&lt;MAX('3'!$B38:$U38),HLOOKUP('3'!P38+1,'3'!$B38:$U100,'3'!$W$3+3,0),'3'!P100)))</f>
        <v/>
      </c>
      <c r="Q38" s="19" t="str">
        <f>IF(ISBLANK('Raw counts'!Q39),"",IF(ISERROR(IF('3'!Q38&lt;MAX('3'!$B38:$U38),HLOOKUP('3'!Q38+1,'3'!$B38:$U100,'3'!$W$3+3,0),'3'!Q100)),'3'!Q100,IF('3'!Q38&lt;MAX('3'!$B38:$U38),HLOOKUP('3'!Q38+1,'3'!$B38:$U100,'3'!$W$3+3,0),'3'!Q100)))</f>
        <v/>
      </c>
      <c r="R38" s="19" t="str">
        <f>IF(ISBLANK('Raw counts'!R39),"",IF(ISERROR(IF('3'!R38&lt;MAX('3'!$B38:$U38),HLOOKUP('3'!R38+1,'3'!$B38:$U100,'3'!$W$3+3,0),'3'!R100)),'3'!R100,IF('3'!R38&lt;MAX('3'!$B38:$U38),HLOOKUP('3'!R38+1,'3'!$B38:$U100,'3'!$W$3+3,0),'3'!R100)))</f>
        <v/>
      </c>
      <c r="S38" s="19" t="str">
        <f>IF(ISBLANK('Raw counts'!S39),"",IF(ISERROR(IF('3'!S38&lt;MAX('3'!$B38:$U38),HLOOKUP('3'!S38+1,'3'!$B38:$U100,'3'!$W$3+3,0),'3'!S100)),'3'!S100,IF('3'!S38&lt;MAX('3'!$B38:$U38),HLOOKUP('3'!S38+1,'3'!$B38:$U100,'3'!$W$3+3,0),'3'!S100)))</f>
        <v/>
      </c>
      <c r="T38" s="19" t="str">
        <f>IF(ISBLANK('Raw counts'!T39),"",IF(ISERROR(IF('3'!T38&lt;MAX('3'!$B38:$U38),HLOOKUP('3'!T38+1,'3'!$B38:$U100,'3'!$W$3+3,0),'3'!T100)),'3'!T100,IF('3'!T38&lt;MAX('3'!$B38:$U38),HLOOKUP('3'!T38+1,'3'!$B38:$U100,'3'!$W$3+3,0),'3'!T100)))</f>
        <v/>
      </c>
      <c r="U38" s="19" t="str">
        <f>IF(ISBLANK('Raw counts'!U39),"",IF(ISERROR(IF('3'!U38&lt;MAX('3'!$B38:$U38),HLOOKUP('3'!U38+1,'3'!$B38:$U100,'3'!$W$3+3,0),'3'!U100)),'3'!U100,IF('3'!U38&lt;MAX('3'!$B38:$U38),HLOOKUP('3'!U38+1,'3'!$B38:$U100,'3'!$W$3+3,0),'3'!U100)))</f>
        <v/>
      </c>
    </row>
    <row r="39" spans="1:21" x14ac:dyDescent="0.15">
      <c r="A39" s="18" t="str">
        <f>IF(ISBLANK('Raw counts'!A40),"",'Raw counts'!A40)</f>
        <v>Attr36</v>
      </c>
      <c r="B39" s="19" t="str">
        <f>IF(ISBLANK('Raw counts'!B40),"",IF(ISERROR(IF('3'!B39&lt;MAX('3'!$B39:$U39),HLOOKUP('3'!B39+1,'3'!$B39:$U101,'3'!$W$3+3,0),'3'!B101)),'3'!B101,IF('3'!B39&lt;MAX('3'!$B39:$U39),HLOOKUP('3'!B39+1,'3'!$B39:$U101,'3'!$W$3+3,0),'3'!B101)))</f>
        <v/>
      </c>
      <c r="C39" s="19" t="str">
        <f>IF(ISBLANK('Raw counts'!C40),"",IF(ISERROR(IF('3'!C39&lt;MAX('3'!$B39:$U39),HLOOKUP('3'!C39+1,'3'!$B39:$U101,'3'!$W$3+3,0),'3'!C101)),'3'!C101,IF('3'!C39&lt;MAX('3'!$B39:$U39),HLOOKUP('3'!C39+1,'3'!$B39:$U101,'3'!$W$3+3,0),'3'!C101)))</f>
        <v/>
      </c>
      <c r="D39" s="19" t="str">
        <f>IF(ISBLANK('Raw counts'!D40),"",IF(ISERROR(IF('3'!D39&lt;MAX('3'!$B39:$U39),HLOOKUP('3'!D39+1,'3'!$B39:$U101,'3'!$W$3+3,0),'3'!D101)),'3'!D101,IF('3'!D39&lt;MAX('3'!$B39:$U39),HLOOKUP('3'!D39+1,'3'!$B39:$U101,'3'!$W$3+3,0),'3'!D101)))</f>
        <v/>
      </c>
      <c r="E39" s="19" t="str">
        <f>IF(ISBLANK('Raw counts'!E40),"",IF(ISERROR(IF('3'!E39&lt;MAX('3'!$B39:$U39),HLOOKUP('3'!E39+1,'3'!$B39:$U101,'3'!$W$3+3,0),'3'!E101)),'3'!E101,IF('3'!E39&lt;MAX('3'!$B39:$U39),HLOOKUP('3'!E39+1,'3'!$B39:$U101,'3'!$W$3+3,0),'3'!E101)))</f>
        <v/>
      </c>
      <c r="F39" s="19" t="str">
        <f>IF(ISBLANK('Raw counts'!F40),"",IF(ISERROR(IF('3'!F39&lt;MAX('3'!$B39:$U39),HLOOKUP('3'!F39+1,'3'!$B39:$U101,'3'!$W$3+3,0),'3'!F101)),'3'!F101,IF('3'!F39&lt;MAX('3'!$B39:$U39),HLOOKUP('3'!F39+1,'3'!$B39:$U101,'3'!$W$3+3,0),'3'!F101)))</f>
        <v/>
      </c>
      <c r="G39" s="19" t="str">
        <f>IF(ISBLANK('Raw counts'!G40),"",IF(ISERROR(IF('3'!G39&lt;MAX('3'!$B39:$U39),HLOOKUP('3'!G39+1,'3'!$B39:$U101,'3'!$W$3+3,0),'3'!G101)),'3'!G101,IF('3'!G39&lt;MAX('3'!$B39:$U39),HLOOKUP('3'!G39+1,'3'!$B39:$U101,'3'!$W$3+3,0),'3'!G101)))</f>
        <v/>
      </c>
      <c r="H39" s="19" t="str">
        <f>IF(ISBLANK('Raw counts'!H40),"",IF(ISERROR(IF('3'!H39&lt;MAX('3'!$B39:$U39),HLOOKUP('3'!H39+1,'3'!$B39:$U101,'3'!$W$3+3,0),'3'!H101)),'3'!H101,IF('3'!H39&lt;MAX('3'!$B39:$U39),HLOOKUP('3'!H39+1,'3'!$B39:$U101,'3'!$W$3+3,0),'3'!H101)))</f>
        <v/>
      </c>
      <c r="I39" s="19" t="str">
        <f>IF(ISBLANK('Raw counts'!I40),"",IF(ISERROR(IF('3'!I39&lt;MAX('3'!$B39:$U39),HLOOKUP('3'!I39+1,'3'!$B39:$U101,'3'!$W$3+3,0),'3'!I101)),'3'!I101,IF('3'!I39&lt;MAX('3'!$B39:$U39),HLOOKUP('3'!I39+1,'3'!$B39:$U101,'3'!$W$3+3,0),'3'!I101)))</f>
        <v/>
      </c>
      <c r="J39" s="19" t="str">
        <f>IF(ISBLANK('Raw counts'!J40),"",IF(ISERROR(IF('3'!J39&lt;MAX('3'!$B39:$U39),HLOOKUP('3'!J39+1,'3'!$B39:$U101,'3'!$W$3+3,0),'3'!J101)),'3'!J101,IF('3'!J39&lt;MAX('3'!$B39:$U39),HLOOKUP('3'!J39+1,'3'!$B39:$U101,'3'!$W$3+3,0),'3'!J101)))</f>
        <v/>
      </c>
      <c r="K39" s="19" t="str">
        <f>IF(ISBLANK('Raw counts'!K40),"",IF(ISERROR(IF('3'!K39&lt;MAX('3'!$B39:$U39),HLOOKUP('3'!K39+1,'3'!$B39:$U101,'3'!$W$3+3,0),'3'!K101)),'3'!K101,IF('3'!K39&lt;MAX('3'!$B39:$U39),HLOOKUP('3'!K39+1,'3'!$B39:$U101,'3'!$W$3+3,0),'3'!K101)))</f>
        <v/>
      </c>
      <c r="L39" s="19" t="str">
        <f>IF(ISBLANK('Raw counts'!L40),"",IF(ISERROR(IF('3'!L39&lt;MAX('3'!$B39:$U39),HLOOKUP('3'!L39+1,'3'!$B39:$U101,'3'!$W$3+3,0),'3'!L101)),'3'!L101,IF('3'!L39&lt;MAX('3'!$B39:$U39),HLOOKUP('3'!L39+1,'3'!$B39:$U101,'3'!$W$3+3,0),'3'!L101)))</f>
        <v/>
      </c>
      <c r="M39" s="19" t="str">
        <f>IF(ISBLANK('Raw counts'!M40),"",IF(ISERROR(IF('3'!M39&lt;MAX('3'!$B39:$U39),HLOOKUP('3'!M39+1,'3'!$B39:$U101,'3'!$W$3+3,0),'3'!M101)),'3'!M101,IF('3'!M39&lt;MAX('3'!$B39:$U39),HLOOKUP('3'!M39+1,'3'!$B39:$U101,'3'!$W$3+3,0),'3'!M101)))</f>
        <v/>
      </c>
      <c r="N39" s="19" t="str">
        <f>IF(ISBLANK('Raw counts'!N40),"",IF(ISERROR(IF('3'!N39&lt;MAX('3'!$B39:$U39),HLOOKUP('3'!N39+1,'3'!$B39:$U101,'3'!$W$3+3,0),'3'!N101)),'3'!N101,IF('3'!N39&lt;MAX('3'!$B39:$U39),HLOOKUP('3'!N39+1,'3'!$B39:$U101,'3'!$W$3+3,0),'3'!N101)))</f>
        <v/>
      </c>
      <c r="O39" s="19" t="str">
        <f>IF(ISBLANK('Raw counts'!O40),"",IF(ISERROR(IF('3'!O39&lt;MAX('3'!$B39:$U39),HLOOKUP('3'!O39+1,'3'!$B39:$U101,'3'!$W$3+3,0),'3'!O101)),'3'!O101,IF('3'!O39&lt;MAX('3'!$B39:$U39),HLOOKUP('3'!O39+1,'3'!$B39:$U101,'3'!$W$3+3,0),'3'!O101)))</f>
        <v/>
      </c>
      <c r="P39" s="19" t="str">
        <f>IF(ISBLANK('Raw counts'!P40),"",IF(ISERROR(IF('3'!P39&lt;MAX('3'!$B39:$U39),HLOOKUP('3'!P39+1,'3'!$B39:$U101,'3'!$W$3+3,0),'3'!P101)),'3'!P101,IF('3'!P39&lt;MAX('3'!$B39:$U39),HLOOKUP('3'!P39+1,'3'!$B39:$U101,'3'!$W$3+3,0),'3'!P101)))</f>
        <v/>
      </c>
      <c r="Q39" s="19" t="str">
        <f>IF(ISBLANK('Raw counts'!Q40),"",IF(ISERROR(IF('3'!Q39&lt;MAX('3'!$B39:$U39),HLOOKUP('3'!Q39+1,'3'!$B39:$U101,'3'!$W$3+3,0),'3'!Q101)),'3'!Q101,IF('3'!Q39&lt;MAX('3'!$B39:$U39),HLOOKUP('3'!Q39+1,'3'!$B39:$U101,'3'!$W$3+3,0),'3'!Q101)))</f>
        <v/>
      </c>
      <c r="R39" s="19" t="str">
        <f>IF(ISBLANK('Raw counts'!R40),"",IF(ISERROR(IF('3'!R39&lt;MAX('3'!$B39:$U39),HLOOKUP('3'!R39+1,'3'!$B39:$U101,'3'!$W$3+3,0),'3'!R101)),'3'!R101,IF('3'!R39&lt;MAX('3'!$B39:$U39),HLOOKUP('3'!R39+1,'3'!$B39:$U101,'3'!$W$3+3,0),'3'!R101)))</f>
        <v/>
      </c>
      <c r="S39" s="19" t="str">
        <f>IF(ISBLANK('Raw counts'!S40),"",IF(ISERROR(IF('3'!S39&lt;MAX('3'!$B39:$U39),HLOOKUP('3'!S39+1,'3'!$B39:$U101,'3'!$W$3+3,0),'3'!S101)),'3'!S101,IF('3'!S39&lt;MAX('3'!$B39:$U39),HLOOKUP('3'!S39+1,'3'!$B39:$U101,'3'!$W$3+3,0),'3'!S101)))</f>
        <v/>
      </c>
      <c r="T39" s="19" t="str">
        <f>IF(ISBLANK('Raw counts'!T40),"",IF(ISERROR(IF('3'!T39&lt;MAX('3'!$B39:$U39),HLOOKUP('3'!T39+1,'3'!$B39:$U101,'3'!$W$3+3,0),'3'!T101)),'3'!T101,IF('3'!T39&lt;MAX('3'!$B39:$U39),HLOOKUP('3'!T39+1,'3'!$B39:$U101,'3'!$W$3+3,0),'3'!T101)))</f>
        <v/>
      </c>
      <c r="U39" s="19" t="str">
        <f>IF(ISBLANK('Raw counts'!U40),"",IF(ISERROR(IF('3'!U39&lt;MAX('3'!$B39:$U39),HLOOKUP('3'!U39+1,'3'!$B39:$U101,'3'!$W$3+3,0),'3'!U101)),'3'!U101,IF('3'!U39&lt;MAX('3'!$B39:$U39),HLOOKUP('3'!U39+1,'3'!$B39:$U101,'3'!$W$3+3,0),'3'!U101)))</f>
        <v/>
      </c>
    </row>
    <row r="40" spans="1:21" x14ac:dyDescent="0.15">
      <c r="A40" s="18" t="str">
        <f>IF(ISBLANK('Raw counts'!A41),"",'Raw counts'!A41)</f>
        <v>Attr37</v>
      </c>
      <c r="B40" s="19" t="str">
        <f>IF(ISBLANK('Raw counts'!B41),"",IF(ISERROR(IF('3'!B40&lt;MAX('3'!$B40:$U40),HLOOKUP('3'!B40+1,'3'!$B40:$U102,'3'!$W$3+3,0),'3'!B102)),'3'!B102,IF('3'!B40&lt;MAX('3'!$B40:$U40),HLOOKUP('3'!B40+1,'3'!$B40:$U102,'3'!$W$3+3,0),'3'!B102)))</f>
        <v/>
      </c>
      <c r="C40" s="19" t="str">
        <f>IF(ISBLANK('Raw counts'!C41),"",IF(ISERROR(IF('3'!C40&lt;MAX('3'!$B40:$U40),HLOOKUP('3'!C40+1,'3'!$B40:$U102,'3'!$W$3+3,0),'3'!C102)),'3'!C102,IF('3'!C40&lt;MAX('3'!$B40:$U40),HLOOKUP('3'!C40+1,'3'!$B40:$U102,'3'!$W$3+3,0),'3'!C102)))</f>
        <v/>
      </c>
      <c r="D40" s="19" t="str">
        <f>IF(ISBLANK('Raw counts'!D41),"",IF(ISERROR(IF('3'!D40&lt;MAX('3'!$B40:$U40),HLOOKUP('3'!D40+1,'3'!$B40:$U102,'3'!$W$3+3,0),'3'!D102)),'3'!D102,IF('3'!D40&lt;MAX('3'!$B40:$U40),HLOOKUP('3'!D40+1,'3'!$B40:$U102,'3'!$W$3+3,0),'3'!D102)))</f>
        <v/>
      </c>
      <c r="E40" s="19" t="str">
        <f>IF(ISBLANK('Raw counts'!E41),"",IF(ISERROR(IF('3'!E40&lt;MAX('3'!$B40:$U40),HLOOKUP('3'!E40+1,'3'!$B40:$U102,'3'!$W$3+3,0),'3'!E102)),'3'!E102,IF('3'!E40&lt;MAX('3'!$B40:$U40),HLOOKUP('3'!E40+1,'3'!$B40:$U102,'3'!$W$3+3,0),'3'!E102)))</f>
        <v/>
      </c>
      <c r="F40" s="19" t="str">
        <f>IF(ISBLANK('Raw counts'!F41),"",IF(ISERROR(IF('3'!F40&lt;MAX('3'!$B40:$U40),HLOOKUP('3'!F40+1,'3'!$B40:$U102,'3'!$W$3+3,0),'3'!F102)),'3'!F102,IF('3'!F40&lt;MAX('3'!$B40:$U40),HLOOKUP('3'!F40+1,'3'!$B40:$U102,'3'!$W$3+3,0),'3'!F102)))</f>
        <v/>
      </c>
      <c r="G40" s="19" t="str">
        <f>IF(ISBLANK('Raw counts'!G41),"",IF(ISERROR(IF('3'!G40&lt;MAX('3'!$B40:$U40),HLOOKUP('3'!G40+1,'3'!$B40:$U102,'3'!$W$3+3,0),'3'!G102)),'3'!G102,IF('3'!G40&lt;MAX('3'!$B40:$U40),HLOOKUP('3'!G40+1,'3'!$B40:$U102,'3'!$W$3+3,0),'3'!G102)))</f>
        <v/>
      </c>
      <c r="H40" s="19" t="str">
        <f>IF(ISBLANK('Raw counts'!H41),"",IF(ISERROR(IF('3'!H40&lt;MAX('3'!$B40:$U40),HLOOKUP('3'!H40+1,'3'!$B40:$U102,'3'!$W$3+3,0),'3'!H102)),'3'!H102,IF('3'!H40&lt;MAX('3'!$B40:$U40),HLOOKUP('3'!H40+1,'3'!$B40:$U102,'3'!$W$3+3,0),'3'!H102)))</f>
        <v/>
      </c>
      <c r="I40" s="19" t="str">
        <f>IF(ISBLANK('Raw counts'!I41),"",IF(ISERROR(IF('3'!I40&lt;MAX('3'!$B40:$U40),HLOOKUP('3'!I40+1,'3'!$B40:$U102,'3'!$W$3+3,0),'3'!I102)),'3'!I102,IF('3'!I40&lt;MAX('3'!$B40:$U40),HLOOKUP('3'!I40+1,'3'!$B40:$U102,'3'!$W$3+3,0),'3'!I102)))</f>
        <v/>
      </c>
      <c r="J40" s="19" t="str">
        <f>IF(ISBLANK('Raw counts'!J41),"",IF(ISERROR(IF('3'!J40&lt;MAX('3'!$B40:$U40),HLOOKUP('3'!J40+1,'3'!$B40:$U102,'3'!$W$3+3,0),'3'!J102)),'3'!J102,IF('3'!J40&lt;MAX('3'!$B40:$U40),HLOOKUP('3'!J40+1,'3'!$B40:$U102,'3'!$W$3+3,0),'3'!J102)))</f>
        <v/>
      </c>
      <c r="K40" s="19" t="str">
        <f>IF(ISBLANK('Raw counts'!K41),"",IF(ISERROR(IF('3'!K40&lt;MAX('3'!$B40:$U40),HLOOKUP('3'!K40+1,'3'!$B40:$U102,'3'!$W$3+3,0),'3'!K102)),'3'!K102,IF('3'!K40&lt;MAX('3'!$B40:$U40),HLOOKUP('3'!K40+1,'3'!$B40:$U102,'3'!$W$3+3,0),'3'!K102)))</f>
        <v/>
      </c>
      <c r="L40" s="19" t="str">
        <f>IF(ISBLANK('Raw counts'!L41),"",IF(ISERROR(IF('3'!L40&lt;MAX('3'!$B40:$U40),HLOOKUP('3'!L40+1,'3'!$B40:$U102,'3'!$W$3+3,0),'3'!L102)),'3'!L102,IF('3'!L40&lt;MAX('3'!$B40:$U40),HLOOKUP('3'!L40+1,'3'!$B40:$U102,'3'!$W$3+3,0),'3'!L102)))</f>
        <v/>
      </c>
      <c r="M40" s="19" t="str">
        <f>IF(ISBLANK('Raw counts'!M41),"",IF(ISERROR(IF('3'!M40&lt;MAX('3'!$B40:$U40),HLOOKUP('3'!M40+1,'3'!$B40:$U102,'3'!$W$3+3,0),'3'!M102)),'3'!M102,IF('3'!M40&lt;MAX('3'!$B40:$U40),HLOOKUP('3'!M40+1,'3'!$B40:$U102,'3'!$W$3+3,0),'3'!M102)))</f>
        <v/>
      </c>
      <c r="N40" s="19" t="str">
        <f>IF(ISBLANK('Raw counts'!N41),"",IF(ISERROR(IF('3'!N40&lt;MAX('3'!$B40:$U40),HLOOKUP('3'!N40+1,'3'!$B40:$U102,'3'!$W$3+3,0),'3'!N102)),'3'!N102,IF('3'!N40&lt;MAX('3'!$B40:$U40),HLOOKUP('3'!N40+1,'3'!$B40:$U102,'3'!$W$3+3,0),'3'!N102)))</f>
        <v/>
      </c>
      <c r="O40" s="19" t="str">
        <f>IF(ISBLANK('Raw counts'!O41),"",IF(ISERROR(IF('3'!O40&lt;MAX('3'!$B40:$U40),HLOOKUP('3'!O40+1,'3'!$B40:$U102,'3'!$W$3+3,0),'3'!O102)),'3'!O102,IF('3'!O40&lt;MAX('3'!$B40:$U40),HLOOKUP('3'!O40+1,'3'!$B40:$U102,'3'!$W$3+3,0),'3'!O102)))</f>
        <v/>
      </c>
      <c r="P40" s="19" t="str">
        <f>IF(ISBLANK('Raw counts'!P41),"",IF(ISERROR(IF('3'!P40&lt;MAX('3'!$B40:$U40),HLOOKUP('3'!P40+1,'3'!$B40:$U102,'3'!$W$3+3,0),'3'!P102)),'3'!P102,IF('3'!P40&lt;MAX('3'!$B40:$U40),HLOOKUP('3'!P40+1,'3'!$B40:$U102,'3'!$W$3+3,0),'3'!P102)))</f>
        <v/>
      </c>
      <c r="Q40" s="19" t="str">
        <f>IF(ISBLANK('Raw counts'!Q41),"",IF(ISERROR(IF('3'!Q40&lt;MAX('3'!$B40:$U40),HLOOKUP('3'!Q40+1,'3'!$B40:$U102,'3'!$W$3+3,0),'3'!Q102)),'3'!Q102,IF('3'!Q40&lt;MAX('3'!$B40:$U40),HLOOKUP('3'!Q40+1,'3'!$B40:$U102,'3'!$W$3+3,0),'3'!Q102)))</f>
        <v/>
      </c>
      <c r="R40" s="19" t="str">
        <f>IF(ISBLANK('Raw counts'!R41),"",IF(ISERROR(IF('3'!R40&lt;MAX('3'!$B40:$U40),HLOOKUP('3'!R40+1,'3'!$B40:$U102,'3'!$W$3+3,0),'3'!R102)),'3'!R102,IF('3'!R40&lt;MAX('3'!$B40:$U40),HLOOKUP('3'!R40+1,'3'!$B40:$U102,'3'!$W$3+3,0),'3'!R102)))</f>
        <v/>
      </c>
      <c r="S40" s="19" t="str">
        <f>IF(ISBLANK('Raw counts'!S41),"",IF(ISERROR(IF('3'!S40&lt;MAX('3'!$B40:$U40),HLOOKUP('3'!S40+1,'3'!$B40:$U102,'3'!$W$3+3,0),'3'!S102)),'3'!S102,IF('3'!S40&lt;MAX('3'!$B40:$U40),HLOOKUP('3'!S40+1,'3'!$B40:$U102,'3'!$W$3+3,0),'3'!S102)))</f>
        <v/>
      </c>
      <c r="T40" s="19" t="str">
        <f>IF(ISBLANK('Raw counts'!T41),"",IF(ISERROR(IF('3'!T40&lt;MAX('3'!$B40:$U40),HLOOKUP('3'!T40+1,'3'!$B40:$U102,'3'!$W$3+3,0),'3'!T102)),'3'!T102,IF('3'!T40&lt;MAX('3'!$B40:$U40),HLOOKUP('3'!T40+1,'3'!$B40:$U102,'3'!$W$3+3,0),'3'!T102)))</f>
        <v/>
      </c>
      <c r="U40" s="19" t="str">
        <f>IF(ISBLANK('Raw counts'!U41),"",IF(ISERROR(IF('3'!U40&lt;MAX('3'!$B40:$U40),HLOOKUP('3'!U40+1,'3'!$B40:$U102,'3'!$W$3+3,0),'3'!U102)),'3'!U102,IF('3'!U40&lt;MAX('3'!$B40:$U40),HLOOKUP('3'!U40+1,'3'!$B40:$U102,'3'!$W$3+3,0),'3'!U102)))</f>
        <v/>
      </c>
    </row>
    <row r="41" spans="1:21" x14ac:dyDescent="0.15">
      <c r="A41" s="18" t="str">
        <f>IF(ISBLANK('Raw counts'!A42),"",'Raw counts'!A42)</f>
        <v>Attr38</v>
      </c>
      <c r="B41" s="19" t="str">
        <f>IF(ISBLANK('Raw counts'!B42),"",IF(ISERROR(IF('3'!B41&lt;MAX('3'!$B41:$U41),HLOOKUP('3'!B41+1,'3'!$B41:$U103,'3'!$W$3+3,0),'3'!B103)),'3'!B103,IF('3'!B41&lt;MAX('3'!$B41:$U41),HLOOKUP('3'!B41+1,'3'!$B41:$U103,'3'!$W$3+3,0),'3'!B103)))</f>
        <v/>
      </c>
      <c r="C41" s="19" t="str">
        <f>IF(ISBLANK('Raw counts'!C42),"",IF(ISERROR(IF('3'!C41&lt;MAX('3'!$B41:$U41),HLOOKUP('3'!C41+1,'3'!$B41:$U103,'3'!$W$3+3,0),'3'!C103)),'3'!C103,IF('3'!C41&lt;MAX('3'!$B41:$U41),HLOOKUP('3'!C41+1,'3'!$B41:$U103,'3'!$W$3+3,0),'3'!C103)))</f>
        <v/>
      </c>
      <c r="D41" s="19" t="str">
        <f>IF(ISBLANK('Raw counts'!D42),"",IF(ISERROR(IF('3'!D41&lt;MAX('3'!$B41:$U41),HLOOKUP('3'!D41+1,'3'!$B41:$U103,'3'!$W$3+3,0),'3'!D103)),'3'!D103,IF('3'!D41&lt;MAX('3'!$B41:$U41),HLOOKUP('3'!D41+1,'3'!$B41:$U103,'3'!$W$3+3,0),'3'!D103)))</f>
        <v/>
      </c>
      <c r="E41" s="19" t="str">
        <f>IF(ISBLANK('Raw counts'!E42),"",IF(ISERROR(IF('3'!E41&lt;MAX('3'!$B41:$U41),HLOOKUP('3'!E41+1,'3'!$B41:$U103,'3'!$W$3+3,0),'3'!E103)),'3'!E103,IF('3'!E41&lt;MAX('3'!$B41:$U41),HLOOKUP('3'!E41+1,'3'!$B41:$U103,'3'!$W$3+3,0),'3'!E103)))</f>
        <v/>
      </c>
      <c r="F41" s="19" t="str">
        <f>IF(ISBLANK('Raw counts'!F42),"",IF(ISERROR(IF('3'!F41&lt;MAX('3'!$B41:$U41),HLOOKUP('3'!F41+1,'3'!$B41:$U103,'3'!$W$3+3,0),'3'!F103)),'3'!F103,IF('3'!F41&lt;MAX('3'!$B41:$U41),HLOOKUP('3'!F41+1,'3'!$B41:$U103,'3'!$W$3+3,0),'3'!F103)))</f>
        <v/>
      </c>
      <c r="G41" s="19" t="str">
        <f>IF(ISBLANK('Raw counts'!G42),"",IF(ISERROR(IF('3'!G41&lt;MAX('3'!$B41:$U41),HLOOKUP('3'!G41+1,'3'!$B41:$U103,'3'!$W$3+3,0),'3'!G103)),'3'!G103,IF('3'!G41&lt;MAX('3'!$B41:$U41),HLOOKUP('3'!G41+1,'3'!$B41:$U103,'3'!$W$3+3,0),'3'!G103)))</f>
        <v/>
      </c>
      <c r="H41" s="19" t="str">
        <f>IF(ISBLANK('Raw counts'!H42),"",IF(ISERROR(IF('3'!H41&lt;MAX('3'!$B41:$U41),HLOOKUP('3'!H41+1,'3'!$B41:$U103,'3'!$W$3+3,0),'3'!H103)),'3'!H103,IF('3'!H41&lt;MAX('3'!$B41:$U41),HLOOKUP('3'!H41+1,'3'!$B41:$U103,'3'!$W$3+3,0),'3'!H103)))</f>
        <v/>
      </c>
      <c r="I41" s="19" t="str">
        <f>IF(ISBLANK('Raw counts'!I42),"",IF(ISERROR(IF('3'!I41&lt;MAX('3'!$B41:$U41),HLOOKUP('3'!I41+1,'3'!$B41:$U103,'3'!$W$3+3,0),'3'!I103)),'3'!I103,IF('3'!I41&lt;MAX('3'!$B41:$U41),HLOOKUP('3'!I41+1,'3'!$B41:$U103,'3'!$W$3+3,0),'3'!I103)))</f>
        <v/>
      </c>
      <c r="J41" s="19" t="str">
        <f>IF(ISBLANK('Raw counts'!J42),"",IF(ISERROR(IF('3'!J41&lt;MAX('3'!$B41:$U41),HLOOKUP('3'!J41+1,'3'!$B41:$U103,'3'!$W$3+3,0),'3'!J103)),'3'!J103,IF('3'!J41&lt;MAX('3'!$B41:$U41),HLOOKUP('3'!J41+1,'3'!$B41:$U103,'3'!$W$3+3,0),'3'!J103)))</f>
        <v/>
      </c>
      <c r="K41" s="19" t="str">
        <f>IF(ISBLANK('Raw counts'!K42),"",IF(ISERROR(IF('3'!K41&lt;MAX('3'!$B41:$U41),HLOOKUP('3'!K41+1,'3'!$B41:$U103,'3'!$W$3+3,0),'3'!K103)),'3'!K103,IF('3'!K41&lt;MAX('3'!$B41:$U41),HLOOKUP('3'!K41+1,'3'!$B41:$U103,'3'!$W$3+3,0),'3'!K103)))</f>
        <v/>
      </c>
      <c r="L41" s="19" t="str">
        <f>IF(ISBLANK('Raw counts'!L42),"",IF(ISERROR(IF('3'!L41&lt;MAX('3'!$B41:$U41),HLOOKUP('3'!L41+1,'3'!$B41:$U103,'3'!$W$3+3,0),'3'!L103)),'3'!L103,IF('3'!L41&lt;MAX('3'!$B41:$U41),HLOOKUP('3'!L41+1,'3'!$B41:$U103,'3'!$W$3+3,0),'3'!L103)))</f>
        <v/>
      </c>
      <c r="M41" s="19" t="str">
        <f>IF(ISBLANK('Raw counts'!M42),"",IF(ISERROR(IF('3'!M41&lt;MAX('3'!$B41:$U41),HLOOKUP('3'!M41+1,'3'!$B41:$U103,'3'!$W$3+3,0),'3'!M103)),'3'!M103,IF('3'!M41&lt;MAX('3'!$B41:$U41),HLOOKUP('3'!M41+1,'3'!$B41:$U103,'3'!$W$3+3,0),'3'!M103)))</f>
        <v/>
      </c>
      <c r="N41" s="19" t="str">
        <f>IF(ISBLANK('Raw counts'!N42),"",IF(ISERROR(IF('3'!N41&lt;MAX('3'!$B41:$U41),HLOOKUP('3'!N41+1,'3'!$B41:$U103,'3'!$W$3+3,0),'3'!N103)),'3'!N103,IF('3'!N41&lt;MAX('3'!$B41:$U41),HLOOKUP('3'!N41+1,'3'!$B41:$U103,'3'!$W$3+3,0),'3'!N103)))</f>
        <v/>
      </c>
      <c r="O41" s="19" t="str">
        <f>IF(ISBLANK('Raw counts'!O42),"",IF(ISERROR(IF('3'!O41&lt;MAX('3'!$B41:$U41),HLOOKUP('3'!O41+1,'3'!$B41:$U103,'3'!$W$3+3,0),'3'!O103)),'3'!O103,IF('3'!O41&lt;MAX('3'!$B41:$U41),HLOOKUP('3'!O41+1,'3'!$B41:$U103,'3'!$W$3+3,0),'3'!O103)))</f>
        <v/>
      </c>
      <c r="P41" s="19" t="str">
        <f>IF(ISBLANK('Raw counts'!P42),"",IF(ISERROR(IF('3'!P41&lt;MAX('3'!$B41:$U41),HLOOKUP('3'!P41+1,'3'!$B41:$U103,'3'!$W$3+3,0),'3'!P103)),'3'!P103,IF('3'!P41&lt;MAX('3'!$B41:$U41),HLOOKUP('3'!P41+1,'3'!$B41:$U103,'3'!$W$3+3,0),'3'!P103)))</f>
        <v/>
      </c>
      <c r="Q41" s="19" t="str">
        <f>IF(ISBLANK('Raw counts'!Q42),"",IF(ISERROR(IF('3'!Q41&lt;MAX('3'!$B41:$U41),HLOOKUP('3'!Q41+1,'3'!$B41:$U103,'3'!$W$3+3,0),'3'!Q103)),'3'!Q103,IF('3'!Q41&lt;MAX('3'!$B41:$U41),HLOOKUP('3'!Q41+1,'3'!$B41:$U103,'3'!$W$3+3,0),'3'!Q103)))</f>
        <v/>
      </c>
      <c r="R41" s="19" t="str">
        <f>IF(ISBLANK('Raw counts'!R42),"",IF(ISERROR(IF('3'!R41&lt;MAX('3'!$B41:$U41),HLOOKUP('3'!R41+1,'3'!$B41:$U103,'3'!$W$3+3,0),'3'!R103)),'3'!R103,IF('3'!R41&lt;MAX('3'!$B41:$U41),HLOOKUP('3'!R41+1,'3'!$B41:$U103,'3'!$W$3+3,0),'3'!R103)))</f>
        <v/>
      </c>
      <c r="S41" s="19" t="str">
        <f>IF(ISBLANK('Raw counts'!S42),"",IF(ISERROR(IF('3'!S41&lt;MAX('3'!$B41:$U41),HLOOKUP('3'!S41+1,'3'!$B41:$U103,'3'!$W$3+3,0),'3'!S103)),'3'!S103,IF('3'!S41&lt;MAX('3'!$B41:$U41),HLOOKUP('3'!S41+1,'3'!$B41:$U103,'3'!$W$3+3,0),'3'!S103)))</f>
        <v/>
      </c>
      <c r="T41" s="19" t="str">
        <f>IF(ISBLANK('Raw counts'!T42),"",IF(ISERROR(IF('3'!T41&lt;MAX('3'!$B41:$U41),HLOOKUP('3'!T41+1,'3'!$B41:$U103,'3'!$W$3+3,0),'3'!T103)),'3'!T103,IF('3'!T41&lt;MAX('3'!$B41:$U41),HLOOKUP('3'!T41+1,'3'!$B41:$U103,'3'!$W$3+3,0),'3'!T103)))</f>
        <v/>
      </c>
      <c r="U41" s="19" t="str">
        <f>IF(ISBLANK('Raw counts'!U42),"",IF(ISERROR(IF('3'!U41&lt;MAX('3'!$B41:$U41),HLOOKUP('3'!U41+1,'3'!$B41:$U103,'3'!$W$3+3,0),'3'!U103)),'3'!U103,IF('3'!U41&lt;MAX('3'!$B41:$U41),HLOOKUP('3'!U41+1,'3'!$B41:$U103,'3'!$W$3+3,0),'3'!U103)))</f>
        <v/>
      </c>
    </row>
    <row r="42" spans="1:21" x14ac:dyDescent="0.15">
      <c r="A42" s="18" t="str">
        <f>IF(ISBLANK('Raw counts'!A43),"",'Raw counts'!A43)</f>
        <v>Attr39</v>
      </c>
      <c r="B42" s="19" t="str">
        <f>IF(ISBLANK('Raw counts'!B43),"",IF(ISERROR(IF('3'!B42&lt;MAX('3'!$B42:$U42),HLOOKUP('3'!B42+1,'3'!$B42:$U104,'3'!$W$3+3,0),'3'!B104)),'3'!B104,IF('3'!B42&lt;MAX('3'!$B42:$U42),HLOOKUP('3'!B42+1,'3'!$B42:$U104,'3'!$W$3+3,0),'3'!B104)))</f>
        <v/>
      </c>
      <c r="C42" s="19" t="str">
        <f>IF(ISBLANK('Raw counts'!C43),"",IF(ISERROR(IF('3'!C42&lt;MAX('3'!$B42:$U42),HLOOKUP('3'!C42+1,'3'!$B42:$U104,'3'!$W$3+3,0),'3'!C104)),'3'!C104,IF('3'!C42&lt;MAX('3'!$B42:$U42),HLOOKUP('3'!C42+1,'3'!$B42:$U104,'3'!$W$3+3,0),'3'!C104)))</f>
        <v/>
      </c>
      <c r="D42" s="19" t="str">
        <f>IF(ISBLANK('Raw counts'!D43),"",IF(ISERROR(IF('3'!D42&lt;MAX('3'!$B42:$U42),HLOOKUP('3'!D42+1,'3'!$B42:$U104,'3'!$W$3+3,0),'3'!D104)),'3'!D104,IF('3'!D42&lt;MAX('3'!$B42:$U42),HLOOKUP('3'!D42+1,'3'!$B42:$U104,'3'!$W$3+3,0),'3'!D104)))</f>
        <v/>
      </c>
      <c r="E42" s="19" t="str">
        <f>IF(ISBLANK('Raw counts'!E43),"",IF(ISERROR(IF('3'!E42&lt;MAX('3'!$B42:$U42),HLOOKUP('3'!E42+1,'3'!$B42:$U104,'3'!$W$3+3,0),'3'!E104)),'3'!E104,IF('3'!E42&lt;MAX('3'!$B42:$U42),HLOOKUP('3'!E42+1,'3'!$B42:$U104,'3'!$W$3+3,0),'3'!E104)))</f>
        <v/>
      </c>
      <c r="F42" s="19" t="str">
        <f>IF(ISBLANK('Raw counts'!F43),"",IF(ISERROR(IF('3'!F42&lt;MAX('3'!$B42:$U42),HLOOKUP('3'!F42+1,'3'!$B42:$U104,'3'!$W$3+3,0),'3'!F104)),'3'!F104,IF('3'!F42&lt;MAX('3'!$B42:$U42),HLOOKUP('3'!F42+1,'3'!$B42:$U104,'3'!$W$3+3,0),'3'!F104)))</f>
        <v/>
      </c>
      <c r="G42" s="19" t="str">
        <f>IF(ISBLANK('Raw counts'!G43),"",IF(ISERROR(IF('3'!G42&lt;MAX('3'!$B42:$U42),HLOOKUP('3'!G42+1,'3'!$B42:$U104,'3'!$W$3+3,0),'3'!G104)),'3'!G104,IF('3'!G42&lt;MAX('3'!$B42:$U42),HLOOKUP('3'!G42+1,'3'!$B42:$U104,'3'!$W$3+3,0),'3'!G104)))</f>
        <v/>
      </c>
      <c r="H42" s="19" t="str">
        <f>IF(ISBLANK('Raw counts'!H43),"",IF(ISERROR(IF('3'!H42&lt;MAX('3'!$B42:$U42),HLOOKUP('3'!H42+1,'3'!$B42:$U104,'3'!$W$3+3,0),'3'!H104)),'3'!H104,IF('3'!H42&lt;MAX('3'!$B42:$U42),HLOOKUP('3'!H42+1,'3'!$B42:$U104,'3'!$W$3+3,0),'3'!H104)))</f>
        <v/>
      </c>
      <c r="I42" s="19" t="str">
        <f>IF(ISBLANK('Raw counts'!I43),"",IF(ISERROR(IF('3'!I42&lt;MAX('3'!$B42:$U42),HLOOKUP('3'!I42+1,'3'!$B42:$U104,'3'!$W$3+3,0),'3'!I104)),'3'!I104,IF('3'!I42&lt;MAX('3'!$B42:$U42),HLOOKUP('3'!I42+1,'3'!$B42:$U104,'3'!$W$3+3,0),'3'!I104)))</f>
        <v/>
      </c>
      <c r="J42" s="19" t="str">
        <f>IF(ISBLANK('Raw counts'!J43),"",IF(ISERROR(IF('3'!J42&lt;MAX('3'!$B42:$U42),HLOOKUP('3'!J42+1,'3'!$B42:$U104,'3'!$W$3+3,0),'3'!J104)),'3'!J104,IF('3'!J42&lt;MAX('3'!$B42:$U42),HLOOKUP('3'!J42+1,'3'!$B42:$U104,'3'!$W$3+3,0),'3'!J104)))</f>
        <v/>
      </c>
      <c r="K42" s="19" t="str">
        <f>IF(ISBLANK('Raw counts'!K43),"",IF(ISERROR(IF('3'!K42&lt;MAX('3'!$B42:$U42),HLOOKUP('3'!K42+1,'3'!$B42:$U104,'3'!$W$3+3,0),'3'!K104)),'3'!K104,IF('3'!K42&lt;MAX('3'!$B42:$U42),HLOOKUP('3'!K42+1,'3'!$B42:$U104,'3'!$W$3+3,0),'3'!K104)))</f>
        <v/>
      </c>
      <c r="L42" s="19" t="str">
        <f>IF(ISBLANK('Raw counts'!L43),"",IF(ISERROR(IF('3'!L42&lt;MAX('3'!$B42:$U42),HLOOKUP('3'!L42+1,'3'!$B42:$U104,'3'!$W$3+3,0),'3'!L104)),'3'!L104,IF('3'!L42&lt;MAX('3'!$B42:$U42),HLOOKUP('3'!L42+1,'3'!$B42:$U104,'3'!$W$3+3,0),'3'!L104)))</f>
        <v/>
      </c>
      <c r="M42" s="19" t="str">
        <f>IF(ISBLANK('Raw counts'!M43),"",IF(ISERROR(IF('3'!M42&lt;MAX('3'!$B42:$U42),HLOOKUP('3'!M42+1,'3'!$B42:$U104,'3'!$W$3+3,0),'3'!M104)),'3'!M104,IF('3'!M42&lt;MAX('3'!$B42:$U42),HLOOKUP('3'!M42+1,'3'!$B42:$U104,'3'!$W$3+3,0),'3'!M104)))</f>
        <v/>
      </c>
      <c r="N42" s="19" t="str">
        <f>IF(ISBLANK('Raw counts'!N43),"",IF(ISERROR(IF('3'!N42&lt;MAX('3'!$B42:$U42),HLOOKUP('3'!N42+1,'3'!$B42:$U104,'3'!$W$3+3,0),'3'!N104)),'3'!N104,IF('3'!N42&lt;MAX('3'!$B42:$U42),HLOOKUP('3'!N42+1,'3'!$B42:$U104,'3'!$W$3+3,0),'3'!N104)))</f>
        <v/>
      </c>
      <c r="O42" s="19" t="str">
        <f>IF(ISBLANK('Raw counts'!O43),"",IF(ISERROR(IF('3'!O42&lt;MAX('3'!$B42:$U42),HLOOKUP('3'!O42+1,'3'!$B42:$U104,'3'!$W$3+3,0),'3'!O104)),'3'!O104,IF('3'!O42&lt;MAX('3'!$B42:$U42),HLOOKUP('3'!O42+1,'3'!$B42:$U104,'3'!$W$3+3,0),'3'!O104)))</f>
        <v/>
      </c>
      <c r="P42" s="19" t="str">
        <f>IF(ISBLANK('Raw counts'!P43),"",IF(ISERROR(IF('3'!P42&lt;MAX('3'!$B42:$U42),HLOOKUP('3'!P42+1,'3'!$B42:$U104,'3'!$W$3+3,0),'3'!P104)),'3'!P104,IF('3'!P42&lt;MAX('3'!$B42:$U42),HLOOKUP('3'!P42+1,'3'!$B42:$U104,'3'!$W$3+3,0),'3'!P104)))</f>
        <v/>
      </c>
      <c r="Q42" s="19" t="str">
        <f>IF(ISBLANK('Raw counts'!Q43),"",IF(ISERROR(IF('3'!Q42&lt;MAX('3'!$B42:$U42),HLOOKUP('3'!Q42+1,'3'!$B42:$U104,'3'!$W$3+3,0),'3'!Q104)),'3'!Q104,IF('3'!Q42&lt;MAX('3'!$B42:$U42),HLOOKUP('3'!Q42+1,'3'!$B42:$U104,'3'!$W$3+3,0),'3'!Q104)))</f>
        <v/>
      </c>
      <c r="R42" s="19" t="str">
        <f>IF(ISBLANK('Raw counts'!R43),"",IF(ISERROR(IF('3'!R42&lt;MAX('3'!$B42:$U42),HLOOKUP('3'!R42+1,'3'!$B42:$U104,'3'!$W$3+3,0),'3'!R104)),'3'!R104,IF('3'!R42&lt;MAX('3'!$B42:$U42),HLOOKUP('3'!R42+1,'3'!$B42:$U104,'3'!$W$3+3,0),'3'!R104)))</f>
        <v/>
      </c>
      <c r="S42" s="19" t="str">
        <f>IF(ISBLANK('Raw counts'!S43),"",IF(ISERROR(IF('3'!S42&lt;MAX('3'!$B42:$U42),HLOOKUP('3'!S42+1,'3'!$B42:$U104,'3'!$W$3+3,0),'3'!S104)),'3'!S104,IF('3'!S42&lt;MAX('3'!$B42:$U42),HLOOKUP('3'!S42+1,'3'!$B42:$U104,'3'!$W$3+3,0),'3'!S104)))</f>
        <v/>
      </c>
      <c r="T42" s="19" t="str">
        <f>IF(ISBLANK('Raw counts'!T43),"",IF(ISERROR(IF('3'!T42&lt;MAX('3'!$B42:$U42),HLOOKUP('3'!T42+1,'3'!$B42:$U104,'3'!$W$3+3,0),'3'!T104)),'3'!T104,IF('3'!T42&lt;MAX('3'!$B42:$U42),HLOOKUP('3'!T42+1,'3'!$B42:$U104,'3'!$W$3+3,0),'3'!T104)))</f>
        <v/>
      </c>
      <c r="U42" s="19" t="str">
        <f>IF(ISBLANK('Raw counts'!U43),"",IF(ISERROR(IF('3'!U42&lt;MAX('3'!$B42:$U42),HLOOKUP('3'!U42+1,'3'!$B42:$U104,'3'!$W$3+3,0),'3'!U104)),'3'!U104,IF('3'!U42&lt;MAX('3'!$B42:$U42),HLOOKUP('3'!U42+1,'3'!$B42:$U104,'3'!$W$3+3,0),'3'!U104)))</f>
        <v/>
      </c>
    </row>
    <row r="43" spans="1:21" x14ac:dyDescent="0.15">
      <c r="A43" s="18" t="str">
        <f>IF(ISBLANK('Raw counts'!A44),"",'Raw counts'!A44)</f>
        <v>Attr40</v>
      </c>
      <c r="B43" s="19" t="str">
        <f>IF(ISBLANK('Raw counts'!B44),"",IF(ISERROR(IF('3'!B43&lt;MAX('3'!$B43:$U43),HLOOKUP('3'!B43+1,'3'!$B43:$U105,'3'!$W$3+3,0),'3'!B105)),'3'!B105,IF('3'!B43&lt;MAX('3'!$B43:$U43),HLOOKUP('3'!B43+1,'3'!$B43:$U105,'3'!$W$3+3,0),'3'!B105)))</f>
        <v/>
      </c>
      <c r="C43" s="19" t="str">
        <f>IF(ISBLANK('Raw counts'!C44),"",IF(ISERROR(IF('3'!C43&lt;MAX('3'!$B43:$U43),HLOOKUP('3'!C43+1,'3'!$B43:$U105,'3'!$W$3+3,0),'3'!C105)),'3'!C105,IF('3'!C43&lt;MAX('3'!$B43:$U43),HLOOKUP('3'!C43+1,'3'!$B43:$U105,'3'!$W$3+3,0),'3'!C105)))</f>
        <v/>
      </c>
      <c r="D43" s="19" t="str">
        <f>IF(ISBLANK('Raw counts'!D44),"",IF(ISERROR(IF('3'!D43&lt;MAX('3'!$B43:$U43),HLOOKUP('3'!D43+1,'3'!$B43:$U105,'3'!$W$3+3,0),'3'!D105)),'3'!D105,IF('3'!D43&lt;MAX('3'!$B43:$U43),HLOOKUP('3'!D43+1,'3'!$B43:$U105,'3'!$W$3+3,0),'3'!D105)))</f>
        <v/>
      </c>
      <c r="E43" s="19" t="str">
        <f>IF(ISBLANK('Raw counts'!E44),"",IF(ISERROR(IF('3'!E43&lt;MAX('3'!$B43:$U43),HLOOKUP('3'!E43+1,'3'!$B43:$U105,'3'!$W$3+3,0),'3'!E105)),'3'!E105,IF('3'!E43&lt;MAX('3'!$B43:$U43),HLOOKUP('3'!E43+1,'3'!$B43:$U105,'3'!$W$3+3,0),'3'!E105)))</f>
        <v/>
      </c>
      <c r="F43" s="19" t="str">
        <f>IF(ISBLANK('Raw counts'!F44),"",IF(ISERROR(IF('3'!F43&lt;MAX('3'!$B43:$U43),HLOOKUP('3'!F43+1,'3'!$B43:$U105,'3'!$W$3+3,0),'3'!F105)),'3'!F105,IF('3'!F43&lt;MAX('3'!$B43:$U43),HLOOKUP('3'!F43+1,'3'!$B43:$U105,'3'!$W$3+3,0),'3'!F105)))</f>
        <v/>
      </c>
      <c r="G43" s="19" t="str">
        <f>IF(ISBLANK('Raw counts'!G44),"",IF(ISERROR(IF('3'!G43&lt;MAX('3'!$B43:$U43),HLOOKUP('3'!G43+1,'3'!$B43:$U105,'3'!$W$3+3,0),'3'!G105)),'3'!G105,IF('3'!G43&lt;MAX('3'!$B43:$U43),HLOOKUP('3'!G43+1,'3'!$B43:$U105,'3'!$W$3+3,0),'3'!G105)))</f>
        <v/>
      </c>
      <c r="H43" s="19" t="str">
        <f>IF(ISBLANK('Raw counts'!H44),"",IF(ISERROR(IF('3'!H43&lt;MAX('3'!$B43:$U43),HLOOKUP('3'!H43+1,'3'!$B43:$U105,'3'!$W$3+3,0),'3'!H105)),'3'!H105,IF('3'!H43&lt;MAX('3'!$B43:$U43),HLOOKUP('3'!H43+1,'3'!$B43:$U105,'3'!$W$3+3,0),'3'!H105)))</f>
        <v/>
      </c>
      <c r="I43" s="19" t="str">
        <f>IF(ISBLANK('Raw counts'!I44),"",IF(ISERROR(IF('3'!I43&lt;MAX('3'!$B43:$U43),HLOOKUP('3'!I43+1,'3'!$B43:$U105,'3'!$W$3+3,0),'3'!I105)),'3'!I105,IF('3'!I43&lt;MAX('3'!$B43:$U43),HLOOKUP('3'!I43+1,'3'!$B43:$U105,'3'!$W$3+3,0),'3'!I105)))</f>
        <v/>
      </c>
      <c r="J43" s="19" t="str">
        <f>IF(ISBLANK('Raw counts'!J44),"",IF(ISERROR(IF('3'!J43&lt;MAX('3'!$B43:$U43),HLOOKUP('3'!J43+1,'3'!$B43:$U105,'3'!$W$3+3,0),'3'!J105)),'3'!J105,IF('3'!J43&lt;MAX('3'!$B43:$U43),HLOOKUP('3'!J43+1,'3'!$B43:$U105,'3'!$W$3+3,0),'3'!J105)))</f>
        <v/>
      </c>
      <c r="K43" s="19" t="str">
        <f>IF(ISBLANK('Raw counts'!K44),"",IF(ISERROR(IF('3'!K43&lt;MAX('3'!$B43:$U43),HLOOKUP('3'!K43+1,'3'!$B43:$U105,'3'!$W$3+3,0),'3'!K105)),'3'!K105,IF('3'!K43&lt;MAX('3'!$B43:$U43),HLOOKUP('3'!K43+1,'3'!$B43:$U105,'3'!$W$3+3,0),'3'!K105)))</f>
        <v/>
      </c>
      <c r="L43" s="19" t="str">
        <f>IF(ISBLANK('Raw counts'!L44),"",IF(ISERROR(IF('3'!L43&lt;MAX('3'!$B43:$U43),HLOOKUP('3'!L43+1,'3'!$B43:$U105,'3'!$W$3+3,0),'3'!L105)),'3'!L105,IF('3'!L43&lt;MAX('3'!$B43:$U43),HLOOKUP('3'!L43+1,'3'!$B43:$U105,'3'!$W$3+3,0),'3'!L105)))</f>
        <v/>
      </c>
      <c r="M43" s="19" t="str">
        <f>IF(ISBLANK('Raw counts'!M44),"",IF(ISERROR(IF('3'!M43&lt;MAX('3'!$B43:$U43),HLOOKUP('3'!M43+1,'3'!$B43:$U105,'3'!$W$3+3,0),'3'!M105)),'3'!M105,IF('3'!M43&lt;MAX('3'!$B43:$U43),HLOOKUP('3'!M43+1,'3'!$B43:$U105,'3'!$W$3+3,0),'3'!M105)))</f>
        <v/>
      </c>
      <c r="N43" s="19" t="str">
        <f>IF(ISBLANK('Raw counts'!N44),"",IF(ISERROR(IF('3'!N43&lt;MAX('3'!$B43:$U43),HLOOKUP('3'!N43+1,'3'!$B43:$U105,'3'!$W$3+3,0),'3'!N105)),'3'!N105,IF('3'!N43&lt;MAX('3'!$B43:$U43),HLOOKUP('3'!N43+1,'3'!$B43:$U105,'3'!$W$3+3,0),'3'!N105)))</f>
        <v/>
      </c>
      <c r="O43" s="19" t="str">
        <f>IF(ISBLANK('Raw counts'!O44),"",IF(ISERROR(IF('3'!O43&lt;MAX('3'!$B43:$U43),HLOOKUP('3'!O43+1,'3'!$B43:$U105,'3'!$W$3+3,0),'3'!O105)),'3'!O105,IF('3'!O43&lt;MAX('3'!$B43:$U43),HLOOKUP('3'!O43+1,'3'!$B43:$U105,'3'!$W$3+3,0),'3'!O105)))</f>
        <v/>
      </c>
      <c r="P43" s="19" t="str">
        <f>IF(ISBLANK('Raw counts'!P44),"",IF(ISERROR(IF('3'!P43&lt;MAX('3'!$B43:$U43),HLOOKUP('3'!P43+1,'3'!$B43:$U105,'3'!$W$3+3,0),'3'!P105)),'3'!P105,IF('3'!P43&lt;MAX('3'!$B43:$U43),HLOOKUP('3'!P43+1,'3'!$B43:$U105,'3'!$W$3+3,0),'3'!P105)))</f>
        <v/>
      </c>
      <c r="Q43" s="19" t="str">
        <f>IF(ISBLANK('Raw counts'!Q44),"",IF(ISERROR(IF('3'!Q43&lt;MAX('3'!$B43:$U43),HLOOKUP('3'!Q43+1,'3'!$B43:$U105,'3'!$W$3+3,0),'3'!Q105)),'3'!Q105,IF('3'!Q43&lt;MAX('3'!$B43:$U43),HLOOKUP('3'!Q43+1,'3'!$B43:$U105,'3'!$W$3+3,0),'3'!Q105)))</f>
        <v/>
      </c>
      <c r="R43" s="19" t="str">
        <f>IF(ISBLANK('Raw counts'!R44),"",IF(ISERROR(IF('3'!R43&lt;MAX('3'!$B43:$U43),HLOOKUP('3'!R43+1,'3'!$B43:$U105,'3'!$W$3+3,0),'3'!R105)),'3'!R105,IF('3'!R43&lt;MAX('3'!$B43:$U43),HLOOKUP('3'!R43+1,'3'!$B43:$U105,'3'!$W$3+3,0),'3'!R105)))</f>
        <v/>
      </c>
      <c r="S43" s="19" t="str">
        <f>IF(ISBLANK('Raw counts'!S44),"",IF(ISERROR(IF('3'!S43&lt;MAX('3'!$B43:$U43),HLOOKUP('3'!S43+1,'3'!$B43:$U105,'3'!$W$3+3,0),'3'!S105)),'3'!S105,IF('3'!S43&lt;MAX('3'!$B43:$U43),HLOOKUP('3'!S43+1,'3'!$B43:$U105,'3'!$W$3+3,0),'3'!S105)))</f>
        <v/>
      </c>
      <c r="T43" s="19" t="str">
        <f>IF(ISBLANK('Raw counts'!T44),"",IF(ISERROR(IF('3'!T43&lt;MAX('3'!$B43:$U43),HLOOKUP('3'!T43+1,'3'!$B43:$U105,'3'!$W$3+3,0),'3'!T105)),'3'!T105,IF('3'!T43&lt;MAX('3'!$B43:$U43),HLOOKUP('3'!T43+1,'3'!$B43:$U105,'3'!$W$3+3,0),'3'!T105)))</f>
        <v/>
      </c>
      <c r="U43" s="19" t="str">
        <f>IF(ISBLANK('Raw counts'!U44),"",IF(ISERROR(IF('3'!U43&lt;MAX('3'!$B43:$U43),HLOOKUP('3'!U43+1,'3'!$B43:$U105,'3'!$W$3+3,0),'3'!U105)),'3'!U105,IF('3'!U43&lt;MAX('3'!$B43:$U43),HLOOKUP('3'!U43+1,'3'!$B43:$U105,'3'!$W$3+3,0),'3'!U105)))</f>
        <v/>
      </c>
    </row>
    <row r="44" spans="1:21" x14ac:dyDescent="0.15">
      <c r="A44" s="18" t="str">
        <f>IF(ISBLANK('Raw counts'!A45),"",'Raw counts'!A45)</f>
        <v>Attr41</v>
      </c>
      <c r="B44" s="19" t="str">
        <f>IF(ISBLANK('Raw counts'!B45),"",IF(ISERROR(IF('3'!B44&lt;MAX('3'!$B44:$U44),HLOOKUP('3'!B44+1,'3'!$B44:$U106,'3'!$W$3+3,0),'3'!B106)),'3'!B106,IF('3'!B44&lt;MAX('3'!$B44:$U44),HLOOKUP('3'!B44+1,'3'!$B44:$U106,'3'!$W$3+3,0),'3'!B106)))</f>
        <v/>
      </c>
      <c r="C44" s="19" t="str">
        <f>IF(ISBLANK('Raw counts'!C45),"",IF(ISERROR(IF('3'!C44&lt;MAX('3'!$B44:$U44),HLOOKUP('3'!C44+1,'3'!$B44:$U106,'3'!$W$3+3,0),'3'!C106)),'3'!C106,IF('3'!C44&lt;MAX('3'!$B44:$U44),HLOOKUP('3'!C44+1,'3'!$B44:$U106,'3'!$W$3+3,0),'3'!C106)))</f>
        <v/>
      </c>
      <c r="D44" s="19" t="str">
        <f>IF(ISBLANK('Raw counts'!D45),"",IF(ISERROR(IF('3'!D44&lt;MAX('3'!$B44:$U44),HLOOKUP('3'!D44+1,'3'!$B44:$U106,'3'!$W$3+3,0),'3'!D106)),'3'!D106,IF('3'!D44&lt;MAX('3'!$B44:$U44),HLOOKUP('3'!D44+1,'3'!$B44:$U106,'3'!$W$3+3,0),'3'!D106)))</f>
        <v/>
      </c>
      <c r="E44" s="19" t="str">
        <f>IF(ISBLANK('Raw counts'!E45),"",IF(ISERROR(IF('3'!E44&lt;MAX('3'!$B44:$U44),HLOOKUP('3'!E44+1,'3'!$B44:$U106,'3'!$W$3+3,0),'3'!E106)),'3'!E106,IF('3'!E44&lt;MAX('3'!$B44:$U44),HLOOKUP('3'!E44+1,'3'!$B44:$U106,'3'!$W$3+3,0),'3'!E106)))</f>
        <v/>
      </c>
      <c r="F44" s="19" t="str">
        <f>IF(ISBLANK('Raw counts'!F45),"",IF(ISERROR(IF('3'!F44&lt;MAX('3'!$B44:$U44),HLOOKUP('3'!F44+1,'3'!$B44:$U106,'3'!$W$3+3,0),'3'!F106)),'3'!F106,IF('3'!F44&lt;MAX('3'!$B44:$U44),HLOOKUP('3'!F44+1,'3'!$B44:$U106,'3'!$W$3+3,0),'3'!F106)))</f>
        <v/>
      </c>
      <c r="G44" s="19" t="str">
        <f>IF(ISBLANK('Raw counts'!G45),"",IF(ISERROR(IF('3'!G44&lt;MAX('3'!$B44:$U44),HLOOKUP('3'!G44+1,'3'!$B44:$U106,'3'!$W$3+3,0),'3'!G106)),'3'!G106,IF('3'!G44&lt;MAX('3'!$B44:$U44),HLOOKUP('3'!G44+1,'3'!$B44:$U106,'3'!$W$3+3,0),'3'!G106)))</f>
        <v/>
      </c>
      <c r="H44" s="19" t="str">
        <f>IF(ISBLANK('Raw counts'!H45),"",IF(ISERROR(IF('3'!H44&lt;MAX('3'!$B44:$U44),HLOOKUP('3'!H44+1,'3'!$B44:$U106,'3'!$W$3+3,0),'3'!H106)),'3'!H106,IF('3'!H44&lt;MAX('3'!$B44:$U44),HLOOKUP('3'!H44+1,'3'!$B44:$U106,'3'!$W$3+3,0),'3'!H106)))</f>
        <v/>
      </c>
      <c r="I44" s="19" t="str">
        <f>IF(ISBLANK('Raw counts'!I45),"",IF(ISERROR(IF('3'!I44&lt;MAX('3'!$B44:$U44),HLOOKUP('3'!I44+1,'3'!$B44:$U106,'3'!$W$3+3,0),'3'!I106)),'3'!I106,IF('3'!I44&lt;MAX('3'!$B44:$U44),HLOOKUP('3'!I44+1,'3'!$B44:$U106,'3'!$W$3+3,0),'3'!I106)))</f>
        <v/>
      </c>
      <c r="J44" s="19" t="str">
        <f>IF(ISBLANK('Raw counts'!J45),"",IF(ISERROR(IF('3'!J44&lt;MAX('3'!$B44:$U44),HLOOKUP('3'!J44+1,'3'!$B44:$U106,'3'!$W$3+3,0),'3'!J106)),'3'!J106,IF('3'!J44&lt;MAX('3'!$B44:$U44),HLOOKUP('3'!J44+1,'3'!$B44:$U106,'3'!$W$3+3,0),'3'!J106)))</f>
        <v/>
      </c>
      <c r="K44" s="19" t="str">
        <f>IF(ISBLANK('Raw counts'!K45),"",IF(ISERROR(IF('3'!K44&lt;MAX('3'!$B44:$U44),HLOOKUP('3'!K44+1,'3'!$B44:$U106,'3'!$W$3+3,0),'3'!K106)),'3'!K106,IF('3'!K44&lt;MAX('3'!$B44:$U44),HLOOKUP('3'!K44+1,'3'!$B44:$U106,'3'!$W$3+3,0),'3'!K106)))</f>
        <v/>
      </c>
      <c r="L44" s="19" t="str">
        <f>IF(ISBLANK('Raw counts'!L45),"",IF(ISERROR(IF('3'!L44&lt;MAX('3'!$B44:$U44),HLOOKUP('3'!L44+1,'3'!$B44:$U106,'3'!$W$3+3,0),'3'!L106)),'3'!L106,IF('3'!L44&lt;MAX('3'!$B44:$U44),HLOOKUP('3'!L44+1,'3'!$B44:$U106,'3'!$W$3+3,0),'3'!L106)))</f>
        <v/>
      </c>
      <c r="M44" s="19" t="str">
        <f>IF(ISBLANK('Raw counts'!M45),"",IF(ISERROR(IF('3'!M44&lt;MAX('3'!$B44:$U44),HLOOKUP('3'!M44+1,'3'!$B44:$U106,'3'!$W$3+3,0),'3'!M106)),'3'!M106,IF('3'!M44&lt;MAX('3'!$B44:$U44),HLOOKUP('3'!M44+1,'3'!$B44:$U106,'3'!$W$3+3,0),'3'!M106)))</f>
        <v/>
      </c>
      <c r="N44" s="19" t="str">
        <f>IF(ISBLANK('Raw counts'!N45),"",IF(ISERROR(IF('3'!N44&lt;MAX('3'!$B44:$U44),HLOOKUP('3'!N44+1,'3'!$B44:$U106,'3'!$W$3+3,0),'3'!N106)),'3'!N106,IF('3'!N44&lt;MAX('3'!$B44:$U44),HLOOKUP('3'!N44+1,'3'!$B44:$U106,'3'!$W$3+3,0),'3'!N106)))</f>
        <v/>
      </c>
      <c r="O44" s="19" t="str">
        <f>IF(ISBLANK('Raw counts'!O45),"",IF(ISERROR(IF('3'!O44&lt;MAX('3'!$B44:$U44),HLOOKUP('3'!O44+1,'3'!$B44:$U106,'3'!$W$3+3,0),'3'!O106)),'3'!O106,IF('3'!O44&lt;MAX('3'!$B44:$U44),HLOOKUP('3'!O44+1,'3'!$B44:$U106,'3'!$W$3+3,0),'3'!O106)))</f>
        <v/>
      </c>
      <c r="P44" s="19" t="str">
        <f>IF(ISBLANK('Raw counts'!P45),"",IF(ISERROR(IF('3'!P44&lt;MAX('3'!$B44:$U44),HLOOKUP('3'!P44+1,'3'!$B44:$U106,'3'!$W$3+3,0),'3'!P106)),'3'!P106,IF('3'!P44&lt;MAX('3'!$B44:$U44),HLOOKUP('3'!P44+1,'3'!$B44:$U106,'3'!$W$3+3,0),'3'!P106)))</f>
        <v/>
      </c>
      <c r="Q44" s="19" t="str">
        <f>IF(ISBLANK('Raw counts'!Q45),"",IF(ISERROR(IF('3'!Q44&lt;MAX('3'!$B44:$U44),HLOOKUP('3'!Q44+1,'3'!$B44:$U106,'3'!$W$3+3,0),'3'!Q106)),'3'!Q106,IF('3'!Q44&lt;MAX('3'!$B44:$U44),HLOOKUP('3'!Q44+1,'3'!$B44:$U106,'3'!$W$3+3,0),'3'!Q106)))</f>
        <v/>
      </c>
      <c r="R44" s="19" t="str">
        <f>IF(ISBLANK('Raw counts'!R45),"",IF(ISERROR(IF('3'!R44&lt;MAX('3'!$B44:$U44),HLOOKUP('3'!R44+1,'3'!$B44:$U106,'3'!$W$3+3,0),'3'!R106)),'3'!R106,IF('3'!R44&lt;MAX('3'!$B44:$U44),HLOOKUP('3'!R44+1,'3'!$B44:$U106,'3'!$W$3+3,0),'3'!R106)))</f>
        <v/>
      </c>
      <c r="S44" s="19" t="str">
        <f>IF(ISBLANK('Raw counts'!S45),"",IF(ISERROR(IF('3'!S44&lt;MAX('3'!$B44:$U44),HLOOKUP('3'!S44+1,'3'!$B44:$U106,'3'!$W$3+3,0),'3'!S106)),'3'!S106,IF('3'!S44&lt;MAX('3'!$B44:$U44),HLOOKUP('3'!S44+1,'3'!$B44:$U106,'3'!$W$3+3,0),'3'!S106)))</f>
        <v/>
      </c>
      <c r="T44" s="19" t="str">
        <f>IF(ISBLANK('Raw counts'!T45),"",IF(ISERROR(IF('3'!T44&lt;MAX('3'!$B44:$U44),HLOOKUP('3'!T44+1,'3'!$B44:$U106,'3'!$W$3+3,0),'3'!T106)),'3'!T106,IF('3'!T44&lt;MAX('3'!$B44:$U44),HLOOKUP('3'!T44+1,'3'!$B44:$U106,'3'!$W$3+3,0),'3'!T106)))</f>
        <v/>
      </c>
      <c r="U44" s="19" t="str">
        <f>IF(ISBLANK('Raw counts'!U45),"",IF(ISERROR(IF('3'!U44&lt;MAX('3'!$B44:$U44),HLOOKUP('3'!U44+1,'3'!$B44:$U106,'3'!$W$3+3,0),'3'!U106)),'3'!U106,IF('3'!U44&lt;MAX('3'!$B44:$U44),HLOOKUP('3'!U44+1,'3'!$B44:$U106,'3'!$W$3+3,0),'3'!U106)))</f>
        <v/>
      </c>
    </row>
    <row r="45" spans="1:21" x14ac:dyDescent="0.15">
      <c r="A45" s="18" t="str">
        <f>IF(ISBLANK('Raw counts'!A46),"",'Raw counts'!A46)</f>
        <v>Attr42</v>
      </c>
      <c r="B45" s="19" t="str">
        <f>IF(ISBLANK('Raw counts'!B46),"",IF(ISERROR(IF('3'!B45&lt;MAX('3'!$B45:$U45),HLOOKUP('3'!B45+1,'3'!$B45:$U107,'3'!$W$3+3,0),'3'!B107)),'3'!B107,IF('3'!B45&lt;MAX('3'!$B45:$U45),HLOOKUP('3'!B45+1,'3'!$B45:$U107,'3'!$W$3+3,0),'3'!B107)))</f>
        <v/>
      </c>
      <c r="C45" s="19" t="str">
        <f>IF(ISBLANK('Raw counts'!C46),"",IF(ISERROR(IF('3'!C45&lt;MAX('3'!$B45:$U45),HLOOKUP('3'!C45+1,'3'!$B45:$U107,'3'!$W$3+3,0),'3'!C107)),'3'!C107,IF('3'!C45&lt;MAX('3'!$B45:$U45),HLOOKUP('3'!C45+1,'3'!$B45:$U107,'3'!$W$3+3,0),'3'!C107)))</f>
        <v/>
      </c>
      <c r="D45" s="19" t="str">
        <f>IF(ISBLANK('Raw counts'!D46),"",IF(ISERROR(IF('3'!D45&lt;MAX('3'!$B45:$U45),HLOOKUP('3'!D45+1,'3'!$B45:$U107,'3'!$W$3+3,0),'3'!D107)),'3'!D107,IF('3'!D45&lt;MAX('3'!$B45:$U45),HLOOKUP('3'!D45+1,'3'!$B45:$U107,'3'!$W$3+3,0),'3'!D107)))</f>
        <v/>
      </c>
      <c r="E45" s="19" t="str">
        <f>IF(ISBLANK('Raw counts'!E46),"",IF(ISERROR(IF('3'!E45&lt;MAX('3'!$B45:$U45),HLOOKUP('3'!E45+1,'3'!$B45:$U107,'3'!$W$3+3,0),'3'!E107)),'3'!E107,IF('3'!E45&lt;MAX('3'!$B45:$U45),HLOOKUP('3'!E45+1,'3'!$B45:$U107,'3'!$W$3+3,0),'3'!E107)))</f>
        <v/>
      </c>
      <c r="F45" s="19" t="str">
        <f>IF(ISBLANK('Raw counts'!F46),"",IF(ISERROR(IF('3'!F45&lt;MAX('3'!$B45:$U45),HLOOKUP('3'!F45+1,'3'!$B45:$U107,'3'!$W$3+3,0),'3'!F107)),'3'!F107,IF('3'!F45&lt;MAX('3'!$B45:$U45),HLOOKUP('3'!F45+1,'3'!$B45:$U107,'3'!$W$3+3,0),'3'!F107)))</f>
        <v/>
      </c>
      <c r="G45" s="19" t="str">
        <f>IF(ISBLANK('Raw counts'!G46),"",IF(ISERROR(IF('3'!G45&lt;MAX('3'!$B45:$U45),HLOOKUP('3'!G45+1,'3'!$B45:$U107,'3'!$W$3+3,0),'3'!G107)),'3'!G107,IF('3'!G45&lt;MAX('3'!$B45:$U45),HLOOKUP('3'!G45+1,'3'!$B45:$U107,'3'!$W$3+3,0),'3'!G107)))</f>
        <v/>
      </c>
      <c r="H45" s="19" t="str">
        <f>IF(ISBLANK('Raw counts'!H46),"",IF(ISERROR(IF('3'!H45&lt;MAX('3'!$B45:$U45),HLOOKUP('3'!H45+1,'3'!$B45:$U107,'3'!$W$3+3,0),'3'!H107)),'3'!H107,IF('3'!H45&lt;MAX('3'!$B45:$U45),HLOOKUP('3'!H45+1,'3'!$B45:$U107,'3'!$W$3+3,0),'3'!H107)))</f>
        <v/>
      </c>
      <c r="I45" s="19" t="str">
        <f>IF(ISBLANK('Raw counts'!I46),"",IF(ISERROR(IF('3'!I45&lt;MAX('3'!$B45:$U45),HLOOKUP('3'!I45+1,'3'!$B45:$U107,'3'!$W$3+3,0),'3'!I107)),'3'!I107,IF('3'!I45&lt;MAX('3'!$B45:$U45),HLOOKUP('3'!I45+1,'3'!$B45:$U107,'3'!$W$3+3,0),'3'!I107)))</f>
        <v/>
      </c>
      <c r="J45" s="19" t="str">
        <f>IF(ISBLANK('Raw counts'!J46),"",IF(ISERROR(IF('3'!J45&lt;MAX('3'!$B45:$U45),HLOOKUP('3'!J45+1,'3'!$B45:$U107,'3'!$W$3+3,0),'3'!J107)),'3'!J107,IF('3'!J45&lt;MAX('3'!$B45:$U45),HLOOKUP('3'!J45+1,'3'!$B45:$U107,'3'!$W$3+3,0),'3'!J107)))</f>
        <v/>
      </c>
      <c r="K45" s="19" t="str">
        <f>IF(ISBLANK('Raw counts'!K46),"",IF(ISERROR(IF('3'!K45&lt;MAX('3'!$B45:$U45),HLOOKUP('3'!K45+1,'3'!$B45:$U107,'3'!$W$3+3,0),'3'!K107)),'3'!K107,IF('3'!K45&lt;MAX('3'!$B45:$U45),HLOOKUP('3'!K45+1,'3'!$B45:$U107,'3'!$W$3+3,0),'3'!K107)))</f>
        <v/>
      </c>
      <c r="L45" s="19" t="str">
        <f>IF(ISBLANK('Raw counts'!L46),"",IF(ISERROR(IF('3'!L45&lt;MAX('3'!$B45:$U45),HLOOKUP('3'!L45+1,'3'!$B45:$U107,'3'!$W$3+3,0),'3'!L107)),'3'!L107,IF('3'!L45&lt;MAX('3'!$B45:$U45),HLOOKUP('3'!L45+1,'3'!$B45:$U107,'3'!$W$3+3,0),'3'!L107)))</f>
        <v/>
      </c>
      <c r="M45" s="19" t="str">
        <f>IF(ISBLANK('Raw counts'!M46),"",IF(ISERROR(IF('3'!M45&lt;MAX('3'!$B45:$U45),HLOOKUP('3'!M45+1,'3'!$B45:$U107,'3'!$W$3+3,0),'3'!M107)),'3'!M107,IF('3'!M45&lt;MAX('3'!$B45:$U45),HLOOKUP('3'!M45+1,'3'!$B45:$U107,'3'!$W$3+3,0),'3'!M107)))</f>
        <v/>
      </c>
      <c r="N45" s="19" t="str">
        <f>IF(ISBLANK('Raw counts'!N46),"",IF(ISERROR(IF('3'!N45&lt;MAX('3'!$B45:$U45),HLOOKUP('3'!N45+1,'3'!$B45:$U107,'3'!$W$3+3,0),'3'!N107)),'3'!N107,IF('3'!N45&lt;MAX('3'!$B45:$U45),HLOOKUP('3'!N45+1,'3'!$B45:$U107,'3'!$W$3+3,0),'3'!N107)))</f>
        <v/>
      </c>
      <c r="O45" s="19" t="str">
        <f>IF(ISBLANK('Raw counts'!O46),"",IF(ISERROR(IF('3'!O45&lt;MAX('3'!$B45:$U45),HLOOKUP('3'!O45+1,'3'!$B45:$U107,'3'!$W$3+3,0),'3'!O107)),'3'!O107,IF('3'!O45&lt;MAX('3'!$B45:$U45),HLOOKUP('3'!O45+1,'3'!$B45:$U107,'3'!$W$3+3,0),'3'!O107)))</f>
        <v/>
      </c>
      <c r="P45" s="19" t="str">
        <f>IF(ISBLANK('Raw counts'!P46),"",IF(ISERROR(IF('3'!P45&lt;MAX('3'!$B45:$U45),HLOOKUP('3'!P45+1,'3'!$B45:$U107,'3'!$W$3+3,0),'3'!P107)),'3'!P107,IF('3'!P45&lt;MAX('3'!$B45:$U45),HLOOKUP('3'!P45+1,'3'!$B45:$U107,'3'!$W$3+3,0),'3'!P107)))</f>
        <v/>
      </c>
      <c r="Q45" s="19" t="str">
        <f>IF(ISBLANK('Raw counts'!Q46),"",IF(ISERROR(IF('3'!Q45&lt;MAX('3'!$B45:$U45),HLOOKUP('3'!Q45+1,'3'!$B45:$U107,'3'!$W$3+3,0),'3'!Q107)),'3'!Q107,IF('3'!Q45&lt;MAX('3'!$B45:$U45),HLOOKUP('3'!Q45+1,'3'!$B45:$U107,'3'!$W$3+3,0),'3'!Q107)))</f>
        <v/>
      </c>
      <c r="R45" s="19" t="str">
        <f>IF(ISBLANK('Raw counts'!R46),"",IF(ISERROR(IF('3'!R45&lt;MAX('3'!$B45:$U45),HLOOKUP('3'!R45+1,'3'!$B45:$U107,'3'!$W$3+3,0),'3'!R107)),'3'!R107,IF('3'!R45&lt;MAX('3'!$B45:$U45),HLOOKUP('3'!R45+1,'3'!$B45:$U107,'3'!$W$3+3,0),'3'!R107)))</f>
        <v/>
      </c>
      <c r="S45" s="19" t="str">
        <f>IF(ISBLANK('Raw counts'!S46),"",IF(ISERROR(IF('3'!S45&lt;MAX('3'!$B45:$U45),HLOOKUP('3'!S45+1,'3'!$B45:$U107,'3'!$W$3+3,0),'3'!S107)),'3'!S107,IF('3'!S45&lt;MAX('3'!$B45:$U45),HLOOKUP('3'!S45+1,'3'!$B45:$U107,'3'!$W$3+3,0),'3'!S107)))</f>
        <v/>
      </c>
      <c r="T45" s="19" t="str">
        <f>IF(ISBLANK('Raw counts'!T46),"",IF(ISERROR(IF('3'!T45&lt;MAX('3'!$B45:$U45),HLOOKUP('3'!T45+1,'3'!$B45:$U107,'3'!$W$3+3,0),'3'!T107)),'3'!T107,IF('3'!T45&lt;MAX('3'!$B45:$U45),HLOOKUP('3'!T45+1,'3'!$B45:$U107,'3'!$W$3+3,0),'3'!T107)))</f>
        <v/>
      </c>
      <c r="U45" s="19" t="str">
        <f>IF(ISBLANK('Raw counts'!U46),"",IF(ISERROR(IF('3'!U45&lt;MAX('3'!$B45:$U45),HLOOKUP('3'!U45+1,'3'!$B45:$U107,'3'!$W$3+3,0),'3'!U107)),'3'!U107,IF('3'!U45&lt;MAX('3'!$B45:$U45),HLOOKUP('3'!U45+1,'3'!$B45:$U107,'3'!$W$3+3,0),'3'!U107)))</f>
        <v/>
      </c>
    </row>
    <row r="46" spans="1:21" x14ac:dyDescent="0.15">
      <c r="A46" s="18" t="str">
        <f>IF(ISBLANK('Raw counts'!A47),"",'Raw counts'!A47)</f>
        <v>Attr43</v>
      </c>
      <c r="B46" s="19" t="str">
        <f>IF(ISBLANK('Raw counts'!B47),"",IF(ISERROR(IF('3'!B46&lt;MAX('3'!$B46:$U46),HLOOKUP('3'!B46+1,'3'!$B46:$U108,'3'!$W$3+3,0),'3'!B108)),'3'!B108,IF('3'!B46&lt;MAX('3'!$B46:$U46),HLOOKUP('3'!B46+1,'3'!$B46:$U108,'3'!$W$3+3,0),'3'!B108)))</f>
        <v/>
      </c>
      <c r="C46" s="19" t="str">
        <f>IF(ISBLANK('Raw counts'!C47),"",IF(ISERROR(IF('3'!C46&lt;MAX('3'!$B46:$U46),HLOOKUP('3'!C46+1,'3'!$B46:$U108,'3'!$W$3+3,0),'3'!C108)),'3'!C108,IF('3'!C46&lt;MAX('3'!$B46:$U46),HLOOKUP('3'!C46+1,'3'!$B46:$U108,'3'!$W$3+3,0),'3'!C108)))</f>
        <v/>
      </c>
      <c r="D46" s="19" t="str">
        <f>IF(ISBLANK('Raw counts'!D47),"",IF(ISERROR(IF('3'!D46&lt;MAX('3'!$B46:$U46),HLOOKUP('3'!D46+1,'3'!$B46:$U108,'3'!$W$3+3,0),'3'!D108)),'3'!D108,IF('3'!D46&lt;MAX('3'!$B46:$U46),HLOOKUP('3'!D46+1,'3'!$B46:$U108,'3'!$W$3+3,0),'3'!D108)))</f>
        <v/>
      </c>
      <c r="E46" s="19" t="str">
        <f>IF(ISBLANK('Raw counts'!E47),"",IF(ISERROR(IF('3'!E46&lt;MAX('3'!$B46:$U46),HLOOKUP('3'!E46+1,'3'!$B46:$U108,'3'!$W$3+3,0),'3'!E108)),'3'!E108,IF('3'!E46&lt;MAX('3'!$B46:$U46),HLOOKUP('3'!E46+1,'3'!$B46:$U108,'3'!$W$3+3,0),'3'!E108)))</f>
        <v/>
      </c>
      <c r="F46" s="19" t="str">
        <f>IF(ISBLANK('Raw counts'!F47),"",IF(ISERROR(IF('3'!F46&lt;MAX('3'!$B46:$U46),HLOOKUP('3'!F46+1,'3'!$B46:$U108,'3'!$W$3+3,0),'3'!F108)),'3'!F108,IF('3'!F46&lt;MAX('3'!$B46:$U46),HLOOKUP('3'!F46+1,'3'!$B46:$U108,'3'!$W$3+3,0),'3'!F108)))</f>
        <v/>
      </c>
      <c r="G46" s="19" t="str">
        <f>IF(ISBLANK('Raw counts'!G47),"",IF(ISERROR(IF('3'!G46&lt;MAX('3'!$B46:$U46),HLOOKUP('3'!G46+1,'3'!$B46:$U108,'3'!$W$3+3,0),'3'!G108)),'3'!G108,IF('3'!G46&lt;MAX('3'!$B46:$U46),HLOOKUP('3'!G46+1,'3'!$B46:$U108,'3'!$W$3+3,0),'3'!G108)))</f>
        <v/>
      </c>
      <c r="H46" s="19" t="str">
        <f>IF(ISBLANK('Raw counts'!H47),"",IF(ISERROR(IF('3'!H46&lt;MAX('3'!$B46:$U46),HLOOKUP('3'!H46+1,'3'!$B46:$U108,'3'!$W$3+3,0),'3'!H108)),'3'!H108,IF('3'!H46&lt;MAX('3'!$B46:$U46),HLOOKUP('3'!H46+1,'3'!$B46:$U108,'3'!$W$3+3,0),'3'!H108)))</f>
        <v/>
      </c>
      <c r="I46" s="19" t="str">
        <f>IF(ISBLANK('Raw counts'!I47),"",IF(ISERROR(IF('3'!I46&lt;MAX('3'!$B46:$U46),HLOOKUP('3'!I46+1,'3'!$B46:$U108,'3'!$W$3+3,0),'3'!I108)),'3'!I108,IF('3'!I46&lt;MAX('3'!$B46:$U46),HLOOKUP('3'!I46+1,'3'!$B46:$U108,'3'!$W$3+3,0),'3'!I108)))</f>
        <v/>
      </c>
      <c r="J46" s="19" t="str">
        <f>IF(ISBLANK('Raw counts'!J47),"",IF(ISERROR(IF('3'!J46&lt;MAX('3'!$B46:$U46),HLOOKUP('3'!J46+1,'3'!$B46:$U108,'3'!$W$3+3,0),'3'!J108)),'3'!J108,IF('3'!J46&lt;MAX('3'!$B46:$U46),HLOOKUP('3'!J46+1,'3'!$B46:$U108,'3'!$W$3+3,0),'3'!J108)))</f>
        <v/>
      </c>
      <c r="K46" s="19" t="str">
        <f>IF(ISBLANK('Raw counts'!K47),"",IF(ISERROR(IF('3'!K46&lt;MAX('3'!$B46:$U46),HLOOKUP('3'!K46+1,'3'!$B46:$U108,'3'!$W$3+3,0),'3'!K108)),'3'!K108,IF('3'!K46&lt;MAX('3'!$B46:$U46),HLOOKUP('3'!K46+1,'3'!$B46:$U108,'3'!$W$3+3,0),'3'!K108)))</f>
        <v/>
      </c>
      <c r="L46" s="19" t="str">
        <f>IF(ISBLANK('Raw counts'!L47),"",IF(ISERROR(IF('3'!L46&lt;MAX('3'!$B46:$U46),HLOOKUP('3'!L46+1,'3'!$B46:$U108,'3'!$W$3+3,0),'3'!L108)),'3'!L108,IF('3'!L46&lt;MAX('3'!$B46:$U46),HLOOKUP('3'!L46+1,'3'!$B46:$U108,'3'!$W$3+3,0),'3'!L108)))</f>
        <v/>
      </c>
      <c r="M46" s="19" t="str">
        <f>IF(ISBLANK('Raw counts'!M47),"",IF(ISERROR(IF('3'!M46&lt;MAX('3'!$B46:$U46),HLOOKUP('3'!M46+1,'3'!$B46:$U108,'3'!$W$3+3,0),'3'!M108)),'3'!M108,IF('3'!M46&lt;MAX('3'!$B46:$U46),HLOOKUP('3'!M46+1,'3'!$B46:$U108,'3'!$W$3+3,0),'3'!M108)))</f>
        <v/>
      </c>
      <c r="N46" s="19" t="str">
        <f>IF(ISBLANK('Raw counts'!N47),"",IF(ISERROR(IF('3'!N46&lt;MAX('3'!$B46:$U46),HLOOKUP('3'!N46+1,'3'!$B46:$U108,'3'!$W$3+3,0),'3'!N108)),'3'!N108,IF('3'!N46&lt;MAX('3'!$B46:$U46),HLOOKUP('3'!N46+1,'3'!$B46:$U108,'3'!$W$3+3,0),'3'!N108)))</f>
        <v/>
      </c>
      <c r="O46" s="19" t="str">
        <f>IF(ISBLANK('Raw counts'!O47),"",IF(ISERROR(IF('3'!O46&lt;MAX('3'!$B46:$U46),HLOOKUP('3'!O46+1,'3'!$B46:$U108,'3'!$W$3+3,0),'3'!O108)),'3'!O108,IF('3'!O46&lt;MAX('3'!$B46:$U46),HLOOKUP('3'!O46+1,'3'!$B46:$U108,'3'!$W$3+3,0),'3'!O108)))</f>
        <v/>
      </c>
      <c r="P46" s="19" t="str">
        <f>IF(ISBLANK('Raw counts'!P47),"",IF(ISERROR(IF('3'!P46&lt;MAX('3'!$B46:$U46),HLOOKUP('3'!P46+1,'3'!$B46:$U108,'3'!$W$3+3,0),'3'!P108)),'3'!P108,IF('3'!P46&lt;MAX('3'!$B46:$U46),HLOOKUP('3'!P46+1,'3'!$B46:$U108,'3'!$W$3+3,0),'3'!P108)))</f>
        <v/>
      </c>
      <c r="Q46" s="19" t="str">
        <f>IF(ISBLANK('Raw counts'!Q47),"",IF(ISERROR(IF('3'!Q46&lt;MAX('3'!$B46:$U46),HLOOKUP('3'!Q46+1,'3'!$B46:$U108,'3'!$W$3+3,0),'3'!Q108)),'3'!Q108,IF('3'!Q46&lt;MAX('3'!$B46:$U46),HLOOKUP('3'!Q46+1,'3'!$B46:$U108,'3'!$W$3+3,0),'3'!Q108)))</f>
        <v/>
      </c>
      <c r="R46" s="19" t="str">
        <f>IF(ISBLANK('Raw counts'!R47),"",IF(ISERROR(IF('3'!R46&lt;MAX('3'!$B46:$U46),HLOOKUP('3'!R46+1,'3'!$B46:$U108,'3'!$W$3+3,0),'3'!R108)),'3'!R108,IF('3'!R46&lt;MAX('3'!$B46:$U46),HLOOKUP('3'!R46+1,'3'!$B46:$U108,'3'!$W$3+3,0),'3'!R108)))</f>
        <v/>
      </c>
      <c r="S46" s="19" t="str">
        <f>IF(ISBLANK('Raw counts'!S47),"",IF(ISERROR(IF('3'!S46&lt;MAX('3'!$B46:$U46),HLOOKUP('3'!S46+1,'3'!$B46:$U108,'3'!$W$3+3,0),'3'!S108)),'3'!S108,IF('3'!S46&lt;MAX('3'!$B46:$U46),HLOOKUP('3'!S46+1,'3'!$B46:$U108,'3'!$W$3+3,0),'3'!S108)))</f>
        <v/>
      </c>
      <c r="T46" s="19" t="str">
        <f>IF(ISBLANK('Raw counts'!T47),"",IF(ISERROR(IF('3'!T46&lt;MAX('3'!$B46:$U46),HLOOKUP('3'!T46+1,'3'!$B46:$U108,'3'!$W$3+3,0),'3'!T108)),'3'!T108,IF('3'!T46&lt;MAX('3'!$B46:$U46),HLOOKUP('3'!T46+1,'3'!$B46:$U108,'3'!$W$3+3,0),'3'!T108)))</f>
        <v/>
      </c>
      <c r="U46" s="19" t="str">
        <f>IF(ISBLANK('Raw counts'!U47),"",IF(ISERROR(IF('3'!U46&lt;MAX('3'!$B46:$U46),HLOOKUP('3'!U46+1,'3'!$B46:$U108,'3'!$W$3+3,0),'3'!U108)),'3'!U108,IF('3'!U46&lt;MAX('3'!$B46:$U46),HLOOKUP('3'!U46+1,'3'!$B46:$U108,'3'!$W$3+3,0),'3'!U108)))</f>
        <v/>
      </c>
    </row>
    <row r="47" spans="1:21" x14ac:dyDescent="0.15">
      <c r="A47" s="18" t="str">
        <f>IF(ISBLANK('Raw counts'!A48),"",'Raw counts'!A48)</f>
        <v>Attr44</v>
      </c>
      <c r="B47" s="19" t="str">
        <f>IF(ISBLANK('Raw counts'!B48),"",IF(ISERROR(IF('3'!B47&lt;MAX('3'!$B47:$U47),HLOOKUP('3'!B47+1,'3'!$B47:$U109,'3'!$W$3+3,0),'3'!B109)),'3'!B109,IF('3'!B47&lt;MAX('3'!$B47:$U47),HLOOKUP('3'!B47+1,'3'!$B47:$U109,'3'!$W$3+3,0),'3'!B109)))</f>
        <v/>
      </c>
      <c r="C47" s="19" t="str">
        <f>IF(ISBLANK('Raw counts'!C48),"",IF(ISERROR(IF('3'!C47&lt;MAX('3'!$B47:$U47),HLOOKUP('3'!C47+1,'3'!$B47:$U109,'3'!$W$3+3,0),'3'!C109)),'3'!C109,IF('3'!C47&lt;MAX('3'!$B47:$U47),HLOOKUP('3'!C47+1,'3'!$B47:$U109,'3'!$W$3+3,0),'3'!C109)))</f>
        <v/>
      </c>
      <c r="D47" s="19" t="str">
        <f>IF(ISBLANK('Raw counts'!D48),"",IF(ISERROR(IF('3'!D47&lt;MAX('3'!$B47:$U47),HLOOKUP('3'!D47+1,'3'!$B47:$U109,'3'!$W$3+3,0),'3'!D109)),'3'!D109,IF('3'!D47&lt;MAX('3'!$B47:$U47),HLOOKUP('3'!D47+1,'3'!$B47:$U109,'3'!$W$3+3,0),'3'!D109)))</f>
        <v/>
      </c>
      <c r="E47" s="19" t="str">
        <f>IF(ISBLANK('Raw counts'!E48),"",IF(ISERROR(IF('3'!E47&lt;MAX('3'!$B47:$U47),HLOOKUP('3'!E47+1,'3'!$B47:$U109,'3'!$W$3+3,0),'3'!E109)),'3'!E109,IF('3'!E47&lt;MAX('3'!$B47:$U47),HLOOKUP('3'!E47+1,'3'!$B47:$U109,'3'!$W$3+3,0),'3'!E109)))</f>
        <v/>
      </c>
      <c r="F47" s="19" t="str">
        <f>IF(ISBLANK('Raw counts'!F48),"",IF(ISERROR(IF('3'!F47&lt;MAX('3'!$B47:$U47),HLOOKUP('3'!F47+1,'3'!$B47:$U109,'3'!$W$3+3,0),'3'!F109)),'3'!F109,IF('3'!F47&lt;MAX('3'!$B47:$U47),HLOOKUP('3'!F47+1,'3'!$B47:$U109,'3'!$W$3+3,0),'3'!F109)))</f>
        <v/>
      </c>
      <c r="G47" s="19" t="str">
        <f>IF(ISBLANK('Raw counts'!G48),"",IF(ISERROR(IF('3'!G47&lt;MAX('3'!$B47:$U47),HLOOKUP('3'!G47+1,'3'!$B47:$U109,'3'!$W$3+3,0),'3'!G109)),'3'!G109,IF('3'!G47&lt;MAX('3'!$B47:$U47),HLOOKUP('3'!G47+1,'3'!$B47:$U109,'3'!$W$3+3,0),'3'!G109)))</f>
        <v/>
      </c>
      <c r="H47" s="19" t="str">
        <f>IF(ISBLANK('Raw counts'!H48),"",IF(ISERROR(IF('3'!H47&lt;MAX('3'!$B47:$U47),HLOOKUP('3'!H47+1,'3'!$B47:$U109,'3'!$W$3+3,0),'3'!H109)),'3'!H109,IF('3'!H47&lt;MAX('3'!$B47:$U47),HLOOKUP('3'!H47+1,'3'!$B47:$U109,'3'!$W$3+3,0),'3'!H109)))</f>
        <v/>
      </c>
      <c r="I47" s="19" t="str">
        <f>IF(ISBLANK('Raw counts'!I48),"",IF(ISERROR(IF('3'!I47&lt;MAX('3'!$B47:$U47),HLOOKUP('3'!I47+1,'3'!$B47:$U109,'3'!$W$3+3,0),'3'!I109)),'3'!I109,IF('3'!I47&lt;MAX('3'!$B47:$U47),HLOOKUP('3'!I47+1,'3'!$B47:$U109,'3'!$W$3+3,0),'3'!I109)))</f>
        <v/>
      </c>
      <c r="J47" s="19" t="str">
        <f>IF(ISBLANK('Raw counts'!J48),"",IF(ISERROR(IF('3'!J47&lt;MAX('3'!$B47:$U47),HLOOKUP('3'!J47+1,'3'!$B47:$U109,'3'!$W$3+3,0),'3'!J109)),'3'!J109,IF('3'!J47&lt;MAX('3'!$B47:$U47),HLOOKUP('3'!J47+1,'3'!$B47:$U109,'3'!$W$3+3,0),'3'!J109)))</f>
        <v/>
      </c>
      <c r="K47" s="19" t="str">
        <f>IF(ISBLANK('Raw counts'!K48),"",IF(ISERROR(IF('3'!K47&lt;MAX('3'!$B47:$U47),HLOOKUP('3'!K47+1,'3'!$B47:$U109,'3'!$W$3+3,0),'3'!K109)),'3'!K109,IF('3'!K47&lt;MAX('3'!$B47:$U47),HLOOKUP('3'!K47+1,'3'!$B47:$U109,'3'!$W$3+3,0),'3'!K109)))</f>
        <v/>
      </c>
      <c r="L47" s="19" t="str">
        <f>IF(ISBLANK('Raw counts'!L48),"",IF(ISERROR(IF('3'!L47&lt;MAX('3'!$B47:$U47),HLOOKUP('3'!L47+1,'3'!$B47:$U109,'3'!$W$3+3,0),'3'!L109)),'3'!L109,IF('3'!L47&lt;MAX('3'!$B47:$U47),HLOOKUP('3'!L47+1,'3'!$B47:$U109,'3'!$W$3+3,0),'3'!L109)))</f>
        <v/>
      </c>
      <c r="M47" s="19" t="str">
        <f>IF(ISBLANK('Raw counts'!M48),"",IF(ISERROR(IF('3'!M47&lt;MAX('3'!$B47:$U47),HLOOKUP('3'!M47+1,'3'!$B47:$U109,'3'!$W$3+3,0),'3'!M109)),'3'!M109,IF('3'!M47&lt;MAX('3'!$B47:$U47),HLOOKUP('3'!M47+1,'3'!$B47:$U109,'3'!$W$3+3,0),'3'!M109)))</f>
        <v/>
      </c>
      <c r="N47" s="19" t="str">
        <f>IF(ISBLANK('Raw counts'!N48),"",IF(ISERROR(IF('3'!N47&lt;MAX('3'!$B47:$U47),HLOOKUP('3'!N47+1,'3'!$B47:$U109,'3'!$W$3+3,0),'3'!N109)),'3'!N109,IF('3'!N47&lt;MAX('3'!$B47:$U47),HLOOKUP('3'!N47+1,'3'!$B47:$U109,'3'!$W$3+3,0),'3'!N109)))</f>
        <v/>
      </c>
      <c r="O47" s="19" t="str">
        <f>IF(ISBLANK('Raw counts'!O48),"",IF(ISERROR(IF('3'!O47&lt;MAX('3'!$B47:$U47),HLOOKUP('3'!O47+1,'3'!$B47:$U109,'3'!$W$3+3,0),'3'!O109)),'3'!O109,IF('3'!O47&lt;MAX('3'!$B47:$U47),HLOOKUP('3'!O47+1,'3'!$B47:$U109,'3'!$W$3+3,0),'3'!O109)))</f>
        <v/>
      </c>
      <c r="P47" s="19" t="str">
        <f>IF(ISBLANK('Raw counts'!P48),"",IF(ISERROR(IF('3'!P47&lt;MAX('3'!$B47:$U47),HLOOKUP('3'!P47+1,'3'!$B47:$U109,'3'!$W$3+3,0),'3'!P109)),'3'!P109,IF('3'!P47&lt;MAX('3'!$B47:$U47),HLOOKUP('3'!P47+1,'3'!$B47:$U109,'3'!$W$3+3,0),'3'!P109)))</f>
        <v/>
      </c>
      <c r="Q47" s="19" t="str">
        <f>IF(ISBLANK('Raw counts'!Q48),"",IF(ISERROR(IF('3'!Q47&lt;MAX('3'!$B47:$U47),HLOOKUP('3'!Q47+1,'3'!$B47:$U109,'3'!$W$3+3,0),'3'!Q109)),'3'!Q109,IF('3'!Q47&lt;MAX('3'!$B47:$U47),HLOOKUP('3'!Q47+1,'3'!$B47:$U109,'3'!$W$3+3,0),'3'!Q109)))</f>
        <v/>
      </c>
      <c r="R47" s="19" t="str">
        <f>IF(ISBLANK('Raw counts'!R48),"",IF(ISERROR(IF('3'!R47&lt;MAX('3'!$B47:$U47),HLOOKUP('3'!R47+1,'3'!$B47:$U109,'3'!$W$3+3,0),'3'!R109)),'3'!R109,IF('3'!R47&lt;MAX('3'!$B47:$U47),HLOOKUP('3'!R47+1,'3'!$B47:$U109,'3'!$W$3+3,0),'3'!R109)))</f>
        <v/>
      </c>
      <c r="S47" s="19" t="str">
        <f>IF(ISBLANK('Raw counts'!S48),"",IF(ISERROR(IF('3'!S47&lt;MAX('3'!$B47:$U47),HLOOKUP('3'!S47+1,'3'!$B47:$U109,'3'!$W$3+3,0),'3'!S109)),'3'!S109,IF('3'!S47&lt;MAX('3'!$B47:$U47),HLOOKUP('3'!S47+1,'3'!$B47:$U109,'3'!$W$3+3,0),'3'!S109)))</f>
        <v/>
      </c>
      <c r="T47" s="19" t="str">
        <f>IF(ISBLANK('Raw counts'!T48),"",IF(ISERROR(IF('3'!T47&lt;MAX('3'!$B47:$U47),HLOOKUP('3'!T47+1,'3'!$B47:$U109,'3'!$W$3+3,0),'3'!T109)),'3'!T109,IF('3'!T47&lt;MAX('3'!$B47:$U47),HLOOKUP('3'!T47+1,'3'!$B47:$U109,'3'!$W$3+3,0),'3'!T109)))</f>
        <v/>
      </c>
      <c r="U47" s="19" t="str">
        <f>IF(ISBLANK('Raw counts'!U48),"",IF(ISERROR(IF('3'!U47&lt;MAX('3'!$B47:$U47),HLOOKUP('3'!U47+1,'3'!$B47:$U109,'3'!$W$3+3,0),'3'!U109)),'3'!U109,IF('3'!U47&lt;MAX('3'!$B47:$U47),HLOOKUP('3'!U47+1,'3'!$B47:$U109,'3'!$W$3+3,0),'3'!U109)))</f>
        <v/>
      </c>
    </row>
    <row r="48" spans="1:21" x14ac:dyDescent="0.15">
      <c r="A48" s="18" t="str">
        <f>IF(ISBLANK('Raw counts'!A49),"",'Raw counts'!A49)</f>
        <v>Attr45</v>
      </c>
      <c r="B48" s="19" t="str">
        <f>IF(ISBLANK('Raw counts'!B49),"",IF(ISERROR(IF('3'!B48&lt;MAX('3'!$B48:$U48),HLOOKUP('3'!B48+1,'3'!$B48:$U110,'3'!$W$3+3,0),'3'!B110)),'3'!B110,IF('3'!B48&lt;MAX('3'!$B48:$U48),HLOOKUP('3'!B48+1,'3'!$B48:$U110,'3'!$W$3+3,0),'3'!B110)))</f>
        <v/>
      </c>
      <c r="C48" s="19" t="str">
        <f>IF(ISBLANK('Raw counts'!C49),"",IF(ISERROR(IF('3'!C48&lt;MAX('3'!$B48:$U48),HLOOKUP('3'!C48+1,'3'!$B48:$U110,'3'!$W$3+3,0),'3'!C110)),'3'!C110,IF('3'!C48&lt;MAX('3'!$B48:$U48),HLOOKUP('3'!C48+1,'3'!$B48:$U110,'3'!$W$3+3,0),'3'!C110)))</f>
        <v/>
      </c>
      <c r="D48" s="19" t="str">
        <f>IF(ISBLANK('Raw counts'!D49),"",IF(ISERROR(IF('3'!D48&lt;MAX('3'!$B48:$U48),HLOOKUP('3'!D48+1,'3'!$B48:$U110,'3'!$W$3+3,0),'3'!D110)),'3'!D110,IF('3'!D48&lt;MAX('3'!$B48:$U48),HLOOKUP('3'!D48+1,'3'!$B48:$U110,'3'!$W$3+3,0),'3'!D110)))</f>
        <v/>
      </c>
      <c r="E48" s="19" t="str">
        <f>IF(ISBLANK('Raw counts'!E49),"",IF(ISERROR(IF('3'!E48&lt;MAX('3'!$B48:$U48),HLOOKUP('3'!E48+1,'3'!$B48:$U110,'3'!$W$3+3,0),'3'!E110)),'3'!E110,IF('3'!E48&lt;MAX('3'!$B48:$U48),HLOOKUP('3'!E48+1,'3'!$B48:$U110,'3'!$W$3+3,0),'3'!E110)))</f>
        <v/>
      </c>
      <c r="F48" s="19" t="str">
        <f>IF(ISBLANK('Raw counts'!F49),"",IF(ISERROR(IF('3'!F48&lt;MAX('3'!$B48:$U48),HLOOKUP('3'!F48+1,'3'!$B48:$U110,'3'!$W$3+3,0),'3'!F110)),'3'!F110,IF('3'!F48&lt;MAX('3'!$B48:$U48),HLOOKUP('3'!F48+1,'3'!$B48:$U110,'3'!$W$3+3,0),'3'!F110)))</f>
        <v/>
      </c>
      <c r="G48" s="19" t="str">
        <f>IF(ISBLANK('Raw counts'!G49),"",IF(ISERROR(IF('3'!G48&lt;MAX('3'!$B48:$U48),HLOOKUP('3'!G48+1,'3'!$B48:$U110,'3'!$W$3+3,0),'3'!G110)),'3'!G110,IF('3'!G48&lt;MAX('3'!$B48:$U48),HLOOKUP('3'!G48+1,'3'!$B48:$U110,'3'!$W$3+3,0),'3'!G110)))</f>
        <v/>
      </c>
      <c r="H48" s="19" t="str">
        <f>IF(ISBLANK('Raw counts'!H49),"",IF(ISERROR(IF('3'!H48&lt;MAX('3'!$B48:$U48),HLOOKUP('3'!H48+1,'3'!$B48:$U110,'3'!$W$3+3,0),'3'!H110)),'3'!H110,IF('3'!H48&lt;MAX('3'!$B48:$U48),HLOOKUP('3'!H48+1,'3'!$B48:$U110,'3'!$W$3+3,0),'3'!H110)))</f>
        <v/>
      </c>
      <c r="I48" s="19" t="str">
        <f>IF(ISBLANK('Raw counts'!I49),"",IF(ISERROR(IF('3'!I48&lt;MAX('3'!$B48:$U48),HLOOKUP('3'!I48+1,'3'!$B48:$U110,'3'!$W$3+3,0),'3'!I110)),'3'!I110,IF('3'!I48&lt;MAX('3'!$B48:$U48),HLOOKUP('3'!I48+1,'3'!$B48:$U110,'3'!$W$3+3,0),'3'!I110)))</f>
        <v/>
      </c>
      <c r="J48" s="19" t="str">
        <f>IF(ISBLANK('Raw counts'!J49),"",IF(ISERROR(IF('3'!J48&lt;MAX('3'!$B48:$U48),HLOOKUP('3'!J48+1,'3'!$B48:$U110,'3'!$W$3+3,0),'3'!J110)),'3'!J110,IF('3'!J48&lt;MAX('3'!$B48:$U48),HLOOKUP('3'!J48+1,'3'!$B48:$U110,'3'!$W$3+3,0),'3'!J110)))</f>
        <v/>
      </c>
      <c r="K48" s="19" t="str">
        <f>IF(ISBLANK('Raw counts'!K49),"",IF(ISERROR(IF('3'!K48&lt;MAX('3'!$B48:$U48),HLOOKUP('3'!K48+1,'3'!$B48:$U110,'3'!$W$3+3,0),'3'!K110)),'3'!K110,IF('3'!K48&lt;MAX('3'!$B48:$U48),HLOOKUP('3'!K48+1,'3'!$B48:$U110,'3'!$W$3+3,0),'3'!K110)))</f>
        <v/>
      </c>
      <c r="L48" s="19" t="str">
        <f>IF(ISBLANK('Raw counts'!L49),"",IF(ISERROR(IF('3'!L48&lt;MAX('3'!$B48:$U48),HLOOKUP('3'!L48+1,'3'!$B48:$U110,'3'!$W$3+3,0),'3'!L110)),'3'!L110,IF('3'!L48&lt;MAX('3'!$B48:$U48),HLOOKUP('3'!L48+1,'3'!$B48:$U110,'3'!$W$3+3,0),'3'!L110)))</f>
        <v/>
      </c>
      <c r="M48" s="19" t="str">
        <f>IF(ISBLANK('Raw counts'!M49),"",IF(ISERROR(IF('3'!M48&lt;MAX('3'!$B48:$U48),HLOOKUP('3'!M48+1,'3'!$B48:$U110,'3'!$W$3+3,0),'3'!M110)),'3'!M110,IF('3'!M48&lt;MAX('3'!$B48:$U48),HLOOKUP('3'!M48+1,'3'!$B48:$U110,'3'!$W$3+3,0),'3'!M110)))</f>
        <v/>
      </c>
      <c r="N48" s="19" t="str">
        <f>IF(ISBLANK('Raw counts'!N49),"",IF(ISERROR(IF('3'!N48&lt;MAX('3'!$B48:$U48),HLOOKUP('3'!N48+1,'3'!$B48:$U110,'3'!$W$3+3,0),'3'!N110)),'3'!N110,IF('3'!N48&lt;MAX('3'!$B48:$U48),HLOOKUP('3'!N48+1,'3'!$B48:$U110,'3'!$W$3+3,0),'3'!N110)))</f>
        <v/>
      </c>
      <c r="O48" s="19" t="str">
        <f>IF(ISBLANK('Raw counts'!O49),"",IF(ISERROR(IF('3'!O48&lt;MAX('3'!$B48:$U48),HLOOKUP('3'!O48+1,'3'!$B48:$U110,'3'!$W$3+3,0),'3'!O110)),'3'!O110,IF('3'!O48&lt;MAX('3'!$B48:$U48),HLOOKUP('3'!O48+1,'3'!$B48:$U110,'3'!$W$3+3,0),'3'!O110)))</f>
        <v/>
      </c>
      <c r="P48" s="19" t="str">
        <f>IF(ISBLANK('Raw counts'!P49),"",IF(ISERROR(IF('3'!P48&lt;MAX('3'!$B48:$U48),HLOOKUP('3'!P48+1,'3'!$B48:$U110,'3'!$W$3+3,0),'3'!P110)),'3'!P110,IF('3'!P48&lt;MAX('3'!$B48:$U48),HLOOKUP('3'!P48+1,'3'!$B48:$U110,'3'!$W$3+3,0),'3'!P110)))</f>
        <v/>
      </c>
      <c r="Q48" s="19" t="str">
        <f>IF(ISBLANK('Raw counts'!Q49),"",IF(ISERROR(IF('3'!Q48&lt;MAX('3'!$B48:$U48),HLOOKUP('3'!Q48+1,'3'!$B48:$U110,'3'!$W$3+3,0),'3'!Q110)),'3'!Q110,IF('3'!Q48&lt;MAX('3'!$B48:$U48),HLOOKUP('3'!Q48+1,'3'!$B48:$U110,'3'!$W$3+3,0),'3'!Q110)))</f>
        <v/>
      </c>
      <c r="R48" s="19" t="str">
        <f>IF(ISBLANK('Raw counts'!R49),"",IF(ISERROR(IF('3'!R48&lt;MAX('3'!$B48:$U48),HLOOKUP('3'!R48+1,'3'!$B48:$U110,'3'!$W$3+3,0),'3'!R110)),'3'!R110,IF('3'!R48&lt;MAX('3'!$B48:$U48),HLOOKUP('3'!R48+1,'3'!$B48:$U110,'3'!$W$3+3,0),'3'!R110)))</f>
        <v/>
      </c>
      <c r="S48" s="19" t="str">
        <f>IF(ISBLANK('Raw counts'!S49),"",IF(ISERROR(IF('3'!S48&lt;MAX('3'!$B48:$U48),HLOOKUP('3'!S48+1,'3'!$B48:$U110,'3'!$W$3+3,0),'3'!S110)),'3'!S110,IF('3'!S48&lt;MAX('3'!$B48:$U48),HLOOKUP('3'!S48+1,'3'!$B48:$U110,'3'!$W$3+3,0),'3'!S110)))</f>
        <v/>
      </c>
      <c r="T48" s="19" t="str">
        <f>IF(ISBLANK('Raw counts'!T49),"",IF(ISERROR(IF('3'!T48&lt;MAX('3'!$B48:$U48),HLOOKUP('3'!T48+1,'3'!$B48:$U110,'3'!$W$3+3,0),'3'!T110)),'3'!T110,IF('3'!T48&lt;MAX('3'!$B48:$U48),HLOOKUP('3'!T48+1,'3'!$B48:$U110,'3'!$W$3+3,0),'3'!T110)))</f>
        <v/>
      </c>
      <c r="U48" s="19" t="str">
        <f>IF(ISBLANK('Raw counts'!U49),"",IF(ISERROR(IF('3'!U48&lt;MAX('3'!$B48:$U48),HLOOKUP('3'!U48+1,'3'!$B48:$U110,'3'!$W$3+3,0),'3'!U110)),'3'!U110,IF('3'!U48&lt;MAX('3'!$B48:$U48),HLOOKUP('3'!U48+1,'3'!$B48:$U110,'3'!$W$3+3,0),'3'!U110)))</f>
        <v/>
      </c>
    </row>
    <row r="49" spans="1:21" x14ac:dyDescent="0.15">
      <c r="A49" s="18" t="str">
        <f>IF(ISBLANK('Raw counts'!A50),"",'Raw counts'!A50)</f>
        <v>Attr46</v>
      </c>
      <c r="B49" s="19" t="str">
        <f>IF(ISBLANK('Raw counts'!B50),"",IF(ISERROR(IF('3'!B49&lt;MAX('3'!$B49:$U49),HLOOKUP('3'!B49+1,'3'!$B49:$U111,'3'!$W$3+3,0),'3'!B111)),'3'!B111,IF('3'!B49&lt;MAX('3'!$B49:$U49),HLOOKUP('3'!B49+1,'3'!$B49:$U111,'3'!$W$3+3,0),'3'!B111)))</f>
        <v/>
      </c>
      <c r="C49" s="19" t="str">
        <f>IF(ISBLANK('Raw counts'!C50),"",IF(ISERROR(IF('3'!C49&lt;MAX('3'!$B49:$U49),HLOOKUP('3'!C49+1,'3'!$B49:$U111,'3'!$W$3+3,0),'3'!C111)),'3'!C111,IF('3'!C49&lt;MAX('3'!$B49:$U49),HLOOKUP('3'!C49+1,'3'!$B49:$U111,'3'!$W$3+3,0),'3'!C111)))</f>
        <v/>
      </c>
      <c r="D49" s="19" t="str">
        <f>IF(ISBLANK('Raw counts'!D50),"",IF(ISERROR(IF('3'!D49&lt;MAX('3'!$B49:$U49),HLOOKUP('3'!D49+1,'3'!$B49:$U111,'3'!$W$3+3,0),'3'!D111)),'3'!D111,IF('3'!D49&lt;MAX('3'!$B49:$U49),HLOOKUP('3'!D49+1,'3'!$B49:$U111,'3'!$W$3+3,0),'3'!D111)))</f>
        <v/>
      </c>
      <c r="E49" s="19" t="str">
        <f>IF(ISBLANK('Raw counts'!E50),"",IF(ISERROR(IF('3'!E49&lt;MAX('3'!$B49:$U49),HLOOKUP('3'!E49+1,'3'!$B49:$U111,'3'!$W$3+3,0),'3'!E111)),'3'!E111,IF('3'!E49&lt;MAX('3'!$B49:$U49),HLOOKUP('3'!E49+1,'3'!$B49:$U111,'3'!$W$3+3,0),'3'!E111)))</f>
        <v/>
      </c>
      <c r="F49" s="19" t="str">
        <f>IF(ISBLANK('Raw counts'!F50),"",IF(ISERROR(IF('3'!F49&lt;MAX('3'!$B49:$U49),HLOOKUP('3'!F49+1,'3'!$B49:$U111,'3'!$W$3+3,0),'3'!F111)),'3'!F111,IF('3'!F49&lt;MAX('3'!$B49:$U49),HLOOKUP('3'!F49+1,'3'!$B49:$U111,'3'!$W$3+3,0),'3'!F111)))</f>
        <v/>
      </c>
      <c r="G49" s="19" t="str">
        <f>IF(ISBLANK('Raw counts'!G50),"",IF(ISERROR(IF('3'!G49&lt;MAX('3'!$B49:$U49),HLOOKUP('3'!G49+1,'3'!$B49:$U111,'3'!$W$3+3,0),'3'!G111)),'3'!G111,IF('3'!G49&lt;MAX('3'!$B49:$U49),HLOOKUP('3'!G49+1,'3'!$B49:$U111,'3'!$W$3+3,0),'3'!G111)))</f>
        <v/>
      </c>
      <c r="H49" s="19" t="str">
        <f>IF(ISBLANK('Raw counts'!H50),"",IF(ISERROR(IF('3'!H49&lt;MAX('3'!$B49:$U49),HLOOKUP('3'!H49+1,'3'!$B49:$U111,'3'!$W$3+3,0),'3'!H111)),'3'!H111,IF('3'!H49&lt;MAX('3'!$B49:$U49),HLOOKUP('3'!H49+1,'3'!$B49:$U111,'3'!$W$3+3,0),'3'!H111)))</f>
        <v/>
      </c>
      <c r="I49" s="19" t="str">
        <f>IF(ISBLANK('Raw counts'!I50),"",IF(ISERROR(IF('3'!I49&lt;MAX('3'!$B49:$U49),HLOOKUP('3'!I49+1,'3'!$B49:$U111,'3'!$W$3+3,0),'3'!I111)),'3'!I111,IF('3'!I49&lt;MAX('3'!$B49:$U49),HLOOKUP('3'!I49+1,'3'!$B49:$U111,'3'!$W$3+3,0),'3'!I111)))</f>
        <v/>
      </c>
      <c r="J49" s="19" t="str">
        <f>IF(ISBLANK('Raw counts'!J50),"",IF(ISERROR(IF('3'!J49&lt;MAX('3'!$B49:$U49),HLOOKUP('3'!J49+1,'3'!$B49:$U111,'3'!$W$3+3,0),'3'!J111)),'3'!J111,IF('3'!J49&lt;MAX('3'!$B49:$U49),HLOOKUP('3'!J49+1,'3'!$B49:$U111,'3'!$W$3+3,0),'3'!J111)))</f>
        <v/>
      </c>
      <c r="K49" s="19" t="str">
        <f>IF(ISBLANK('Raw counts'!K50),"",IF(ISERROR(IF('3'!K49&lt;MAX('3'!$B49:$U49),HLOOKUP('3'!K49+1,'3'!$B49:$U111,'3'!$W$3+3,0),'3'!K111)),'3'!K111,IF('3'!K49&lt;MAX('3'!$B49:$U49),HLOOKUP('3'!K49+1,'3'!$B49:$U111,'3'!$W$3+3,0),'3'!K111)))</f>
        <v/>
      </c>
      <c r="L49" s="19" t="str">
        <f>IF(ISBLANK('Raw counts'!L50),"",IF(ISERROR(IF('3'!L49&lt;MAX('3'!$B49:$U49),HLOOKUP('3'!L49+1,'3'!$B49:$U111,'3'!$W$3+3,0),'3'!L111)),'3'!L111,IF('3'!L49&lt;MAX('3'!$B49:$U49),HLOOKUP('3'!L49+1,'3'!$B49:$U111,'3'!$W$3+3,0),'3'!L111)))</f>
        <v/>
      </c>
      <c r="M49" s="19" t="str">
        <f>IF(ISBLANK('Raw counts'!M50),"",IF(ISERROR(IF('3'!M49&lt;MAX('3'!$B49:$U49),HLOOKUP('3'!M49+1,'3'!$B49:$U111,'3'!$W$3+3,0),'3'!M111)),'3'!M111,IF('3'!M49&lt;MAX('3'!$B49:$U49),HLOOKUP('3'!M49+1,'3'!$B49:$U111,'3'!$W$3+3,0),'3'!M111)))</f>
        <v/>
      </c>
      <c r="N49" s="19" t="str">
        <f>IF(ISBLANK('Raw counts'!N50),"",IF(ISERROR(IF('3'!N49&lt;MAX('3'!$B49:$U49),HLOOKUP('3'!N49+1,'3'!$B49:$U111,'3'!$W$3+3,0),'3'!N111)),'3'!N111,IF('3'!N49&lt;MAX('3'!$B49:$U49),HLOOKUP('3'!N49+1,'3'!$B49:$U111,'3'!$W$3+3,0),'3'!N111)))</f>
        <v/>
      </c>
      <c r="O49" s="19" t="str">
        <f>IF(ISBLANK('Raw counts'!O50),"",IF(ISERROR(IF('3'!O49&lt;MAX('3'!$B49:$U49),HLOOKUP('3'!O49+1,'3'!$B49:$U111,'3'!$W$3+3,0),'3'!O111)),'3'!O111,IF('3'!O49&lt;MAX('3'!$B49:$U49),HLOOKUP('3'!O49+1,'3'!$B49:$U111,'3'!$W$3+3,0),'3'!O111)))</f>
        <v/>
      </c>
      <c r="P49" s="19" t="str">
        <f>IF(ISBLANK('Raw counts'!P50),"",IF(ISERROR(IF('3'!P49&lt;MAX('3'!$B49:$U49),HLOOKUP('3'!P49+1,'3'!$B49:$U111,'3'!$W$3+3,0),'3'!P111)),'3'!P111,IF('3'!P49&lt;MAX('3'!$B49:$U49),HLOOKUP('3'!P49+1,'3'!$B49:$U111,'3'!$W$3+3,0),'3'!P111)))</f>
        <v/>
      </c>
      <c r="Q49" s="19" t="str">
        <f>IF(ISBLANK('Raw counts'!Q50),"",IF(ISERROR(IF('3'!Q49&lt;MAX('3'!$B49:$U49),HLOOKUP('3'!Q49+1,'3'!$B49:$U111,'3'!$W$3+3,0),'3'!Q111)),'3'!Q111,IF('3'!Q49&lt;MAX('3'!$B49:$U49),HLOOKUP('3'!Q49+1,'3'!$B49:$U111,'3'!$W$3+3,0),'3'!Q111)))</f>
        <v/>
      </c>
      <c r="R49" s="19" t="str">
        <f>IF(ISBLANK('Raw counts'!R50),"",IF(ISERROR(IF('3'!R49&lt;MAX('3'!$B49:$U49),HLOOKUP('3'!R49+1,'3'!$B49:$U111,'3'!$W$3+3,0),'3'!R111)),'3'!R111,IF('3'!R49&lt;MAX('3'!$B49:$U49),HLOOKUP('3'!R49+1,'3'!$B49:$U111,'3'!$W$3+3,0),'3'!R111)))</f>
        <v/>
      </c>
      <c r="S49" s="19" t="str">
        <f>IF(ISBLANK('Raw counts'!S50),"",IF(ISERROR(IF('3'!S49&lt;MAX('3'!$B49:$U49),HLOOKUP('3'!S49+1,'3'!$B49:$U111,'3'!$W$3+3,0),'3'!S111)),'3'!S111,IF('3'!S49&lt;MAX('3'!$B49:$U49),HLOOKUP('3'!S49+1,'3'!$B49:$U111,'3'!$W$3+3,0),'3'!S111)))</f>
        <v/>
      </c>
      <c r="T49" s="19" t="str">
        <f>IF(ISBLANK('Raw counts'!T50),"",IF(ISERROR(IF('3'!T49&lt;MAX('3'!$B49:$U49),HLOOKUP('3'!T49+1,'3'!$B49:$U111,'3'!$W$3+3,0),'3'!T111)),'3'!T111,IF('3'!T49&lt;MAX('3'!$B49:$U49),HLOOKUP('3'!T49+1,'3'!$B49:$U111,'3'!$W$3+3,0),'3'!T111)))</f>
        <v/>
      </c>
      <c r="U49" s="19" t="str">
        <f>IF(ISBLANK('Raw counts'!U50),"",IF(ISERROR(IF('3'!U49&lt;MAX('3'!$B49:$U49),HLOOKUP('3'!U49+1,'3'!$B49:$U111,'3'!$W$3+3,0),'3'!U111)),'3'!U111,IF('3'!U49&lt;MAX('3'!$B49:$U49),HLOOKUP('3'!U49+1,'3'!$B49:$U111,'3'!$W$3+3,0),'3'!U111)))</f>
        <v/>
      </c>
    </row>
    <row r="50" spans="1:21" x14ac:dyDescent="0.15">
      <c r="A50" s="18" t="str">
        <f>IF(ISBLANK('Raw counts'!A51),"",'Raw counts'!A51)</f>
        <v>Attr47</v>
      </c>
      <c r="B50" s="19" t="str">
        <f>IF(ISBLANK('Raw counts'!B51),"",IF(ISERROR(IF('3'!B50&lt;MAX('3'!$B50:$U50),HLOOKUP('3'!B50+1,'3'!$B50:$U112,'3'!$W$3+3,0),'3'!B112)),'3'!B112,IF('3'!B50&lt;MAX('3'!$B50:$U50),HLOOKUP('3'!B50+1,'3'!$B50:$U112,'3'!$W$3+3,0),'3'!B112)))</f>
        <v/>
      </c>
      <c r="C50" s="19" t="str">
        <f>IF(ISBLANK('Raw counts'!C51),"",IF(ISERROR(IF('3'!C50&lt;MAX('3'!$B50:$U50),HLOOKUP('3'!C50+1,'3'!$B50:$U112,'3'!$W$3+3,0),'3'!C112)),'3'!C112,IF('3'!C50&lt;MAX('3'!$B50:$U50),HLOOKUP('3'!C50+1,'3'!$B50:$U112,'3'!$W$3+3,0),'3'!C112)))</f>
        <v/>
      </c>
      <c r="D50" s="19" t="str">
        <f>IF(ISBLANK('Raw counts'!D51),"",IF(ISERROR(IF('3'!D50&lt;MAX('3'!$B50:$U50),HLOOKUP('3'!D50+1,'3'!$B50:$U112,'3'!$W$3+3,0),'3'!D112)),'3'!D112,IF('3'!D50&lt;MAX('3'!$B50:$U50),HLOOKUP('3'!D50+1,'3'!$B50:$U112,'3'!$W$3+3,0),'3'!D112)))</f>
        <v/>
      </c>
      <c r="E50" s="19" t="str">
        <f>IF(ISBLANK('Raw counts'!E51),"",IF(ISERROR(IF('3'!E50&lt;MAX('3'!$B50:$U50),HLOOKUP('3'!E50+1,'3'!$B50:$U112,'3'!$W$3+3,0),'3'!E112)),'3'!E112,IF('3'!E50&lt;MAX('3'!$B50:$U50),HLOOKUP('3'!E50+1,'3'!$B50:$U112,'3'!$W$3+3,0),'3'!E112)))</f>
        <v/>
      </c>
      <c r="F50" s="19" t="str">
        <f>IF(ISBLANK('Raw counts'!F51),"",IF(ISERROR(IF('3'!F50&lt;MAX('3'!$B50:$U50),HLOOKUP('3'!F50+1,'3'!$B50:$U112,'3'!$W$3+3,0),'3'!F112)),'3'!F112,IF('3'!F50&lt;MAX('3'!$B50:$U50),HLOOKUP('3'!F50+1,'3'!$B50:$U112,'3'!$W$3+3,0),'3'!F112)))</f>
        <v/>
      </c>
      <c r="G50" s="19" t="str">
        <f>IF(ISBLANK('Raw counts'!G51),"",IF(ISERROR(IF('3'!G50&lt;MAX('3'!$B50:$U50),HLOOKUP('3'!G50+1,'3'!$B50:$U112,'3'!$W$3+3,0),'3'!G112)),'3'!G112,IF('3'!G50&lt;MAX('3'!$B50:$U50),HLOOKUP('3'!G50+1,'3'!$B50:$U112,'3'!$W$3+3,0),'3'!G112)))</f>
        <v/>
      </c>
      <c r="H50" s="19" t="str">
        <f>IF(ISBLANK('Raw counts'!H51),"",IF(ISERROR(IF('3'!H50&lt;MAX('3'!$B50:$U50),HLOOKUP('3'!H50+1,'3'!$B50:$U112,'3'!$W$3+3,0),'3'!H112)),'3'!H112,IF('3'!H50&lt;MAX('3'!$B50:$U50),HLOOKUP('3'!H50+1,'3'!$B50:$U112,'3'!$W$3+3,0),'3'!H112)))</f>
        <v/>
      </c>
      <c r="I50" s="19" t="str">
        <f>IF(ISBLANK('Raw counts'!I51),"",IF(ISERROR(IF('3'!I50&lt;MAX('3'!$B50:$U50),HLOOKUP('3'!I50+1,'3'!$B50:$U112,'3'!$W$3+3,0),'3'!I112)),'3'!I112,IF('3'!I50&lt;MAX('3'!$B50:$U50),HLOOKUP('3'!I50+1,'3'!$B50:$U112,'3'!$W$3+3,0),'3'!I112)))</f>
        <v/>
      </c>
      <c r="J50" s="19" t="str">
        <f>IF(ISBLANK('Raw counts'!J51),"",IF(ISERROR(IF('3'!J50&lt;MAX('3'!$B50:$U50),HLOOKUP('3'!J50+1,'3'!$B50:$U112,'3'!$W$3+3,0),'3'!J112)),'3'!J112,IF('3'!J50&lt;MAX('3'!$B50:$U50),HLOOKUP('3'!J50+1,'3'!$B50:$U112,'3'!$W$3+3,0),'3'!J112)))</f>
        <v/>
      </c>
      <c r="K50" s="19" t="str">
        <f>IF(ISBLANK('Raw counts'!K51),"",IF(ISERROR(IF('3'!K50&lt;MAX('3'!$B50:$U50),HLOOKUP('3'!K50+1,'3'!$B50:$U112,'3'!$W$3+3,0),'3'!K112)),'3'!K112,IF('3'!K50&lt;MAX('3'!$B50:$U50),HLOOKUP('3'!K50+1,'3'!$B50:$U112,'3'!$W$3+3,0),'3'!K112)))</f>
        <v/>
      </c>
      <c r="L50" s="19" t="str">
        <f>IF(ISBLANK('Raw counts'!L51),"",IF(ISERROR(IF('3'!L50&lt;MAX('3'!$B50:$U50),HLOOKUP('3'!L50+1,'3'!$B50:$U112,'3'!$W$3+3,0),'3'!L112)),'3'!L112,IF('3'!L50&lt;MAX('3'!$B50:$U50),HLOOKUP('3'!L50+1,'3'!$B50:$U112,'3'!$W$3+3,0),'3'!L112)))</f>
        <v/>
      </c>
      <c r="M50" s="19" t="str">
        <f>IF(ISBLANK('Raw counts'!M51),"",IF(ISERROR(IF('3'!M50&lt;MAX('3'!$B50:$U50),HLOOKUP('3'!M50+1,'3'!$B50:$U112,'3'!$W$3+3,0),'3'!M112)),'3'!M112,IF('3'!M50&lt;MAX('3'!$B50:$U50),HLOOKUP('3'!M50+1,'3'!$B50:$U112,'3'!$W$3+3,0),'3'!M112)))</f>
        <v/>
      </c>
      <c r="N50" s="19" t="str">
        <f>IF(ISBLANK('Raw counts'!N51),"",IF(ISERROR(IF('3'!N50&lt;MAX('3'!$B50:$U50),HLOOKUP('3'!N50+1,'3'!$B50:$U112,'3'!$W$3+3,0),'3'!N112)),'3'!N112,IF('3'!N50&lt;MAX('3'!$B50:$U50),HLOOKUP('3'!N50+1,'3'!$B50:$U112,'3'!$W$3+3,0),'3'!N112)))</f>
        <v/>
      </c>
      <c r="O50" s="19" t="str">
        <f>IF(ISBLANK('Raw counts'!O51),"",IF(ISERROR(IF('3'!O50&lt;MAX('3'!$B50:$U50),HLOOKUP('3'!O50+1,'3'!$B50:$U112,'3'!$W$3+3,0),'3'!O112)),'3'!O112,IF('3'!O50&lt;MAX('3'!$B50:$U50),HLOOKUP('3'!O50+1,'3'!$B50:$U112,'3'!$W$3+3,0),'3'!O112)))</f>
        <v/>
      </c>
      <c r="P50" s="19" t="str">
        <f>IF(ISBLANK('Raw counts'!P51),"",IF(ISERROR(IF('3'!P50&lt;MAX('3'!$B50:$U50),HLOOKUP('3'!P50+1,'3'!$B50:$U112,'3'!$W$3+3,0),'3'!P112)),'3'!P112,IF('3'!P50&lt;MAX('3'!$B50:$U50),HLOOKUP('3'!P50+1,'3'!$B50:$U112,'3'!$W$3+3,0),'3'!P112)))</f>
        <v/>
      </c>
      <c r="Q50" s="19" t="str">
        <f>IF(ISBLANK('Raw counts'!Q51),"",IF(ISERROR(IF('3'!Q50&lt;MAX('3'!$B50:$U50),HLOOKUP('3'!Q50+1,'3'!$B50:$U112,'3'!$W$3+3,0),'3'!Q112)),'3'!Q112,IF('3'!Q50&lt;MAX('3'!$B50:$U50),HLOOKUP('3'!Q50+1,'3'!$B50:$U112,'3'!$W$3+3,0),'3'!Q112)))</f>
        <v/>
      </c>
      <c r="R50" s="19" t="str">
        <f>IF(ISBLANK('Raw counts'!R51),"",IF(ISERROR(IF('3'!R50&lt;MAX('3'!$B50:$U50),HLOOKUP('3'!R50+1,'3'!$B50:$U112,'3'!$W$3+3,0),'3'!R112)),'3'!R112,IF('3'!R50&lt;MAX('3'!$B50:$U50),HLOOKUP('3'!R50+1,'3'!$B50:$U112,'3'!$W$3+3,0),'3'!R112)))</f>
        <v/>
      </c>
      <c r="S50" s="19" t="str">
        <f>IF(ISBLANK('Raw counts'!S51),"",IF(ISERROR(IF('3'!S50&lt;MAX('3'!$B50:$U50),HLOOKUP('3'!S50+1,'3'!$B50:$U112,'3'!$W$3+3,0),'3'!S112)),'3'!S112,IF('3'!S50&lt;MAX('3'!$B50:$U50),HLOOKUP('3'!S50+1,'3'!$B50:$U112,'3'!$W$3+3,0),'3'!S112)))</f>
        <v/>
      </c>
      <c r="T50" s="19" t="str">
        <f>IF(ISBLANK('Raw counts'!T51),"",IF(ISERROR(IF('3'!T50&lt;MAX('3'!$B50:$U50),HLOOKUP('3'!T50+1,'3'!$B50:$U112,'3'!$W$3+3,0),'3'!T112)),'3'!T112,IF('3'!T50&lt;MAX('3'!$B50:$U50),HLOOKUP('3'!T50+1,'3'!$B50:$U112,'3'!$W$3+3,0),'3'!T112)))</f>
        <v/>
      </c>
      <c r="U50" s="19" t="str">
        <f>IF(ISBLANK('Raw counts'!U51),"",IF(ISERROR(IF('3'!U50&lt;MAX('3'!$B50:$U50),HLOOKUP('3'!U50+1,'3'!$B50:$U112,'3'!$W$3+3,0),'3'!U112)),'3'!U112,IF('3'!U50&lt;MAX('3'!$B50:$U50),HLOOKUP('3'!U50+1,'3'!$B50:$U112,'3'!$W$3+3,0),'3'!U112)))</f>
        <v/>
      </c>
    </row>
    <row r="51" spans="1:21" x14ac:dyDescent="0.15">
      <c r="A51" s="18" t="str">
        <f>IF(ISBLANK('Raw counts'!A52),"",'Raw counts'!A52)</f>
        <v>Attr48</v>
      </c>
      <c r="B51" s="19" t="str">
        <f>IF(ISBLANK('Raw counts'!B52),"",IF(ISERROR(IF('3'!B51&lt;MAX('3'!$B51:$U51),HLOOKUP('3'!B51+1,'3'!$B51:$U113,'3'!$W$3+3,0),'3'!B113)),'3'!B113,IF('3'!B51&lt;MAX('3'!$B51:$U51),HLOOKUP('3'!B51+1,'3'!$B51:$U113,'3'!$W$3+3,0),'3'!B113)))</f>
        <v/>
      </c>
      <c r="C51" s="19" t="str">
        <f>IF(ISBLANK('Raw counts'!C52),"",IF(ISERROR(IF('3'!C51&lt;MAX('3'!$B51:$U51),HLOOKUP('3'!C51+1,'3'!$B51:$U113,'3'!$W$3+3,0),'3'!C113)),'3'!C113,IF('3'!C51&lt;MAX('3'!$B51:$U51),HLOOKUP('3'!C51+1,'3'!$B51:$U113,'3'!$W$3+3,0),'3'!C113)))</f>
        <v/>
      </c>
      <c r="D51" s="19" t="str">
        <f>IF(ISBLANK('Raw counts'!D52),"",IF(ISERROR(IF('3'!D51&lt;MAX('3'!$B51:$U51),HLOOKUP('3'!D51+1,'3'!$B51:$U113,'3'!$W$3+3,0),'3'!D113)),'3'!D113,IF('3'!D51&lt;MAX('3'!$B51:$U51),HLOOKUP('3'!D51+1,'3'!$B51:$U113,'3'!$W$3+3,0),'3'!D113)))</f>
        <v/>
      </c>
      <c r="E51" s="19" t="str">
        <f>IF(ISBLANK('Raw counts'!E52),"",IF(ISERROR(IF('3'!E51&lt;MAX('3'!$B51:$U51),HLOOKUP('3'!E51+1,'3'!$B51:$U113,'3'!$W$3+3,0),'3'!E113)),'3'!E113,IF('3'!E51&lt;MAX('3'!$B51:$U51),HLOOKUP('3'!E51+1,'3'!$B51:$U113,'3'!$W$3+3,0),'3'!E113)))</f>
        <v/>
      </c>
      <c r="F51" s="19" t="str">
        <f>IF(ISBLANK('Raw counts'!F52),"",IF(ISERROR(IF('3'!F51&lt;MAX('3'!$B51:$U51),HLOOKUP('3'!F51+1,'3'!$B51:$U113,'3'!$W$3+3,0),'3'!F113)),'3'!F113,IF('3'!F51&lt;MAX('3'!$B51:$U51),HLOOKUP('3'!F51+1,'3'!$B51:$U113,'3'!$W$3+3,0),'3'!F113)))</f>
        <v/>
      </c>
      <c r="G51" s="19" t="str">
        <f>IF(ISBLANK('Raw counts'!G52),"",IF(ISERROR(IF('3'!G51&lt;MAX('3'!$B51:$U51),HLOOKUP('3'!G51+1,'3'!$B51:$U113,'3'!$W$3+3,0),'3'!G113)),'3'!G113,IF('3'!G51&lt;MAX('3'!$B51:$U51),HLOOKUP('3'!G51+1,'3'!$B51:$U113,'3'!$W$3+3,0),'3'!G113)))</f>
        <v/>
      </c>
      <c r="H51" s="19" t="str">
        <f>IF(ISBLANK('Raw counts'!H52),"",IF(ISERROR(IF('3'!H51&lt;MAX('3'!$B51:$U51),HLOOKUP('3'!H51+1,'3'!$B51:$U113,'3'!$W$3+3,0),'3'!H113)),'3'!H113,IF('3'!H51&lt;MAX('3'!$B51:$U51),HLOOKUP('3'!H51+1,'3'!$B51:$U113,'3'!$W$3+3,0),'3'!H113)))</f>
        <v/>
      </c>
      <c r="I51" s="19" t="str">
        <f>IF(ISBLANK('Raw counts'!I52),"",IF(ISERROR(IF('3'!I51&lt;MAX('3'!$B51:$U51),HLOOKUP('3'!I51+1,'3'!$B51:$U113,'3'!$W$3+3,0),'3'!I113)),'3'!I113,IF('3'!I51&lt;MAX('3'!$B51:$U51),HLOOKUP('3'!I51+1,'3'!$B51:$U113,'3'!$W$3+3,0),'3'!I113)))</f>
        <v/>
      </c>
      <c r="J51" s="19" t="str">
        <f>IF(ISBLANK('Raw counts'!J52),"",IF(ISERROR(IF('3'!J51&lt;MAX('3'!$B51:$U51),HLOOKUP('3'!J51+1,'3'!$B51:$U113,'3'!$W$3+3,0),'3'!J113)),'3'!J113,IF('3'!J51&lt;MAX('3'!$B51:$U51),HLOOKUP('3'!J51+1,'3'!$B51:$U113,'3'!$W$3+3,0),'3'!J113)))</f>
        <v/>
      </c>
      <c r="K51" s="19" t="str">
        <f>IF(ISBLANK('Raw counts'!K52),"",IF(ISERROR(IF('3'!K51&lt;MAX('3'!$B51:$U51),HLOOKUP('3'!K51+1,'3'!$B51:$U113,'3'!$W$3+3,0),'3'!K113)),'3'!K113,IF('3'!K51&lt;MAX('3'!$B51:$U51),HLOOKUP('3'!K51+1,'3'!$B51:$U113,'3'!$W$3+3,0),'3'!K113)))</f>
        <v/>
      </c>
      <c r="L51" s="19" t="str">
        <f>IF(ISBLANK('Raw counts'!L52),"",IF(ISERROR(IF('3'!L51&lt;MAX('3'!$B51:$U51),HLOOKUP('3'!L51+1,'3'!$B51:$U113,'3'!$W$3+3,0),'3'!L113)),'3'!L113,IF('3'!L51&lt;MAX('3'!$B51:$U51),HLOOKUP('3'!L51+1,'3'!$B51:$U113,'3'!$W$3+3,0),'3'!L113)))</f>
        <v/>
      </c>
      <c r="M51" s="19" t="str">
        <f>IF(ISBLANK('Raw counts'!M52),"",IF(ISERROR(IF('3'!M51&lt;MAX('3'!$B51:$U51),HLOOKUP('3'!M51+1,'3'!$B51:$U113,'3'!$W$3+3,0),'3'!M113)),'3'!M113,IF('3'!M51&lt;MAX('3'!$B51:$U51),HLOOKUP('3'!M51+1,'3'!$B51:$U113,'3'!$W$3+3,0),'3'!M113)))</f>
        <v/>
      </c>
      <c r="N51" s="19" t="str">
        <f>IF(ISBLANK('Raw counts'!N52),"",IF(ISERROR(IF('3'!N51&lt;MAX('3'!$B51:$U51),HLOOKUP('3'!N51+1,'3'!$B51:$U113,'3'!$W$3+3,0),'3'!N113)),'3'!N113,IF('3'!N51&lt;MAX('3'!$B51:$U51),HLOOKUP('3'!N51+1,'3'!$B51:$U113,'3'!$W$3+3,0),'3'!N113)))</f>
        <v/>
      </c>
      <c r="O51" s="19" t="str">
        <f>IF(ISBLANK('Raw counts'!O52),"",IF(ISERROR(IF('3'!O51&lt;MAX('3'!$B51:$U51),HLOOKUP('3'!O51+1,'3'!$B51:$U113,'3'!$W$3+3,0),'3'!O113)),'3'!O113,IF('3'!O51&lt;MAX('3'!$B51:$U51),HLOOKUP('3'!O51+1,'3'!$B51:$U113,'3'!$W$3+3,0),'3'!O113)))</f>
        <v/>
      </c>
      <c r="P51" s="19" t="str">
        <f>IF(ISBLANK('Raw counts'!P52),"",IF(ISERROR(IF('3'!P51&lt;MAX('3'!$B51:$U51),HLOOKUP('3'!P51+1,'3'!$B51:$U113,'3'!$W$3+3,0),'3'!P113)),'3'!P113,IF('3'!P51&lt;MAX('3'!$B51:$U51),HLOOKUP('3'!P51+1,'3'!$B51:$U113,'3'!$W$3+3,0),'3'!P113)))</f>
        <v/>
      </c>
      <c r="Q51" s="19" t="str">
        <f>IF(ISBLANK('Raw counts'!Q52),"",IF(ISERROR(IF('3'!Q51&lt;MAX('3'!$B51:$U51),HLOOKUP('3'!Q51+1,'3'!$B51:$U113,'3'!$W$3+3,0),'3'!Q113)),'3'!Q113,IF('3'!Q51&lt;MAX('3'!$B51:$U51),HLOOKUP('3'!Q51+1,'3'!$B51:$U113,'3'!$W$3+3,0),'3'!Q113)))</f>
        <v/>
      </c>
      <c r="R51" s="19" t="str">
        <f>IF(ISBLANK('Raw counts'!R52),"",IF(ISERROR(IF('3'!R51&lt;MAX('3'!$B51:$U51),HLOOKUP('3'!R51+1,'3'!$B51:$U113,'3'!$W$3+3,0),'3'!R113)),'3'!R113,IF('3'!R51&lt;MAX('3'!$B51:$U51),HLOOKUP('3'!R51+1,'3'!$B51:$U113,'3'!$W$3+3,0),'3'!R113)))</f>
        <v/>
      </c>
      <c r="S51" s="19" t="str">
        <f>IF(ISBLANK('Raw counts'!S52),"",IF(ISERROR(IF('3'!S51&lt;MAX('3'!$B51:$U51),HLOOKUP('3'!S51+1,'3'!$B51:$U113,'3'!$W$3+3,0),'3'!S113)),'3'!S113,IF('3'!S51&lt;MAX('3'!$B51:$U51),HLOOKUP('3'!S51+1,'3'!$B51:$U113,'3'!$W$3+3,0),'3'!S113)))</f>
        <v/>
      </c>
      <c r="T51" s="19" t="str">
        <f>IF(ISBLANK('Raw counts'!T52),"",IF(ISERROR(IF('3'!T51&lt;MAX('3'!$B51:$U51),HLOOKUP('3'!T51+1,'3'!$B51:$U113,'3'!$W$3+3,0),'3'!T113)),'3'!T113,IF('3'!T51&lt;MAX('3'!$B51:$U51),HLOOKUP('3'!T51+1,'3'!$B51:$U113,'3'!$W$3+3,0),'3'!T113)))</f>
        <v/>
      </c>
      <c r="U51" s="19" t="str">
        <f>IF(ISBLANK('Raw counts'!U52),"",IF(ISERROR(IF('3'!U51&lt;MAX('3'!$B51:$U51),HLOOKUP('3'!U51+1,'3'!$B51:$U113,'3'!$W$3+3,0),'3'!U113)),'3'!U113,IF('3'!U51&lt;MAX('3'!$B51:$U51),HLOOKUP('3'!U51+1,'3'!$B51:$U113,'3'!$W$3+3,0),'3'!U113)))</f>
        <v/>
      </c>
    </row>
    <row r="52" spans="1:21" x14ac:dyDescent="0.15">
      <c r="A52" s="18" t="str">
        <f>IF(ISBLANK('Raw counts'!A53),"",'Raw counts'!A53)</f>
        <v>Attr49</v>
      </c>
      <c r="B52" s="19" t="str">
        <f>IF(ISBLANK('Raw counts'!B53),"",IF(ISERROR(IF('3'!B52&lt;MAX('3'!$B52:$U52),HLOOKUP('3'!B52+1,'3'!$B52:$U114,'3'!$W$3+3,0),'3'!B114)),'3'!B114,IF('3'!B52&lt;MAX('3'!$B52:$U52),HLOOKUP('3'!B52+1,'3'!$B52:$U114,'3'!$W$3+3,0),'3'!B114)))</f>
        <v/>
      </c>
      <c r="C52" s="19" t="str">
        <f>IF(ISBLANK('Raw counts'!C53),"",IF(ISERROR(IF('3'!C52&lt;MAX('3'!$B52:$U52),HLOOKUP('3'!C52+1,'3'!$B52:$U114,'3'!$W$3+3,0),'3'!C114)),'3'!C114,IF('3'!C52&lt;MAX('3'!$B52:$U52),HLOOKUP('3'!C52+1,'3'!$B52:$U114,'3'!$W$3+3,0),'3'!C114)))</f>
        <v/>
      </c>
      <c r="D52" s="19" t="str">
        <f>IF(ISBLANK('Raw counts'!D53),"",IF(ISERROR(IF('3'!D52&lt;MAX('3'!$B52:$U52),HLOOKUP('3'!D52+1,'3'!$B52:$U114,'3'!$W$3+3,0),'3'!D114)),'3'!D114,IF('3'!D52&lt;MAX('3'!$B52:$U52),HLOOKUP('3'!D52+1,'3'!$B52:$U114,'3'!$W$3+3,0),'3'!D114)))</f>
        <v/>
      </c>
      <c r="E52" s="19" t="str">
        <f>IF(ISBLANK('Raw counts'!E53),"",IF(ISERROR(IF('3'!E52&lt;MAX('3'!$B52:$U52),HLOOKUP('3'!E52+1,'3'!$B52:$U114,'3'!$W$3+3,0),'3'!E114)),'3'!E114,IF('3'!E52&lt;MAX('3'!$B52:$U52),HLOOKUP('3'!E52+1,'3'!$B52:$U114,'3'!$W$3+3,0),'3'!E114)))</f>
        <v/>
      </c>
      <c r="F52" s="19" t="str">
        <f>IF(ISBLANK('Raw counts'!F53),"",IF(ISERROR(IF('3'!F52&lt;MAX('3'!$B52:$U52),HLOOKUP('3'!F52+1,'3'!$B52:$U114,'3'!$W$3+3,0),'3'!F114)),'3'!F114,IF('3'!F52&lt;MAX('3'!$B52:$U52),HLOOKUP('3'!F52+1,'3'!$B52:$U114,'3'!$W$3+3,0),'3'!F114)))</f>
        <v/>
      </c>
      <c r="G52" s="19" t="str">
        <f>IF(ISBLANK('Raw counts'!G53),"",IF(ISERROR(IF('3'!G52&lt;MAX('3'!$B52:$U52),HLOOKUP('3'!G52+1,'3'!$B52:$U114,'3'!$W$3+3,0),'3'!G114)),'3'!G114,IF('3'!G52&lt;MAX('3'!$B52:$U52),HLOOKUP('3'!G52+1,'3'!$B52:$U114,'3'!$W$3+3,0),'3'!G114)))</f>
        <v/>
      </c>
      <c r="H52" s="19" t="str">
        <f>IF(ISBLANK('Raw counts'!H53),"",IF(ISERROR(IF('3'!H52&lt;MAX('3'!$B52:$U52),HLOOKUP('3'!H52+1,'3'!$B52:$U114,'3'!$W$3+3,0),'3'!H114)),'3'!H114,IF('3'!H52&lt;MAX('3'!$B52:$U52),HLOOKUP('3'!H52+1,'3'!$B52:$U114,'3'!$W$3+3,0),'3'!H114)))</f>
        <v/>
      </c>
      <c r="I52" s="19" t="str">
        <f>IF(ISBLANK('Raw counts'!I53),"",IF(ISERROR(IF('3'!I52&lt;MAX('3'!$B52:$U52),HLOOKUP('3'!I52+1,'3'!$B52:$U114,'3'!$W$3+3,0),'3'!I114)),'3'!I114,IF('3'!I52&lt;MAX('3'!$B52:$U52),HLOOKUP('3'!I52+1,'3'!$B52:$U114,'3'!$W$3+3,0),'3'!I114)))</f>
        <v/>
      </c>
      <c r="J52" s="19" t="str">
        <f>IF(ISBLANK('Raw counts'!J53),"",IF(ISERROR(IF('3'!J52&lt;MAX('3'!$B52:$U52),HLOOKUP('3'!J52+1,'3'!$B52:$U114,'3'!$W$3+3,0),'3'!J114)),'3'!J114,IF('3'!J52&lt;MAX('3'!$B52:$U52),HLOOKUP('3'!J52+1,'3'!$B52:$U114,'3'!$W$3+3,0),'3'!J114)))</f>
        <v/>
      </c>
      <c r="K52" s="19" t="str">
        <f>IF(ISBLANK('Raw counts'!K53),"",IF(ISERROR(IF('3'!K52&lt;MAX('3'!$B52:$U52),HLOOKUP('3'!K52+1,'3'!$B52:$U114,'3'!$W$3+3,0),'3'!K114)),'3'!K114,IF('3'!K52&lt;MAX('3'!$B52:$U52),HLOOKUP('3'!K52+1,'3'!$B52:$U114,'3'!$W$3+3,0),'3'!K114)))</f>
        <v/>
      </c>
      <c r="L52" s="19" t="str">
        <f>IF(ISBLANK('Raw counts'!L53),"",IF(ISERROR(IF('3'!L52&lt;MAX('3'!$B52:$U52),HLOOKUP('3'!L52+1,'3'!$B52:$U114,'3'!$W$3+3,0),'3'!L114)),'3'!L114,IF('3'!L52&lt;MAX('3'!$B52:$U52),HLOOKUP('3'!L52+1,'3'!$B52:$U114,'3'!$W$3+3,0),'3'!L114)))</f>
        <v/>
      </c>
      <c r="M52" s="19" t="str">
        <f>IF(ISBLANK('Raw counts'!M53),"",IF(ISERROR(IF('3'!M52&lt;MAX('3'!$B52:$U52),HLOOKUP('3'!M52+1,'3'!$B52:$U114,'3'!$W$3+3,0),'3'!M114)),'3'!M114,IF('3'!M52&lt;MAX('3'!$B52:$U52),HLOOKUP('3'!M52+1,'3'!$B52:$U114,'3'!$W$3+3,0),'3'!M114)))</f>
        <v/>
      </c>
      <c r="N52" s="19" t="str">
        <f>IF(ISBLANK('Raw counts'!N53),"",IF(ISERROR(IF('3'!N52&lt;MAX('3'!$B52:$U52),HLOOKUP('3'!N52+1,'3'!$B52:$U114,'3'!$W$3+3,0),'3'!N114)),'3'!N114,IF('3'!N52&lt;MAX('3'!$B52:$U52),HLOOKUP('3'!N52+1,'3'!$B52:$U114,'3'!$W$3+3,0),'3'!N114)))</f>
        <v/>
      </c>
      <c r="O52" s="19" t="str">
        <f>IF(ISBLANK('Raw counts'!O53),"",IF(ISERROR(IF('3'!O52&lt;MAX('3'!$B52:$U52),HLOOKUP('3'!O52+1,'3'!$B52:$U114,'3'!$W$3+3,0),'3'!O114)),'3'!O114,IF('3'!O52&lt;MAX('3'!$B52:$U52),HLOOKUP('3'!O52+1,'3'!$B52:$U114,'3'!$W$3+3,0),'3'!O114)))</f>
        <v/>
      </c>
      <c r="P52" s="19" t="str">
        <f>IF(ISBLANK('Raw counts'!P53),"",IF(ISERROR(IF('3'!P52&lt;MAX('3'!$B52:$U52),HLOOKUP('3'!P52+1,'3'!$B52:$U114,'3'!$W$3+3,0),'3'!P114)),'3'!P114,IF('3'!P52&lt;MAX('3'!$B52:$U52),HLOOKUP('3'!P52+1,'3'!$B52:$U114,'3'!$W$3+3,0),'3'!P114)))</f>
        <v/>
      </c>
      <c r="Q52" s="19" t="str">
        <f>IF(ISBLANK('Raw counts'!Q53),"",IF(ISERROR(IF('3'!Q52&lt;MAX('3'!$B52:$U52),HLOOKUP('3'!Q52+1,'3'!$B52:$U114,'3'!$W$3+3,0),'3'!Q114)),'3'!Q114,IF('3'!Q52&lt;MAX('3'!$B52:$U52),HLOOKUP('3'!Q52+1,'3'!$B52:$U114,'3'!$W$3+3,0),'3'!Q114)))</f>
        <v/>
      </c>
      <c r="R52" s="19" t="str">
        <f>IF(ISBLANK('Raw counts'!R53),"",IF(ISERROR(IF('3'!R52&lt;MAX('3'!$B52:$U52),HLOOKUP('3'!R52+1,'3'!$B52:$U114,'3'!$W$3+3,0),'3'!R114)),'3'!R114,IF('3'!R52&lt;MAX('3'!$B52:$U52),HLOOKUP('3'!R52+1,'3'!$B52:$U114,'3'!$W$3+3,0),'3'!R114)))</f>
        <v/>
      </c>
      <c r="S52" s="19" t="str">
        <f>IF(ISBLANK('Raw counts'!S53),"",IF(ISERROR(IF('3'!S52&lt;MAX('3'!$B52:$U52),HLOOKUP('3'!S52+1,'3'!$B52:$U114,'3'!$W$3+3,0),'3'!S114)),'3'!S114,IF('3'!S52&lt;MAX('3'!$B52:$U52),HLOOKUP('3'!S52+1,'3'!$B52:$U114,'3'!$W$3+3,0),'3'!S114)))</f>
        <v/>
      </c>
      <c r="T52" s="19" t="str">
        <f>IF(ISBLANK('Raw counts'!T53),"",IF(ISERROR(IF('3'!T52&lt;MAX('3'!$B52:$U52),HLOOKUP('3'!T52+1,'3'!$B52:$U114,'3'!$W$3+3,0),'3'!T114)),'3'!T114,IF('3'!T52&lt;MAX('3'!$B52:$U52),HLOOKUP('3'!T52+1,'3'!$B52:$U114,'3'!$W$3+3,0),'3'!T114)))</f>
        <v/>
      </c>
      <c r="U52" s="19" t="str">
        <f>IF(ISBLANK('Raw counts'!U53),"",IF(ISERROR(IF('3'!U52&lt;MAX('3'!$B52:$U52),HLOOKUP('3'!U52+1,'3'!$B52:$U114,'3'!$W$3+3,0),'3'!U114)),'3'!U114,IF('3'!U52&lt;MAX('3'!$B52:$U52),HLOOKUP('3'!U52+1,'3'!$B52:$U114,'3'!$W$3+3,0),'3'!U114)))</f>
        <v/>
      </c>
    </row>
    <row r="53" spans="1:21" x14ac:dyDescent="0.15">
      <c r="A53" s="18" t="str">
        <f>IF(ISBLANK('Raw counts'!A54),"",'Raw counts'!A54)</f>
        <v>Attr50</v>
      </c>
      <c r="B53" s="19" t="str">
        <f>IF(ISBLANK('Raw counts'!B54),"",IF(ISERROR(IF('3'!B53&lt;MAX('3'!$B53:$U53),HLOOKUP('3'!B53+1,'3'!$B53:$U115,'3'!$W$3+3,0),'3'!B115)),'3'!B115,IF('3'!B53&lt;MAX('3'!$B53:$U53),HLOOKUP('3'!B53+1,'3'!$B53:$U115,'3'!$W$3+3,0),'3'!B115)))</f>
        <v/>
      </c>
      <c r="C53" s="19" t="str">
        <f>IF(ISBLANK('Raw counts'!C54),"",IF(ISERROR(IF('3'!C53&lt;MAX('3'!$B53:$U53),HLOOKUP('3'!C53+1,'3'!$B53:$U115,'3'!$W$3+3,0),'3'!C115)),'3'!C115,IF('3'!C53&lt;MAX('3'!$B53:$U53),HLOOKUP('3'!C53+1,'3'!$B53:$U115,'3'!$W$3+3,0),'3'!C115)))</f>
        <v/>
      </c>
      <c r="D53" s="19" t="str">
        <f>IF(ISBLANK('Raw counts'!D54),"",IF(ISERROR(IF('3'!D53&lt;MAX('3'!$B53:$U53),HLOOKUP('3'!D53+1,'3'!$B53:$U115,'3'!$W$3+3,0),'3'!D115)),'3'!D115,IF('3'!D53&lt;MAX('3'!$B53:$U53),HLOOKUP('3'!D53+1,'3'!$B53:$U115,'3'!$W$3+3,0),'3'!D115)))</f>
        <v/>
      </c>
      <c r="E53" s="19" t="str">
        <f>IF(ISBLANK('Raw counts'!E54),"",IF(ISERROR(IF('3'!E53&lt;MAX('3'!$B53:$U53),HLOOKUP('3'!E53+1,'3'!$B53:$U115,'3'!$W$3+3,0),'3'!E115)),'3'!E115,IF('3'!E53&lt;MAX('3'!$B53:$U53),HLOOKUP('3'!E53+1,'3'!$B53:$U115,'3'!$W$3+3,0),'3'!E115)))</f>
        <v/>
      </c>
      <c r="F53" s="19" t="str">
        <f>IF(ISBLANK('Raw counts'!F54),"",IF(ISERROR(IF('3'!F53&lt;MAX('3'!$B53:$U53),HLOOKUP('3'!F53+1,'3'!$B53:$U115,'3'!$W$3+3,0),'3'!F115)),'3'!F115,IF('3'!F53&lt;MAX('3'!$B53:$U53),HLOOKUP('3'!F53+1,'3'!$B53:$U115,'3'!$W$3+3,0),'3'!F115)))</f>
        <v/>
      </c>
      <c r="G53" s="19" t="str">
        <f>IF(ISBLANK('Raw counts'!G54),"",IF(ISERROR(IF('3'!G53&lt;MAX('3'!$B53:$U53),HLOOKUP('3'!G53+1,'3'!$B53:$U115,'3'!$W$3+3,0),'3'!G115)),'3'!G115,IF('3'!G53&lt;MAX('3'!$B53:$U53),HLOOKUP('3'!G53+1,'3'!$B53:$U115,'3'!$W$3+3,0),'3'!G115)))</f>
        <v/>
      </c>
      <c r="H53" s="19" t="str">
        <f>IF(ISBLANK('Raw counts'!H54),"",IF(ISERROR(IF('3'!H53&lt;MAX('3'!$B53:$U53),HLOOKUP('3'!H53+1,'3'!$B53:$U115,'3'!$W$3+3,0),'3'!H115)),'3'!H115,IF('3'!H53&lt;MAX('3'!$B53:$U53),HLOOKUP('3'!H53+1,'3'!$B53:$U115,'3'!$W$3+3,0),'3'!H115)))</f>
        <v/>
      </c>
      <c r="I53" s="19" t="str">
        <f>IF(ISBLANK('Raw counts'!I54),"",IF(ISERROR(IF('3'!I53&lt;MAX('3'!$B53:$U53),HLOOKUP('3'!I53+1,'3'!$B53:$U115,'3'!$W$3+3,0),'3'!I115)),'3'!I115,IF('3'!I53&lt;MAX('3'!$B53:$U53),HLOOKUP('3'!I53+1,'3'!$B53:$U115,'3'!$W$3+3,0),'3'!I115)))</f>
        <v/>
      </c>
      <c r="J53" s="19" t="str">
        <f>IF(ISBLANK('Raw counts'!J54),"",IF(ISERROR(IF('3'!J53&lt;MAX('3'!$B53:$U53),HLOOKUP('3'!J53+1,'3'!$B53:$U115,'3'!$W$3+3,0),'3'!J115)),'3'!J115,IF('3'!J53&lt;MAX('3'!$B53:$U53),HLOOKUP('3'!J53+1,'3'!$B53:$U115,'3'!$W$3+3,0),'3'!J115)))</f>
        <v/>
      </c>
      <c r="K53" s="19" t="str">
        <f>IF(ISBLANK('Raw counts'!K54),"",IF(ISERROR(IF('3'!K53&lt;MAX('3'!$B53:$U53),HLOOKUP('3'!K53+1,'3'!$B53:$U115,'3'!$W$3+3,0),'3'!K115)),'3'!K115,IF('3'!K53&lt;MAX('3'!$B53:$U53),HLOOKUP('3'!K53+1,'3'!$B53:$U115,'3'!$W$3+3,0),'3'!K115)))</f>
        <v/>
      </c>
      <c r="L53" s="19" t="str">
        <f>IF(ISBLANK('Raw counts'!L54),"",IF(ISERROR(IF('3'!L53&lt;MAX('3'!$B53:$U53),HLOOKUP('3'!L53+1,'3'!$B53:$U115,'3'!$W$3+3,0),'3'!L115)),'3'!L115,IF('3'!L53&lt;MAX('3'!$B53:$U53),HLOOKUP('3'!L53+1,'3'!$B53:$U115,'3'!$W$3+3,0),'3'!L115)))</f>
        <v/>
      </c>
      <c r="M53" s="19" t="str">
        <f>IF(ISBLANK('Raw counts'!M54),"",IF(ISERROR(IF('3'!M53&lt;MAX('3'!$B53:$U53),HLOOKUP('3'!M53+1,'3'!$B53:$U115,'3'!$W$3+3,0),'3'!M115)),'3'!M115,IF('3'!M53&lt;MAX('3'!$B53:$U53),HLOOKUP('3'!M53+1,'3'!$B53:$U115,'3'!$W$3+3,0),'3'!M115)))</f>
        <v/>
      </c>
      <c r="N53" s="19" t="str">
        <f>IF(ISBLANK('Raw counts'!N54),"",IF(ISERROR(IF('3'!N53&lt;MAX('3'!$B53:$U53),HLOOKUP('3'!N53+1,'3'!$B53:$U115,'3'!$W$3+3,0),'3'!N115)),'3'!N115,IF('3'!N53&lt;MAX('3'!$B53:$U53),HLOOKUP('3'!N53+1,'3'!$B53:$U115,'3'!$W$3+3,0),'3'!N115)))</f>
        <v/>
      </c>
      <c r="O53" s="19" t="str">
        <f>IF(ISBLANK('Raw counts'!O54),"",IF(ISERROR(IF('3'!O53&lt;MAX('3'!$B53:$U53),HLOOKUP('3'!O53+1,'3'!$B53:$U115,'3'!$W$3+3,0),'3'!O115)),'3'!O115,IF('3'!O53&lt;MAX('3'!$B53:$U53),HLOOKUP('3'!O53+1,'3'!$B53:$U115,'3'!$W$3+3,0),'3'!O115)))</f>
        <v/>
      </c>
      <c r="P53" s="19" t="str">
        <f>IF(ISBLANK('Raw counts'!P54),"",IF(ISERROR(IF('3'!P53&lt;MAX('3'!$B53:$U53),HLOOKUP('3'!P53+1,'3'!$B53:$U115,'3'!$W$3+3,0),'3'!P115)),'3'!P115,IF('3'!P53&lt;MAX('3'!$B53:$U53),HLOOKUP('3'!P53+1,'3'!$B53:$U115,'3'!$W$3+3,0),'3'!P115)))</f>
        <v/>
      </c>
      <c r="Q53" s="19" t="str">
        <f>IF(ISBLANK('Raw counts'!Q54),"",IF(ISERROR(IF('3'!Q53&lt;MAX('3'!$B53:$U53),HLOOKUP('3'!Q53+1,'3'!$B53:$U115,'3'!$W$3+3,0),'3'!Q115)),'3'!Q115,IF('3'!Q53&lt;MAX('3'!$B53:$U53),HLOOKUP('3'!Q53+1,'3'!$B53:$U115,'3'!$W$3+3,0),'3'!Q115)))</f>
        <v/>
      </c>
      <c r="R53" s="19" t="str">
        <f>IF(ISBLANK('Raw counts'!R54),"",IF(ISERROR(IF('3'!R53&lt;MAX('3'!$B53:$U53),HLOOKUP('3'!R53+1,'3'!$B53:$U115,'3'!$W$3+3,0),'3'!R115)),'3'!R115,IF('3'!R53&lt;MAX('3'!$B53:$U53),HLOOKUP('3'!R53+1,'3'!$B53:$U115,'3'!$W$3+3,0),'3'!R115)))</f>
        <v/>
      </c>
      <c r="S53" s="19" t="str">
        <f>IF(ISBLANK('Raw counts'!S54),"",IF(ISERROR(IF('3'!S53&lt;MAX('3'!$B53:$U53),HLOOKUP('3'!S53+1,'3'!$B53:$U115,'3'!$W$3+3,0),'3'!S115)),'3'!S115,IF('3'!S53&lt;MAX('3'!$B53:$U53),HLOOKUP('3'!S53+1,'3'!$B53:$U115,'3'!$W$3+3,0),'3'!S115)))</f>
        <v/>
      </c>
      <c r="T53" s="19" t="str">
        <f>IF(ISBLANK('Raw counts'!T54),"",IF(ISERROR(IF('3'!T53&lt;MAX('3'!$B53:$U53),HLOOKUP('3'!T53+1,'3'!$B53:$U115,'3'!$W$3+3,0),'3'!T115)),'3'!T115,IF('3'!T53&lt;MAX('3'!$B53:$U53),HLOOKUP('3'!T53+1,'3'!$B53:$U115,'3'!$W$3+3,0),'3'!T115)))</f>
        <v/>
      </c>
      <c r="U53" s="19" t="str">
        <f>IF(ISBLANK('Raw counts'!U54),"",IF(ISERROR(IF('3'!U53&lt;MAX('3'!$B53:$U53),HLOOKUP('3'!U53+1,'3'!$B53:$U115,'3'!$W$3+3,0),'3'!U115)),'3'!U115,IF('3'!U53&lt;MAX('3'!$B53:$U53),HLOOKUP('3'!U53+1,'3'!$B53:$U115,'3'!$W$3+3,0),'3'!U115)))</f>
        <v/>
      </c>
    </row>
    <row r="54" spans="1:21" x14ac:dyDescent="0.15">
      <c r="A54" s="18" t="str">
        <f>IF(ISBLANK('Raw counts'!A55),"",'Raw counts'!A55)</f>
        <v>Attr51</v>
      </c>
      <c r="B54" s="19" t="str">
        <f>IF(ISBLANK('Raw counts'!B55),"",IF(ISERROR(IF('3'!B54&lt;MAX('3'!$B54:$U54),HLOOKUP('3'!B54+1,'3'!$B54:$U116,'3'!$W$3+3,0),'3'!B116)),'3'!B116,IF('3'!B54&lt;MAX('3'!$B54:$U54),HLOOKUP('3'!B54+1,'3'!$B54:$U116,'3'!$W$3+3,0),'3'!B116)))</f>
        <v/>
      </c>
      <c r="C54" s="19" t="str">
        <f>IF(ISBLANK('Raw counts'!C55),"",IF(ISERROR(IF('3'!C54&lt;MAX('3'!$B54:$U54),HLOOKUP('3'!C54+1,'3'!$B54:$U116,'3'!$W$3+3,0),'3'!C116)),'3'!C116,IF('3'!C54&lt;MAX('3'!$B54:$U54),HLOOKUP('3'!C54+1,'3'!$B54:$U116,'3'!$W$3+3,0),'3'!C116)))</f>
        <v/>
      </c>
      <c r="D54" s="19" t="str">
        <f>IF(ISBLANK('Raw counts'!D55),"",IF(ISERROR(IF('3'!D54&lt;MAX('3'!$B54:$U54),HLOOKUP('3'!D54+1,'3'!$B54:$U116,'3'!$W$3+3,0),'3'!D116)),'3'!D116,IF('3'!D54&lt;MAX('3'!$B54:$U54),HLOOKUP('3'!D54+1,'3'!$B54:$U116,'3'!$W$3+3,0),'3'!D116)))</f>
        <v/>
      </c>
      <c r="E54" s="19" t="str">
        <f>IF(ISBLANK('Raw counts'!E55),"",IF(ISERROR(IF('3'!E54&lt;MAX('3'!$B54:$U54),HLOOKUP('3'!E54+1,'3'!$B54:$U116,'3'!$W$3+3,0),'3'!E116)),'3'!E116,IF('3'!E54&lt;MAX('3'!$B54:$U54),HLOOKUP('3'!E54+1,'3'!$B54:$U116,'3'!$W$3+3,0),'3'!E116)))</f>
        <v/>
      </c>
      <c r="F54" s="19" t="str">
        <f>IF(ISBLANK('Raw counts'!F55),"",IF(ISERROR(IF('3'!F54&lt;MAX('3'!$B54:$U54),HLOOKUP('3'!F54+1,'3'!$B54:$U116,'3'!$W$3+3,0),'3'!F116)),'3'!F116,IF('3'!F54&lt;MAX('3'!$B54:$U54),HLOOKUP('3'!F54+1,'3'!$B54:$U116,'3'!$W$3+3,0),'3'!F116)))</f>
        <v/>
      </c>
      <c r="G54" s="19" t="str">
        <f>IF(ISBLANK('Raw counts'!G55),"",IF(ISERROR(IF('3'!G54&lt;MAX('3'!$B54:$U54),HLOOKUP('3'!G54+1,'3'!$B54:$U116,'3'!$W$3+3,0),'3'!G116)),'3'!G116,IF('3'!G54&lt;MAX('3'!$B54:$U54),HLOOKUP('3'!G54+1,'3'!$B54:$U116,'3'!$W$3+3,0),'3'!G116)))</f>
        <v/>
      </c>
      <c r="H54" s="19" t="str">
        <f>IF(ISBLANK('Raw counts'!H55),"",IF(ISERROR(IF('3'!H54&lt;MAX('3'!$B54:$U54),HLOOKUP('3'!H54+1,'3'!$B54:$U116,'3'!$W$3+3,0),'3'!H116)),'3'!H116,IF('3'!H54&lt;MAX('3'!$B54:$U54),HLOOKUP('3'!H54+1,'3'!$B54:$U116,'3'!$W$3+3,0),'3'!H116)))</f>
        <v/>
      </c>
      <c r="I54" s="19" t="str">
        <f>IF(ISBLANK('Raw counts'!I55),"",IF(ISERROR(IF('3'!I54&lt;MAX('3'!$B54:$U54),HLOOKUP('3'!I54+1,'3'!$B54:$U116,'3'!$W$3+3,0),'3'!I116)),'3'!I116,IF('3'!I54&lt;MAX('3'!$B54:$U54),HLOOKUP('3'!I54+1,'3'!$B54:$U116,'3'!$W$3+3,0),'3'!I116)))</f>
        <v/>
      </c>
      <c r="J54" s="19" t="str">
        <f>IF(ISBLANK('Raw counts'!J55),"",IF(ISERROR(IF('3'!J54&lt;MAX('3'!$B54:$U54),HLOOKUP('3'!J54+1,'3'!$B54:$U116,'3'!$W$3+3,0),'3'!J116)),'3'!J116,IF('3'!J54&lt;MAX('3'!$B54:$U54),HLOOKUP('3'!J54+1,'3'!$B54:$U116,'3'!$W$3+3,0),'3'!J116)))</f>
        <v/>
      </c>
      <c r="K54" s="19" t="str">
        <f>IF(ISBLANK('Raw counts'!K55),"",IF(ISERROR(IF('3'!K54&lt;MAX('3'!$B54:$U54),HLOOKUP('3'!K54+1,'3'!$B54:$U116,'3'!$W$3+3,0),'3'!K116)),'3'!K116,IF('3'!K54&lt;MAX('3'!$B54:$U54),HLOOKUP('3'!K54+1,'3'!$B54:$U116,'3'!$W$3+3,0),'3'!K116)))</f>
        <v/>
      </c>
      <c r="L54" s="19" t="str">
        <f>IF(ISBLANK('Raw counts'!L55),"",IF(ISERROR(IF('3'!L54&lt;MAX('3'!$B54:$U54),HLOOKUP('3'!L54+1,'3'!$B54:$U116,'3'!$W$3+3,0),'3'!L116)),'3'!L116,IF('3'!L54&lt;MAX('3'!$B54:$U54),HLOOKUP('3'!L54+1,'3'!$B54:$U116,'3'!$W$3+3,0),'3'!L116)))</f>
        <v/>
      </c>
      <c r="M54" s="19" t="str">
        <f>IF(ISBLANK('Raw counts'!M55),"",IF(ISERROR(IF('3'!M54&lt;MAX('3'!$B54:$U54),HLOOKUP('3'!M54+1,'3'!$B54:$U116,'3'!$W$3+3,0),'3'!M116)),'3'!M116,IF('3'!M54&lt;MAX('3'!$B54:$U54),HLOOKUP('3'!M54+1,'3'!$B54:$U116,'3'!$W$3+3,0),'3'!M116)))</f>
        <v/>
      </c>
      <c r="N54" s="19" t="str">
        <f>IF(ISBLANK('Raw counts'!N55),"",IF(ISERROR(IF('3'!N54&lt;MAX('3'!$B54:$U54),HLOOKUP('3'!N54+1,'3'!$B54:$U116,'3'!$W$3+3,0),'3'!N116)),'3'!N116,IF('3'!N54&lt;MAX('3'!$B54:$U54),HLOOKUP('3'!N54+1,'3'!$B54:$U116,'3'!$W$3+3,0),'3'!N116)))</f>
        <v/>
      </c>
      <c r="O54" s="19" t="str">
        <f>IF(ISBLANK('Raw counts'!O55),"",IF(ISERROR(IF('3'!O54&lt;MAX('3'!$B54:$U54),HLOOKUP('3'!O54+1,'3'!$B54:$U116,'3'!$W$3+3,0),'3'!O116)),'3'!O116,IF('3'!O54&lt;MAX('3'!$B54:$U54),HLOOKUP('3'!O54+1,'3'!$B54:$U116,'3'!$W$3+3,0),'3'!O116)))</f>
        <v/>
      </c>
      <c r="P54" s="19" t="str">
        <f>IF(ISBLANK('Raw counts'!P55),"",IF(ISERROR(IF('3'!P54&lt;MAX('3'!$B54:$U54),HLOOKUP('3'!P54+1,'3'!$B54:$U116,'3'!$W$3+3,0),'3'!P116)),'3'!P116,IF('3'!P54&lt;MAX('3'!$B54:$U54),HLOOKUP('3'!P54+1,'3'!$B54:$U116,'3'!$W$3+3,0),'3'!P116)))</f>
        <v/>
      </c>
      <c r="Q54" s="19" t="str">
        <f>IF(ISBLANK('Raw counts'!Q55),"",IF(ISERROR(IF('3'!Q54&lt;MAX('3'!$B54:$U54),HLOOKUP('3'!Q54+1,'3'!$B54:$U116,'3'!$W$3+3,0),'3'!Q116)),'3'!Q116,IF('3'!Q54&lt;MAX('3'!$B54:$U54),HLOOKUP('3'!Q54+1,'3'!$B54:$U116,'3'!$W$3+3,0),'3'!Q116)))</f>
        <v/>
      </c>
      <c r="R54" s="19" t="str">
        <f>IF(ISBLANK('Raw counts'!R55),"",IF(ISERROR(IF('3'!R54&lt;MAX('3'!$B54:$U54),HLOOKUP('3'!R54+1,'3'!$B54:$U116,'3'!$W$3+3,0),'3'!R116)),'3'!R116,IF('3'!R54&lt;MAX('3'!$B54:$U54),HLOOKUP('3'!R54+1,'3'!$B54:$U116,'3'!$W$3+3,0),'3'!R116)))</f>
        <v/>
      </c>
      <c r="S54" s="19" t="str">
        <f>IF(ISBLANK('Raw counts'!S55),"",IF(ISERROR(IF('3'!S54&lt;MAX('3'!$B54:$U54),HLOOKUP('3'!S54+1,'3'!$B54:$U116,'3'!$W$3+3,0),'3'!S116)),'3'!S116,IF('3'!S54&lt;MAX('3'!$B54:$U54),HLOOKUP('3'!S54+1,'3'!$B54:$U116,'3'!$W$3+3,0),'3'!S116)))</f>
        <v/>
      </c>
      <c r="T54" s="19" t="str">
        <f>IF(ISBLANK('Raw counts'!T55),"",IF(ISERROR(IF('3'!T54&lt;MAX('3'!$B54:$U54),HLOOKUP('3'!T54+1,'3'!$B54:$U116,'3'!$W$3+3,0),'3'!T116)),'3'!T116,IF('3'!T54&lt;MAX('3'!$B54:$U54),HLOOKUP('3'!T54+1,'3'!$B54:$U116,'3'!$W$3+3,0),'3'!T116)))</f>
        <v/>
      </c>
      <c r="U54" s="19" t="str">
        <f>IF(ISBLANK('Raw counts'!U55),"",IF(ISERROR(IF('3'!U54&lt;MAX('3'!$B54:$U54),HLOOKUP('3'!U54+1,'3'!$B54:$U116,'3'!$W$3+3,0),'3'!U116)),'3'!U116,IF('3'!U54&lt;MAX('3'!$B54:$U54),HLOOKUP('3'!U54+1,'3'!$B54:$U116,'3'!$W$3+3,0),'3'!U116)))</f>
        <v/>
      </c>
    </row>
    <row r="55" spans="1:21" x14ac:dyDescent="0.15">
      <c r="A55" s="18" t="str">
        <f>IF(ISBLANK('Raw counts'!A56),"",'Raw counts'!A56)</f>
        <v>Attr52</v>
      </c>
      <c r="B55" s="19" t="str">
        <f>IF(ISBLANK('Raw counts'!B56),"",IF(ISERROR(IF('3'!B55&lt;MAX('3'!$B55:$U55),HLOOKUP('3'!B55+1,'3'!$B55:$U117,'3'!$W$3+3,0),'3'!B117)),'3'!B117,IF('3'!B55&lt;MAX('3'!$B55:$U55),HLOOKUP('3'!B55+1,'3'!$B55:$U117,'3'!$W$3+3,0),'3'!B117)))</f>
        <v/>
      </c>
      <c r="C55" s="19" t="str">
        <f>IF(ISBLANK('Raw counts'!C56),"",IF(ISERROR(IF('3'!C55&lt;MAX('3'!$B55:$U55),HLOOKUP('3'!C55+1,'3'!$B55:$U117,'3'!$W$3+3,0),'3'!C117)),'3'!C117,IF('3'!C55&lt;MAX('3'!$B55:$U55),HLOOKUP('3'!C55+1,'3'!$B55:$U117,'3'!$W$3+3,0),'3'!C117)))</f>
        <v/>
      </c>
      <c r="D55" s="19" t="str">
        <f>IF(ISBLANK('Raw counts'!D56),"",IF(ISERROR(IF('3'!D55&lt;MAX('3'!$B55:$U55),HLOOKUP('3'!D55+1,'3'!$B55:$U117,'3'!$W$3+3,0),'3'!D117)),'3'!D117,IF('3'!D55&lt;MAX('3'!$B55:$U55),HLOOKUP('3'!D55+1,'3'!$B55:$U117,'3'!$W$3+3,0),'3'!D117)))</f>
        <v/>
      </c>
      <c r="E55" s="19" t="str">
        <f>IF(ISBLANK('Raw counts'!E56),"",IF(ISERROR(IF('3'!E55&lt;MAX('3'!$B55:$U55),HLOOKUP('3'!E55+1,'3'!$B55:$U117,'3'!$W$3+3,0),'3'!E117)),'3'!E117,IF('3'!E55&lt;MAX('3'!$B55:$U55),HLOOKUP('3'!E55+1,'3'!$B55:$U117,'3'!$W$3+3,0),'3'!E117)))</f>
        <v/>
      </c>
      <c r="F55" s="19" t="str">
        <f>IF(ISBLANK('Raw counts'!F56),"",IF(ISERROR(IF('3'!F55&lt;MAX('3'!$B55:$U55),HLOOKUP('3'!F55+1,'3'!$B55:$U117,'3'!$W$3+3,0),'3'!F117)),'3'!F117,IF('3'!F55&lt;MAX('3'!$B55:$U55),HLOOKUP('3'!F55+1,'3'!$B55:$U117,'3'!$W$3+3,0),'3'!F117)))</f>
        <v/>
      </c>
      <c r="G55" s="19" t="str">
        <f>IF(ISBLANK('Raw counts'!G56),"",IF(ISERROR(IF('3'!G55&lt;MAX('3'!$B55:$U55),HLOOKUP('3'!G55+1,'3'!$B55:$U117,'3'!$W$3+3,0),'3'!G117)),'3'!G117,IF('3'!G55&lt;MAX('3'!$B55:$U55),HLOOKUP('3'!G55+1,'3'!$B55:$U117,'3'!$W$3+3,0),'3'!G117)))</f>
        <v/>
      </c>
      <c r="H55" s="19" t="str">
        <f>IF(ISBLANK('Raw counts'!H56),"",IF(ISERROR(IF('3'!H55&lt;MAX('3'!$B55:$U55),HLOOKUP('3'!H55+1,'3'!$B55:$U117,'3'!$W$3+3,0),'3'!H117)),'3'!H117,IF('3'!H55&lt;MAX('3'!$B55:$U55),HLOOKUP('3'!H55+1,'3'!$B55:$U117,'3'!$W$3+3,0),'3'!H117)))</f>
        <v/>
      </c>
      <c r="I55" s="19" t="str">
        <f>IF(ISBLANK('Raw counts'!I56),"",IF(ISERROR(IF('3'!I55&lt;MAX('3'!$B55:$U55),HLOOKUP('3'!I55+1,'3'!$B55:$U117,'3'!$W$3+3,0),'3'!I117)),'3'!I117,IF('3'!I55&lt;MAX('3'!$B55:$U55),HLOOKUP('3'!I55+1,'3'!$B55:$U117,'3'!$W$3+3,0),'3'!I117)))</f>
        <v/>
      </c>
      <c r="J55" s="19" t="str">
        <f>IF(ISBLANK('Raw counts'!J56),"",IF(ISERROR(IF('3'!J55&lt;MAX('3'!$B55:$U55),HLOOKUP('3'!J55+1,'3'!$B55:$U117,'3'!$W$3+3,0),'3'!J117)),'3'!J117,IF('3'!J55&lt;MAX('3'!$B55:$U55),HLOOKUP('3'!J55+1,'3'!$B55:$U117,'3'!$W$3+3,0),'3'!J117)))</f>
        <v/>
      </c>
      <c r="K55" s="19" t="str">
        <f>IF(ISBLANK('Raw counts'!K56),"",IF(ISERROR(IF('3'!K55&lt;MAX('3'!$B55:$U55),HLOOKUP('3'!K55+1,'3'!$B55:$U117,'3'!$W$3+3,0),'3'!K117)),'3'!K117,IF('3'!K55&lt;MAX('3'!$B55:$U55),HLOOKUP('3'!K55+1,'3'!$B55:$U117,'3'!$W$3+3,0),'3'!K117)))</f>
        <v/>
      </c>
      <c r="L55" s="19" t="str">
        <f>IF(ISBLANK('Raw counts'!L56),"",IF(ISERROR(IF('3'!L55&lt;MAX('3'!$B55:$U55),HLOOKUP('3'!L55+1,'3'!$B55:$U117,'3'!$W$3+3,0),'3'!L117)),'3'!L117,IF('3'!L55&lt;MAX('3'!$B55:$U55),HLOOKUP('3'!L55+1,'3'!$B55:$U117,'3'!$W$3+3,0),'3'!L117)))</f>
        <v/>
      </c>
      <c r="M55" s="19" t="str">
        <f>IF(ISBLANK('Raw counts'!M56),"",IF(ISERROR(IF('3'!M55&lt;MAX('3'!$B55:$U55),HLOOKUP('3'!M55+1,'3'!$B55:$U117,'3'!$W$3+3,0),'3'!M117)),'3'!M117,IF('3'!M55&lt;MAX('3'!$B55:$U55),HLOOKUP('3'!M55+1,'3'!$B55:$U117,'3'!$W$3+3,0),'3'!M117)))</f>
        <v/>
      </c>
      <c r="N55" s="19" t="str">
        <f>IF(ISBLANK('Raw counts'!N56),"",IF(ISERROR(IF('3'!N55&lt;MAX('3'!$B55:$U55),HLOOKUP('3'!N55+1,'3'!$B55:$U117,'3'!$W$3+3,0),'3'!N117)),'3'!N117,IF('3'!N55&lt;MAX('3'!$B55:$U55),HLOOKUP('3'!N55+1,'3'!$B55:$U117,'3'!$W$3+3,0),'3'!N117)))</f>
        <v/>
      </c>
      <c r="O55" s="19" t="str">
        <f>IF(ISBLANK('Raw counts'!O56),"",IF(ISERROR(IF('3'!O55&lt;MAX('3'!$B55:$U55),HLOOKUP('3'!O55+1,'3'!$B55:$U117,'3'!$W$3+3,0),'3'!O117)),'3'!O117,IF('3'!O55&lt;MAX('3'!$B55:$U55),HLOOKUP('3'!O55+1,'3'!$B55:$U117,'3'!$W$3+3,0),'3'!O117)))</f>
        <v/>
      </c>
      <c r="P55" s="19" t="str">
        <f>IF(ISBLANK('Raw counts'!P56),"",IF(ISERROR(IF('3'!P55&lt;MAX('3'!$B55:$U55),HLOOKUP('3'!P55+1,'3'!$B55:$U117,'3'!$W$3+3,0),'3'!P117)),'3'!P117,IF('3'!P55&lt;MAX('3'!$B55:$U55),HLOOKUP('3'!P55+1,'3'!$B55:$U117,'3'!$W$3+3,0),'3'!P117)))</f>
        <v/>
      </c>
      <c r="Q55" s="19" t="str">
        <f>IF(ISBLANK('Raw counts'!Q56),"",IF(ISERROR(IF('3'!Q55&lt;MAX('3'!$B55:$U55),HLOOKUP('3'!Q55+1,'3'!$B55:$U117,'3'!$W$3+3,0),'3'!Q117)),'3'!Q117,IF('3'!Q55&lt;MAX('3'!$B55:$U55),HLOOKUP('3'!Q55+1,'3'!$B55:$U117,'3'!$W$3+3,0),'3'!Q117)))</f>
        <v/>
      </c>
      <c r="R55" s="19" t="str">
        <f>IF(ISBLANK('Raw counts'!R56),"",IF(ISERROR(IF('3'!R55&lt;MAX('3'!$B55:$U55),HLOOKUP('3'!R55+1,'3'!$B55:$U117,'3'!$W$3+3,0),'3'!R117)),'3'!R117,IF('3'!R55&lt;MAX('3'!$B55:$U55),HLOOKUP('3'!R55+1,'3'!$B55:$U117,'3'!$W$3+3,0),'3'!R117)))</f>
        <v/>
      </c>
      <c r="S55" s="19" t="str">
        <f>IF(ISBLANK('Raw counts'!S56),"",IF(ISERROR(IF('3'!S55&lt;MAX('3'!$B55:$U55),HLOOKUP('3'!S55+1,'3'!$B55:$U117,'3'!$W$3+3,0),'3'!S117)),'3'!S117,IF('3'!S55&lt;MAX('3'!$B55:$U55),HLOOKUP('3'!S55+1,'3'!$B55:$U117,'3'!$W$3+3,0),'3'!S117)))</f>
        <v/>
      </c>
      <c r="T55" s="19" t="str">
        <f>IF(ISBLANK('Raw counts'!T56),"",IF(ISERROR(IF('3'!T55&lt;MAX('3'!$B55:$U55),HLOOKUP('3'!T55+1,'3'!$B55:$U117,'3'!$W$3+3,0),'3'!T117)),'3'!T117,IF('3'!T55&lt;MAX('3'!$B55:$U55),HLOOKUP('3'!T55+1,'3'!$B55:$U117,'3'!$W$3+3,0),'3'!T117)))</f>
        <v/>
      </c>
      <c r="U55" s="19" t="str">
        <f>IF(ISBLANK('Raw counts'!U56),"",IF(ISERROR(IF('3'!U55&lt;MAX('3'!$B55:$U55),HLOOKUP('3'!U55+1,'3'!$B55:$U117,'3'!$W$3+3,0),'3'!U117)),'3'!U117,IF('3'!U55&lt;MAX('3'!$B55:$U55),HLOOKUP('3'!U55+1,'3'!$B55:$U117,'3'!$W$3+3,0),'3'!U117)))</f>
        <v/>
      </c>
    </row>
    <row r="56" spans="1:21" x14ac:dyDescent="0.15">
      <c r="A56" s="18" t="str">
        <f>IF(ISBLANK('Raw counts'!A57),"",'Raw counts'!A57)</f>
        <v>Attr53</v>
      </c>
      <c r="B56" s="19" t="str">
        <f>IF(ISBLANK('Raw counts'!B57),"",IF(ISERROR(IF('3'!B56&lt;MAX('3'!$B56:$U56),HLOOKUP('3'!B56+1,'3'!$B56:$U118,'3'!$W$3+3,0),'3'!B118)),'3'!B118,IF('3'!B56&lt;MAX('3'!$B56:$U56),HLOOKUP('3'!B56+1,'3'!$B56:$U118,'3'!$W$3+3,0),'3'!B118)))</f>
        <v/>
      </c>
      <c r="C56" s="19" t="str">
        <f>IF(ISBLANK('Raw counts'!C57),"",IF(ISERROR(IF('3'!C56&lt;MAX('3'!$B56:$U56),HLOOKUP('3'!C56+1,'3'!$B56:$U118,'3'!$W$3+3,0),'3'!C118)),'3'!C118,IF('3'!C56&lt;MAX('3'!$B56:$U56),HLOOKUP('3'!C56+1,'3'!$B56:$U118,'3'!$W$3+3,0),'3'!C118)))</f>
        <v/>
      </c>
      <c r="D56" s="19" t="str">
        <f>IF(ISBLANK('Raw counts'!D57),"",IF(ISERROR(IF('3'!D56&lt;MAX('3'!$B56:$U56),HLOOKUP('3'!D56+1,'3'!$B56:$U118,'3'!$W$3+3,0),'3'!D118)),'3'!D118,IF('3'!D56&lt;MAX('3'!$B56:$U56),HLOOKUP('3'!D56+1,'3'!$B56:$U118,'3'!$W$3+3,0),'3'!D118)))</f>
        <v/>
      </c>
      <c r="E56" s="19" t="str">
        <f>IF(ISBLANK('Raw counts'!E57),"",IF(ISERROR(IF('3'!E56&lt;MAX('3'!$B56:$U56),HLOOKUP('3'!E56+1,'3'!$B56:$U118,'3'!$W$3+3,0),'3'!E118)),'3'!E118,IF('3'!E56&lt;MAX('3'!$B56:$U56),HLOOKUP('3'!E56+1,'3'!$B56:$U118,'3'!$W$3+3,0),'3'!E118)))</f>
        <v/>
      </c>
      <c r="F56" s="19" t="str">
        <f>IF(ISBLANK('Raw counts'!F57),"",IF(ISERROR(IF('3'!F56&lt;MAX('3'!$B56:$U56),HLOOKUP('3'!F56+1,'3'!$B56:$U118,'3'!$W$3+3,0),'3'!F118)),'3'!F118,IF('3'!F56&lt;MAX('3'!$B56:$U56),HLOOKUP('3'!F56+1,'3'!$B56:$U118,'3'!$W$3+3,0),'3'!F118)))</f>
        <v/>
      </c>
      <c r="G56" s="19" t="str">
        <f>IF(ISBLANK('Raw counts'!G57),"",IF(ISERROR(IF('3'!G56&lt;MAX('3'!$B56:$U56),HLOOKUP('3'!G56+1,'3'!$B56:$U118,'3'!$W$3+3,0),'3'!G118)),'3'!G118,IF('3'!G56&lt;MAX('3'!$B56:$U56),HLOOKUP('3'!G56+1,'3'!$B56:$U118,'3'!$W$3+3,0),'3'!G118)))</f>
        <v/>
      </c>
      <c r="H56" s="19" t="str">
        <f>IF(ISBLANK('Raw counts'!H57),"",IF(ISERROR(IF('3'!H56&lt;MAX('3'!$B56:$U56),HLOOKUP('3'!H56+1,'3'!$B56:$U118,'3'!$W$3+3,0),'3'!H118)),'3'!H118,IF('3'!H56&lt;MAX('3'!$B56:$U56),HLOOKUP('3'!H56+1,'3'!$B56:$U118,'3'!$W$3+3,0),'3'!H118)))</f>
        <v/>
      </c>
      <c r="I56" s="19" t="str">
        <f>IF(ISBLANK('Raw counts'!I57),"",IF(ISERROR(IF('3'!I56&lt;MAX('3'!$B56:$U56),HLOOKUP('3'!I56+1,'3'!$B56:$U118,'3'!$W$3+3,0),'3'!I118)),'3'!I118,IF('3'!I56&lt;MAX('3'!$B56:$U56),HLOOKUP('3'!I56+1,'3'!$B56:$U118,'3'!$W$3+3,0),'3'!I118)))</f>
        <v/>
      </c>
      <c r="J56" s="19" t="str">
        <f>IF(ISBLANK('Raw counts'!J57),"",IF(ISERROR(IF('3'!J56&lt;MAX('3'!$B56:$U56),HLOOKUP('3'!J56+1,'3'!$B56:$U118,'3'!$W$3+3,0),'3'!J118)),'3'!J118,IF('3'!J56&lt;MAX('3'!$B56:$U56),HLOOKUP('3'!J56+1,'3'!$B56:$U118,'3'!$W$3+3,0),'3'!J118)))</f>
        <v/>
      </c>
      <c r="K56" s="19" t="str">
        <f>IF(ISBLANK('Raw counts'!K57),"",IF(ISERROR(IF('3'!K56&lt;MAX('3'!$B56:$U56),HLOOKUP('3'!K56+1,'3'!$B56:$U118,'3'!$W$3+3,0),'3'!K118)),'3'!K118,IF('3'!K56&lt;MAX('3'!$B56:$U56),HLOOKUP('3'!K56+1,'3'!$B56:$U118,'3'!$W$3+3,0),'3'!K118)))</f>
        <v/>
      </c>
      <c r="L56" s="19" t="str">
        <f>IF(ISBLANK('Raw counts'!L57),"",IF(ISERROR(IF('3'!L56&lt;MAX('3'!$B56:$U56),HLOOKUP('3'!L56+1,'3'!$B56:$U118,'3'!$W$3+3,0),'3'!L118)),'3'!L118,IF('3'!L56&lt;MAX('3'!$B56:$U56),HLOOKUP('3'!L56+1,'3'!$B56:$U118,'3'!$W$3+3,0),'3'!L118)))</f>
        <v/>
      </c>
      <c r="M56" s="19" t="str">
        <f>IF(ISBLANK('Raw counts'!M57),"",IF(ISERROR(IF('3'!M56&lt;MAX('3'!$B56:$U56),HLOOKUP('3'!M56+1,'3'!$B56:$U118,'3'!$W$3+3,0),'3'!M118)),'3'!M118,IF('3'!M56&lt;MAX('3'!$B56:$U56),HLOOKUP('3'!M56+1,'3'!$B56:$U118,'3'!$W$3+3,0),'3'!M118)))</f>
        <v/>
      </c>
      <c r="N56" s="19" t="str">
        <f>IF(ISBLANK('Raw counts'!N57),"",IF(ISERROR(IF('3'!N56&lt;MAX('3'!$B56:$U56),HLOOKUP('3'!N56+1,'3'!$B56:$U118,'3'!$W$3+3,0),'3'!N118)),'3'!N118,IF('3'!N56&lt;MAX('3'!$B56:$U56),HLOOKUP('3'!N56+1,'3'!$B56:$U118,'3'!$W$3+3,0),'3'!N118)))</f>
        <v/>
      </c>
      <c r="O56" s="19" t="str">
        <f>IF(ISBLANK('Raw counts'!O57),"",IF(ISERROR(IF('3'!O56&lt;MAX('3'!$B56:$U56),HLOOKUP('3'!O56+1,'3'!$B56:$U118,'3'!$W$3+3,0),'3'!O118)),'3'!O118,IF('3'!O56&lt;MAX('3'!$B56:$U56),HLOOKUP('3'!O56+1,'3'!$B56:$U118,'3'!$W$3+3,0),'3'!O118)))</f>
        <v/>
      </c>
      <c r="P56" s="19" t="str">
        <f>IF(ISBLANK('Raw counts'!P57),"",IF(ISERROR(IF('3'!P56&lt;MAX('3'!$B56:$U56),HLOOKUP('3'!P56+1,'3'!$B56:$U118,'3'!$W$3+3,0),'3'!P118)),'3'!P118,IF('3'!P56&lt;MAX('3'!$B56:$U56),HLOOKUP('3'!P56+1,'3'!$B56:$U118,'3'!$W$3+3,0),'3'!P118)))</f>
        <v/>
      </c>
      <c r="Q56" s="19" t="str">
        <f>IF(ISBLANK('Raw counts'!Q57),"",IF(ISERROR(IF('3'!Q56&lt;MAX('3'!$B56:$U56),HLOOKUP('3'!Q56+1,'3'!$B56:$U118,'3'!$W$3+3,0),'3'!Q118)),'3'!Q118,IF('3'!Q56&lt;MAX('3'!$B56:$U56),HLOOKUP('3'!Q56+1,'3'!$B56:$U118,'3'!$W$3+3,0),'3'!Q118)))</f>
        <v/>
      </c>
      <c r="R56" s="19" t="str">
        <f>IF(ISBLANK('Raw counts'!R57),"",IF(ISERROR(IF('3'!R56&lt;MAX('3'!$B56:$U56),HLOOKUP('3'!R56+1,'3'!$B56:$U118,'3'!$W$3+3,0),'3'!R118)),'3'!R118,IF('3'!R56&lt;MAX('3'!$B56:$U56),HLOOKUP('3'!R56+1,'3'!$B56:$U118,'3'!$W$3+3,0),'3'!R118)))</f>
        <v/>
      </c>
      <c r="S56" s="19" t="str">
        <f>IF(ISBLANK('Raw counts'!S57),"",IF(ISERROR(IF('3'!S56&lt;MAX('3'!$B56:$U56),HLOOKUP('3'!S56+1,'3'!$B56:$U118,'3'!$W$3+3,0),'3'!S118)),'3'!S118,IF('3'!S56&lt;MAX('3'!$B56:$U56),HLOOKUP('3'!S56+1,'3'!$B56:$U118,'3'!$W$3+3,0),'3'!S118)))</f>
        <v/>
      </c>
      <c r="T56" s="19" t="str">
        <f>IF(ISBLANK('Raw counts'!T57),"",IF(ISERROR(IF('3'!T56&lt;MAX('3'!$B56:$U56),HLOOKUP('3'!T56+1,'3'!$B56:$U118,'3'!$W$3+3,0),'3'!T118)),'3'!T118,IF('3'!T56&lt;MAX('3'!$B56:$U56),HLOOKUP('3'!T56+1,'3'!$B56:$U118,'3'!$W$3+3,0),'3'!T118)))</f>
        <v/>
      </c>
      <c r="U56" s="19" t="str">
        <f>IF(ISBLANK('Raw counts'!U57),"",IF(ISERROR(IF('3'!U56&lt;MAX('3'!$B56:$U56),HLOOKUP('3'!U56+1,'3'!$B56:$U118,'3'!$W$3+3,0),'3'!U118)),'3'!U118,IF('3'!U56&lt;MAX('3'!$B56:$U56),HLOOKUP('3'!U56+1,'3'!$B56:$U118,'3'!$W$3+3,0),'3'!U118)))</f>
        <v/>
      </c>
    </row>
    <row r="57" spans="1:21" x14ac:dyDescent="0.15">
      <c r="A57" s="18" t="str">
        <f>IF(ISBLANK('Raw counts'!A58),"",'Raw counts'!A58)</f>
        <v>Attr54</v>
      </c>
      <c r="B57" s="19" t="str">
        <f>IF(ISBLANK('Raw counts'!B58),"",IF(ISERROR(IF('3'!B57&lt;MAX('3'!$B57:$U57),HLOOKUP('3'!B57+1,'3'!$B57:$U119,'3'!$W$3+3,0),'3'!B119)),'3'!B119,IF('3'!B57&lt;MAX('3'!$B57:$U57),HLOOKUP('3'!B57+1,'3'!$B57:$U119,'3'!$W$3+3,0),'3'!B119)))</f>
        <v/>
      </c>
      <c r="C57" s="19" t="str">
        <f>IF(ISBLANK('Raw counts'!C58),"",IF(ISERROR(IF('3'!C57&lt;MAX('3'!$B57:$U57),HLOOKUP('3'!C57+1,'3'!$B57:$U119,'3'!$W$3+3,0),'3'!C119)),'3'!C119,IF('3'!C57&lt;MAX('3'!$B57:$U57),HLOOKUP('3'!C57+1,'3'!$B57:$U119,'3'!$W$3+3,0),'3'!C119)))</f>
        <v/>
      </c>
      <c r="D57" s="19" t="str">
        <f>IF(ISBLANK('Raw counts'!D58),"",IF(ISERROR(IF('3'!D57&lt;MAX('3'!$B57:$U57),HLOOKUP('3'!D57+1,'3'!$B57:$U119,'3'!$W$3+3,0),'3'!D119)),'3'!D119,IF('3'!D57&lt;MAX('3'!$B57:$U57),HLOOKUP('3'!D57+1,'3'!$B57:$U119,'3'!$W$3+3,0),'3'!D119)))</f>
        <v/>
      </c>
      <c r="E57" s="19" t="str">
        <f>IF(ISBLANK('Raw counts'!E58),"",IF(ISERROR(IF('3'!E57&lt;MAX('3'!$B57:$U57),HLOOKUP('3'!E57+1,'3'!$B57:$U119,'3'!$W$3+3,0),'3'!E119)),'3'!E119,IF('3'!E57&lt;MAX('3'!$B57:$U57),HLOOKUP('3'!E57+1,'3'!$B57:$U119,'3'!$W$3+3,0),'3'!E119)))</f>
        <v/>
      </c>
      <c r="F57" s="19" t="str">
        <f>IF(ISBLANK('Raw counts'!F58),"",IF(ISERROR(IF('3'!F57&lt;MAX('3'!$B57:$U57),HLOOKUP('3'!F57+1,'3'!$B57:$U119,'3'!$W$3+3,0),'3'!F119)),'3'!F119,IF('3'!F57&lt;MAX('3'!$B57:$U57),HLOOKUP('3'!F57+1,'3'!$B57:$U119,'3'!$W$3+3,0),'3'!F119)))</f>
        <v/>
      </c>
      <c r="G57" s="19" t="str">
        <f>IF(ISBLANK('Raw counts'!G58),"",IF(ISERROR(IF('3'!G57&lt;MAX('3'!$B57:$U57),HLOOKUP('3'!G57+1,'3'!$B57:$U119,'3'!$W$3+3,0),'3'!G119)),'3'!G119,IF('3'!G57&lt;MAX('3'!$B57:$U57),HLOOKUP('3'!G57+1,'3'!$B57:$U119,'3'!$W$3+3,0),'3'!G119)))</f>
        <v/>
      </c>
      <c r="H57" s="19" t="str">
        <f>IF(ISBLANK('Raw counts'!H58),"",IF(ISERROR(IF('3'!H57&lt;MAX('3'!$B57:$U57),HLOOKUP('3'!H57+1,'3'!$B57:$U119,'3'!$W$3+3,0),'3'!H119)),'3'!H119,IF('3'!H57&lt;MAX('3'!$B57:$U57),HLOOKUP('3'!H57+1,'3'!$B57:$U119,'3'!$W$3+3,0),'3'!H119)))</f>
        <v/>
      </c>
      <c r="I57" s="19" t="str">
        <f>IF(ISBLANK('Raw counts'!I58),"",IF(ISERROR(IF('3'!I57&lt;MAX('3'!$B57:$U57),HLOOKUP('3'!I57+1,'3'!$B57:$U119,'3'!$W$3+3,0),'3'!I119)),'3'!I119,IF('3'!I57&lt;MAX('3'!$B57:$U57),HLOOKUP('3'!I57+1,'3'!$B57:$U119,'3'!$W$3+3,0),'3'!I119)))</f>
        <v/>
      </c>
      <c r="J57" s="19" t="str">
        <f>IF(ISBLANK('Raw counts'!J58),"",IF(ISERROR(IF('3'!J57&lt;MAX('3'!$B57:$U57),HLOOKUP('3'!J57+1,'3'!$B57:$U119,'3'!$W$3+3,0),'3'!J119)),'3'!J119,IF('3'!J57&lt;MAX('3'!$B57:$U57),HLOOKUP('3'!J57+1,'3'!$B57:$U119,'3'!$W$3+3,0),'3'!J119)))</f>
        <v/>
      </c>
      <c r="K57" s="19" t="str">
        <f>IF(ISBLANK('Raw counts'!K58),"",IF(ISERROR(IF('3'!K57&lt;MAX('3'!$B57:$U57),HLOOKUP('3'!K57+1,'3'!$B57:$U119,'3'!$W$3+3,0),'3'!K119)),'3'!K119,IF('3'!K57&lt;MAX('3'!$B57:$U57),HLOOKUP('3'!K57+1,'3'!$B57:$U119,'3'!$W$3+3,0),'3'!K119)))</f>
        <v/>
      </c>
      <c r="L57" s="19" t="str">
        <f>IF(ISBLANK('Raw counts'!L58),"",IF(ISERROR(IF('3'!L57&lt;MAX('3'!$B57:$U57),HLOOKUP('3'!L57+1,'3'!$B57:$U119,'3'!$W$3+3,0),'3'!L119)),'3'!L119,IF('3'!L57&lt;MAX('3'!$B57:$U57),HLOOKUP('3'!L57+1,'3'!$B57:$U119,'3'!$W$3+3,0),'3'!L119)))</f>
        <v/>
      </c>
      <c r="M57" s="19" t="str">
        <f>IF(ISBLANK('Raw counts'!M58),"",IF(ISERROR(IF('3'!M57&lt;MAX('3'!$B57:$U57),HLOOKUP('3'!M57+1,'3'!$B57:$U119,'3'!$W$3+3,0),'3'!M119)),'3'!M119,IF('3'!M57&lt;MAX('3'!$B57:$U57),HLOOKUP('3'!M57+1,'3'!$B57:$U119,'3'!$W$3+3,0),'3'!M119)))</f>
        <v/>
      </c>
      <c r="N57" s="19" t="str">
        <f>IF(ISBLANK('Raw counts'!N58),"",IF(ISERROR(IF('3'!N57&lt;MAX('3'!$B57:$U57),HLOOKUP('3'!N57+1,'3'!$B57:$U119,'3'!$W$3+3,0),'3'!N119)),'3'!N119,IF('3'!N57&lt;MAX('3'!$B57:$U57),HLOOKUP('3'!N57+1,'3'!$B57:$U119,'3'!$W$3+3,0),'3'!N119)))</f>
        <v/>
      </c>
      <c r="O57" s="19" t="str">
        <f>IF(ISBLANK('Raw counts'!O58),"",IF(ISERROR(IF('3'!O57&lt;MAX('3'!$B57:$U57),HLOOKUP('3'!O57+1,'3'!$B57:$U119,'3'!$W$3+3,0),'3'!O119)),'3'!O119,IF('3'!O57&lt;MAX('3'!$B57:$U57),HLOOKUP('3'!O57+1,'3'!$B57:$U119,'3'!$W$3+3,0),'3'!O119)))</f>
        <v/>
      </c>
      <c r="P57" s="19" t="str">
        <f>IF(ISBLANK('Raw counts'!P58),"",IF(ISERROR(IF('3'!P57&lt;MAX('3'!$B57:$U57),HLOOKUP('3'!P57+1,'3'!$B57:$U119,'3'!$W$3+3,0),'3'!P119)),'3'!P119,IF('3'!P57&lt;MAX('3'!$B57:$U57),HLOOKUP('3'!P57+1,'3'!$B57:$U119,'3'!$W$3+3,0),'3'!P119)))</f>
        <v/>
      </c>
      <c r="Q57" s="19" t="str">
        <f>IF(ISBLANK('Raw counts'!Q58),"",IF(ISERROR(IF('3'!Q57&lt;MAX('3'!$B57:$U57),HLOOKUP('3'!Q57+1,'3'!$B57:$U119,'3'!$W$3+3,0),'3'!Q119)),'3'!Q119,IF('3'!Q57&lt;MAX('3'!$B57:$U57),HLOOKUP('3'!Q57+1,'3'!$B57:$U119,'3'!$W$3+3,0),'3'!Q119)))</f>
        <v/>
      </c>
      <c r="R57" s="19" t="str">
        <f>IF(ISBLANK('Raw counts'!R58),"",IF(ISERROR(IF('3'!R57&lt;MAX('3'!$B57:$U57),HLOOKUP('3'!R57+1,'3'!$B57:$U119,'3'!$W$3+3,0),'3'!R119)),'3'!R119,IF('3'!R57&lt;MAX('3'!$B57:$U57),HLOOKUP('3'!R57+1,'3'!$B57:$U119,'3'!$W$3+3,0),'3'!R119)))</f>
        <v/>
      </c>
      <c r="S57" s="19" t="str">
        <f>IF(ISBLANK('Raw counts'!S58),"",IF(ISERROR(IF('3'!S57&lt;MAX('3'!$B57:$U57),HLOOKUP('3'!S57+1,'3'!$B57:$U119,'3'!$W$3+3,0),'3'!S119)),'3'!S119,IF('3'!S57&lt;MAX('3'!$B57:$U57),HLOOKUP('3'!S57+1,'3'!$B57:$U119,'3'!$W$3+3,0),'3'!S119)))</f>
        <v/>
      </c>
      <c r="T57" s="19" t="str">
        <f>IF(ISBLANK('Raw counts'!T58),"",IF(ISERROR(IF('3'!T57&lt;MAX('3'!$B57:$U57),HLOOKUP('3'!T57+1,'3'!$B57:$U119,'3'!$W$3+3,0),'3'!T119)),'3'!T119,IF('3'!T57&lt;MAX('3'!$B57:$U57),HLOOKUP('3'!T57+1,'3'!$B57:$U119,'3'!$W$3+3,0),'3'!T119)))</f>
        <v/>
      </c>
      <c r="U57" s="19" t="str">
        <f>IF(ISBLANK('Raw counts'!U58),"",IF(ISERROR(IF('3'!U57&lt;MAX('3'!$B57:$U57),HLOOKUP('3'!U57+1,'3'!$B57:$U119,'3'!$W$3+3,0),'3'!U119)),'3'!U119,IF('3'!U57&lt;MAX('3'!$B57:$U57),HLOOKUP('3'!U57+1,'3'!$B57:$U119,'3'!$W$3+3,0),'3'!U119)))</f>
        <v/>
      </c>
    </row>
    <row r="58" spans="1:21" x14ac:dyDescent="0.15">
      <c r="A58" s="18" t="str">
        <f>IF(ISBLANK('Raw counts'!A59),"",'Raw counts'!A59)</f>
        <v>Attr55</v>
      </c>
      <c r="B58" s="19" t="str">
        <f>IF(ISBLANK('Raw counts'!B59),"",IF(ISERROR(IF('3'!B58&lt;MAX('3'!$B58:$U58),HLOOKUP('3'!B58+1,'3'!$B58:$U120,'3'!$W$3+3,0),'3'!B120)),'3'!B120,IF('3'!B58&lt;MAX('3'!$B58:$U58),HLOOKUP('3'!B58+1,'3'!$B58:$U120,'3'!$W$3+3,0),'3'!B120)))</f>
        <v/>
      </c>
      <c r="C58" s="19" t="str">
        <f>IF(ISBLANK('Raw counts'!C59),"",IF(ISERROR(IF('3'!C58&lt;MAX('3'!$B58:$U58),HLOOKUP('3'!C58+1,'3'!$B58:$U120,'3'!$W$3+3,0),'3'!C120)),'3'!C120,IF('3'!C58&lt;MAX('3'!$B58:$U58),HLOOKUP('3'!C58+1,'3'!$B58:$U120,'3'!$W$3+3,0),'3'!C120)))</f>
        <v/>
      </c>
      <c r="D58" s="19" t="str">
        <f>IF(ISBLANK('Raw counts'!D59),"",IF(ISERROR(IF('3'!D58&lt;MAX('3'!$B58:$U58),HLOOKUP('3'!D58+1,'3'!$B58:$U120,'3'!$W$3+3,0),'3'!D120)),'3'!D120,IF('3'!D58&lt;MAX('3'!$B58:$U58),HLOOKUP('3'!D58+1,'3'!$B58:$U120,'3'!$W$3+3,0),'3'!D120)))</f>
        <v/>
      </c>
      <c r="E58" s="19" t="str">
        <f>IF(ISBLANK('Raw counts'!E59),"",IF(ISERROR(IF('3'!E58&lt;MAX('3'!$B58:$U58),HLOOKUP('3'!E58+1,'3'!$B58:$U120,'3'!$W$3+3,0),'3'!E120)),'3'!E120,IF('3'!E58&lt;MAX('3'!$B58:$U58),HLOOKUP('3'!E58+1,'3'!$B58:$U120,'3'!$W$3+3,0),'3'!E120)))</f>
        <v/>
      </c>
      <c r="F58" s="19" t="str">
        <f>IF(ISBLANK('Raw counts'!F59),"",IF(ISERROR(IF('3'!F58&lt;MAX('3'!$B58:$U58),HLOOKUP('3'!F58+1,'3'!$B58:$U120,'3'!$W$3+3,0),'3'!F120)),'3'!F120,IF('3'!F58&lt;MAX('3'!$B58:$U58),HLOOKUP('3'!F58+1,'3'!$B58:$U120,'3'!$W$3+3,0),'3'!F120)))</f>
        <v/>
      </c>
      <c r="G58" s="19" t="str">
        <f>IF(ISBLANK('Raw counts'!G59),"",IF(ISERROR(IF('3'!G58&lt;MAX('3'!$B58:$U58),HLOOKUP('3'!G58+1,'3'!$B58:$U120,'3'!$W$3+3,0),'3'!G120)),'3'!G120,IF('3'!G58&lt;MAX('3'!$B58:$U58),HLOOKUP('3'!G58+1,'3'!$B58:$U120,'3'!$W$3+3,0),'3'!G120)))</f>
        <v/>
      </c>
      <c r="H58" s="19" t="str">
        <f>IF(ISBLANK('Raw counts'!H59),"",IF(ISERROR(IF('3'!H58&lt;MAX('3'!$B58:$U58),HLOOKUP('3'!H58+1,'3'!$B58:$U120,'3'!$W$3+3,0),'3'!H120)),'3'!H120,IF('3'!H58&lt;MAX('3'!$B58:$U58),HLOOKUP('3'!H58+1,'3'!$B58:$U120,'3'!$W$3+3,0),'3'!H120)))</f>
        <v/>
      </c>
      <c r="I58" s="19" t="str">
        <f>IF(ISBLANK('Raw counts'!I59),"",IF(ISERROR(IF('3'!I58&lt;MAX('3'!$B58:$U58),HLOOKUP('3'!I58+1,'3'!$B58:$U120,'3'!$W$3+3,0),'3'!I120)),'3'!I120,IF('3'!I58&lt;MAX('3'!$B58:$U58),HLOOKUP('3'!I58+1,'3'!$B58:$U120,'3'!$W$3+3,0),'3'!I120)))</f>
        <v/>
      </c>
      <c r="J58" s="19" t="str">
        <f>IF(ISBLANK('Raw counts'!J59),"",IF(ISERROR(IF('3'!J58&lt;MAX('3'!$B58:$U58),HLOOKUP('3'!J58+1,'3'!$B58:$U120,'3'!$W$3+3,0),'3'!J120)),'3'!J120,IF('3'!J58&lt;MAX('3'!$B58:$U58),HLOOKUP('3'!J58+1,'3'!$B58:$U120,'3'!$W$3+3,0),'3'!J120)))</f>
        <v/>
      </c>
      <c r="K58" s="19" t="str">
        <f>IF(ISBLANK('Raw counts'!K59),"",IF(ISERROR(IF('3'!K58&lt;MAX('3'!$B58:$U58),HLOOKUP('3'!K58+1,'3'!$B58:$U120,'3'!$W$3+3,0),'3'!K120)),'3'!K120,IF('3'!K58&lt;MAX('3'!$B58:$U58),HLOOKUP('3'!K58+1,'3'!$B58:$U120,'3'!$W$3+3,0),'3'!K120)))</f>
        <v/>
      </c>
      <c r="L58" s="19" t="str">
        <f>IF(ISBLANK('Raw counts'!L59),"",IF(ISERROR(IF('3'!L58&lt;MAX('3'!$B58:$U58),HLOOKUP('3'!L58+1,'3'!$B58:$U120,'3'!$W$3+3,0),'3'!L120)),'3'!L120,IF('3'!L58&lt;MAX('3'!$B58:$U58),HLOOKUP('3'!L58+1,'3'!$B58:$U120,'3'!$W$3+3,0),'3'!L120)))</f>
        <v/>
      </c>
      <c r="M58" s="19" t="str">
        <f>IF(ISBLANK('Raw counts'!M59),"",IF(ISERROR(IF('3'!M58&lt;MAX('3'!$B58:$U58),HLOOKUP('3'!M58+1,'3'!$B58:$U120,'3'!$W$3+3,0),'3'!M120)),'3'!M120,IF('3'!M58&lt;MAX('3'!$B58:$U58),HLOOKUP('3'!M58+1,'3'!$B58:$U120,'3'!$W$3+3,0),'3'!M120)))</f>
        <v/>
      </c>
      <c r="N58" s="19" t="str">
        <f>IF(ISBLANK('Raw counts'!N59),"",IF(ISERROR(IF('3'!N58&lt;MAX('3'!$B58:$U58),HLOOKUP('3'!N58+1,'3'!$B58:$U120,'3'!$W$3+3,0),'3'!N120)),'3'!N120,IF('3'!N58&lt;MAX('3'!$B58:$U58),HLOOKUP('3'!N58+1,'3'!$B58:$U120,'3'!$W$3+3,0),'3'!N120)))</f>
        <v/>
      </c>
      <c r="O58" s="19" t="str">
        <f>IF(ISBLANK('Raw counts'!O59),"",IF(ISERROR(IF('3'!O58&lt;MAX('3'!$B58:$U58),HLOOKUP('3'!O58+1,'3'!$B58:$U120,'3'!$W$3+3,0),'3'!O120)),'3'!O120,IF('3'!O58&lt;MAX('3'!$B58:$U58),HLOOKUP('3'!O58+1,'3'!$B58:$U120,'3'!$W$3+3,0),'3'!O120)))</f>
        <v/>
      </c>
      <c r="P58" s="19" t="str">
        <f>IF(ISBLANK('Raw counts'!P59),"",IF(ISERROR(IF('3'!P58&lt;MAX('3'!$B58:$U58),HLOOKUP('3'!P58+1,'3'!$B58:$U120,'3'!$W$3+3,0),'3'!P120)),'3'!P120,IF('3'!P58&lt;MAX('3'!$B58:$U58),HLOOKUP('3'!P58+1,'3'!$B58:$U120,'3'!$W$3+3,0),'3'!P120)))</f>
        <v/>
      </c>
      <c r="Q58" s="19" t="str">
        <f>IF(ISBLANK('Raw counts'!Q59),"",IF(ISERROR(IF('3'!Q58&lt;MAX('3'!$B58:$U58),HLOOKUP('3'!Q58+1,'3'!$B58:$U120,'3'!$W$3+3,0),'3'!Q120)),'3'!Q120,IF('3'!Q58&lt;MAX('3'!$B58:$U58),HLOOKUP('3'!Q58+1,'3'!$B58:$U120,'3'!$W$3+3,0),'3'!Q120)))</f>
        <v/>
      </c>
      <c r="R58" s="19" t="str">
        <f>IF(ISBLANK('Raw counts'!R59),"",IF(ISERROR(IF('3'!R58&lt;MAX('3'!$B58:$U58),HLOOKUP('3'!R58+1,'3'!$B58:$U120,'3'!$W$3+3,0),'3'!R120)),'3'!R120,IF('3'!R58&lt;MAX('3'!$B58:$U58),HLOOKUP('3'!R58+1,'3'!$B58:$U120,'3'!$W$3+3,0),'3'!R120)))</f>
        <v/>
      </c>
      <c r="S58" s="19" t="str">
        <f>IF(ISBLANK('Raw counts'!S59),"",IF(ISERROR(IF('3'!S58&lt;MAX('3'!$B58:$U58),HLOOKUP('3'!S58+1,'3'!$B58:$U120,'3'!$W$3+3,0),'3'!S120)),'3'!S120,IF('3'!S58&lt;MAX('3'!$B58:$U58),HLOOKUP('3'!S58+1,'3'!$B58:$U120,'3'!$W$3+3,0),'3'!S120)))</f>
        <v/>
      </c>
      <c r="T58" s="19" t="str">
        <f>IF(ISBLANK('Raw counts'!T59),"",IF(ISERROR(IF('3'!T58&lt;MAX('3'!$B58:$U58),HLOOKUP('3'!T58+1,'3'!$B58:$U120,'3'!$W$3+3,0),'3'!T120)),'3'!T120,IF('3'!T58&lt;MAX('3'!$B58:$U58),HLOOKUP('3'!T58+1,'3'!$B58:$U120,'3'!$W$3+3,0),'3'!T120)))</f>
        <v/>
      </c>
      <c r="U58" s="19" t="str">
        <f>IF(ISBLANK('Raw counts'!U59),"",IF(ISERROR(IF('3'!U58&lt;MAX('3'!$B58:$U58),HLOOKUP('3'!U58+1,'3'!$B58:$U120,'3'!$W$3+3,0),'3'!U120)),'3'!U120,IF('3'!U58&lt;MAX('3'!$B58:$U58),HLOOKUP('3'!U58+1,'3'!$B58:$U120,'3'!$W$3+3,0),'3'!U120)))</f>
        <v/>
      </c>
    </row>
    <row r="59" spans="1:21" x14ac:dyDescent="0.15">
      <c r="A59" s="18" t="str">
        <f>IF(ISBLANK('Raw counts'!A60),"",'Raw counts'!A60)</f>
        <v>Attr56</v>
      </c>
      <c r="B59" s="19" t="str">
        <f>IF(ISBLANK('Raw counts'!B60),"",IF(ISERROR(IF('3'!B59&lt;MAX('3'!$B59:$U59),HLOOKUP('3'!B59+1,'3'!$B59:$U121,'3'!$W$3+3,0),'3'!B121)),'3'!B121,IF('3'!B59&lt;MAX('3'!$B59:$U59),HLOOKUP('3'!B59+1,'3'!$B59:$U121,'3'!$W$3+3,0),'3'!B121)))</f>
        <v/>
      </c>
      <c r="C59" s="19" t="str">
        <f>IF(ISBLANK('Raw counts'!C60),"",IF(ISERROR(IF('3'!C59&lt;MAX('3'!$B59:$U59),HLOOKUP('3'!C59+1,'3'!$B59:$U121,'3'!$W$3+3,0),'3'!C121)),'3'!C121,IF('3'!C59&lt;MAX('3'!$B59:$U59),HLOOKUP('3'!C59+1,'3'!$B59:$U121,'3'!$W$3+3,0),'3'!C121)))</f>
        <v/>
      </c>
      <c r="D59" s="19" t="str">
        <f>IF(ISBLANK('Raw counts'!D60),"",IF(ISERROR(IF('3'!D59&lt;MAX('3'!$B59:$U59),HLOOKUP('3'!D59+1,'3'!$B59:$U121,'3'!$W$3+3,0),'3'!D121)),'3'!D121,IF('3'!D59&lt;MAX('3'!$B59:$U59),HLOOKUP('3'!D59+1,'3'!$B59:$U121,'3'!$W$3+3,0),'3'!D121)))</f>
        <v/>
      </c>
      <c r="E59" s="19" t="str">
        <f>IF(ISBLANK('Raw counts'!E60),"",IF(ISERROR(IF('3'!E59&lt;MAX('3'!$B59:$U59),HLOOKUP('3'!E59+1,'3'!$B59:$U121,'3'!$W$3+3,0),'3'!E121)),'3'!E121,IF('3'!E59&lt;MAX('3'!$B59:$U59),HLOOKUP('3'!E59+1,'3'!$B59:$U121,'3'!$W$3+3,0),'3'!E121)))</f>
        <v/>
      </c>
      <c r="F59" s="19" t="str">
        <f>IF(ISBLANK('Raw counts'!F60),"",IF(ISERROR(IF('3'!F59&lt;MAX('3'!$B59:$U59),HLOOKUP('3'!F59+1,'3'!$B59:$U121,'3'!$W$3+3,0),'3'!F121)),'3'!F121,IF('3'!F59&lt;MAX('3'!$B59:$U59),HLOOKUP('3'!F59+1,'3'!$B59:$U121,'3'!$W$3+3,0),'3'!F121)))</f>
        <v/>
      </c>
      <c r="G59" s="19" t="str">
        <f>IF(ISBLANK('Raw counts'!G60),"",IF(ISERROR(IF('3'!G59&lt;MAX('3'!$B59:$U59),HLOOKUP('3'!G59+1,'3'!$B59:$U121,'3'!$W$3+3,0),'3'!G121)),'3'!G121,IF('3'!G59&lt;MAX('3'!$B59:$U59),HLOOKUP('3'!G59+1,'3'!$B59:$U121,'3'!$W$3+3,0),'3'!G121)))</f>
        <v/>
      </c>
      <c r="H59" s="19" t="str">
        <f>IF(ISBLANK('Raw counts'!H60),"",IF(ISERROR(IF('3'!H59&lt;MAX('3'!$B59:$U59),HLOOKUP('3'!H59+1,'3'!$B59:$U121,'3'!$W$3+3,0),'3'!H121)),'3'!H121,IF('3'!H59&lt;MAX('3'!$B59:$U59),HLOOKUP('3'!H59+1,'3'!$B59:$U121,'3'!$W$3+3,0),'3'!H121)))</f>
        <v/>
      </c>
      <c r="I59" s="19" t="str">
        <f>IF(ISBLANK('Raw counts'!I60),"",IF(ISERROR(IF('3'!I59&lt;MAX('3'!$B59:$U59),HLOOKUP('3'!I59+1,'3'!$B59:$U121,'3'!$W$3+3,0),'3'!I121)),'3'!I121,IF('3'!I59&lt;MAX('3'!$B59:$U59),HLOOKUP('3'!I59+1,'3'!$B59:$U121,'3'!$W$3+3,0),'3'!I121)))</f>
        <v/>
      </c>
      <c r="J59" s="19" t="str">
        <f>IF(ISBLANK('Raw counts'!J60),"",IF(ISERROR(IF('3'!J59&lt;MAX('3'!$B59:$U59),HLOOKUP('3'!J59+1,'3'!$B59:$U121,'3'!$W$3+3,0),'3'!J121)),'3'!J121,IF('3'!J59&lt;MAX('3'!$B59:$U59),HLOOKUP('3'!J59+1,'3'!$B59:$U121,'3'!$W$3+3,0),'3'!J121)))</f>
        <v/>
      </c>
      <c r="K59" s="19" t="str">
        <f>IF(ISBLANK('Raw counts'!K60),"",IF(ISERROR(IF('3'!K59&lt;MAX('3'!$B59:$U59),HLOOKUP('3'!K59+1,'3'!$B59:$U121,'3'!$W$3+3,0),'3'!K121)),'3'!K121,IF('3'!K59&lt;MAX('3'!$B59:$U59),HLOOKUP('3'!K59+1,'3'!$B59:$U121,'3'!$W$3+3,0),'3'!K121)))</f>
        <v/>
      </c>
      <c r="L59" s="19" t="str">
        <f>IF(ISBLANK('Raw counts'!L60),"",IF(ISERROR(IF('3'!L59&lt;MAX('3'!$B59:$U59),HLOOKUP('3'!L59+1,'3'!$B59:$U121,'3'!$W$3+3,0),'3'!L121)),'3'!L121,IF('3'!L59&lt;MAX('3'!$B59:$U59),HLOOKUP('3'!L59+1,'3'!$B59:$U121,'3'!$W$3+3,0),'3'!L121)))</f>
        <v/>
      </c>
      <c r="M59" s="19" t="str">
        <f>IF(ISBLANK('Raw counts'!M60),"",IF(ISERROR(IF('3'!M59&lt;MAX('3'!$B59:$U59),HLOOKUP('3'!M59+1,'3'!$B59:$U121,'3'!$W$3+3,0),'3'!M121)),'3'!M121,IF('3'!M59&lt;MAX('3'!$B59:$U59),HLOOKUP('3'!M59+1,'3'!$B59:$U121,'3'!$W$3+3,0),'3'!M121)))</f>
        <v/>
      </c>
      <c r="N59" s="19" t="str">
        <f>IF(ISBLANK('Raw counts'!N60),"",IF(ISERROR(IF('3'!N59&lt;MAX('3'!$B59:$U59),HLOOKUP('3'!N59+1,'3'!$B59:$U121,'3'!$W$3+3,0),'3'!N121)),'3'!N121,IF('3'!N59&lt;MAX('3'!$B59:$U59),HLOOKUP('3'!N59+1,'3'!$B59:$U121,'3'!$W$3+3,0),'3'!N121)))</f>
        <v/>
      </c>
      <c r="O59" s="19" t="str">
        <f>IF(ISBLANK('Raw counts'!O60),"",IF(ISERROR(IF('3'!O59&lt;MAX('3'!$B59:$U59),HLOOKUP('3'!O59+1,'3'!$B59:$U121,'3'!$W$3+3,0),'3'!O121)),'3'!O121,IF('3'!O59&lt;MAX('3'!$B59:$U59),HLOOKUP('3'!O59+1,'3'!$B59:$U121,'3'!$W$3+3,0),'3'!O121)))</f>
        <v/>
      </c>
      <c r="P59" s="19" t="str">
        <f>IF(ISBLANK('Raw counts'!P60),"",IF(ISERROR(IF('3'!P59&lt;MAX('3'!$B59:$U59),HLOOKUP('3'!P59+1,'3'!$B59:$U121,'3'!$W$3+3,0),'3'!P121)),'3'!P121,IF('3'!P59&lt;MAX('3'!$B59:$U59),HLOOKUP('3'!P59+1,'3'!$B59:$U121,'3'!$W$3+3,0),'3'!P121)))</f>
        <v/>
      </c>
      <c r="Q59" s="19" t="str">
        <f>IF(ISBLANK('Raw counts'!Q60),"",IF(ISERROR(IF('3'!Q59&lt;MAX('3'!$B59:$U59),HLOOKUP('3'!Q59+1,'3'!$B59:$U121,'3'!$W$3+3,0),'3'!Q121)),'3'!Q121,IF('3'!Q59&lt;MAX('3'!$B59:$U59),HLOOKUP('3'!Q59+1,'3'!$B59:$U121,'3'!$W$3+3,0),'3'!Q121)))</f>
        <v/>
      </c>
      <c r="R59" s="19" t="str">
        <f>IF(ISBLANK('Raw counts'!R60),"",IF(ISERROR(IF('3'!R59&lt;MAX('3'!$B59:$U59),HLOOKUP('3'!R59+1,'3'!$B59:$U121,'3'!$W$3+3,0),'3'!R121)),'3'!R121,IF('3'!R59&lt;MAX('3'!$B59:$U59),HLOOKUP('3'!R59+1,'3'!$B59:$U121,'3'!$W$3+3,0),'3'!R121)))</f>
        <v/>
      </c>
      <c r="S59" s="19" t="str">
        <f>IF(ISBLANK('Raw counts'!S60),"",IF(ISERROR(IF('3'!S59&lt;MAX('3'!$B59:$U59),HLOOKUP('3'!S59+1,'3'!$B59:$U121,'3'!$W$3+3,0),'3'!S121)),'3'!S121,IF('3'!S59&lt;MAX('3'!$B59:$U59),HLOOKUP('3'!S59+1,'3'!$B59:$U121,'3'!$W$3+3,0),'3'!S121)))</f>
        <v/>
      </c>
      <c r="T59" s="19" t="str">
        <f>IF(ISBLANK('Raw counts'!T60),"",IF(ISERROR(IF('3'!T59&lt;MAX('3'!$B59:$U59),HLOOKUP('3'!T59+1,'3'!$B59:$U121,'3'!$W$3+3,0),'3'!T121)),'3'!T121,IF('3'!T59&lt;MAX('3'!$B59:$U59),HLOOKUP('3'!T59+1,'3'!$B59:$U121,'3'!$W$3+3,0),'3'!T121)))</f>
        <v/>
      </c>
      <c r="U59" s="19" t="str">
        <f>IF(ISBLANK('Raw counts'!U60),"",IF(ISERROR(IF('3'!U59&lt;MAX('3'!$B59:$U59),HLOOKUP('3'!U59+1,'3'!$B59:$U121,'3'!$W$3+3,0),'3'!U121)),'3'!U121,IF('3'!U59&lt;MAX('3'!$B59:$U59),HLOOKUP('3'!U59+1,'3'!$B59:$U121,'3'!$W$3+3,0),'3'!U121)))</f>
        <v/>
      </c>
    </row>
    <row r="60" spans="1:21" x14ac:dyDescent="0.15">
      <c r="A60" s="18" t="str">
        <f>IF(ISBLANK('Raw counts'!A61),"",'Raw counts'!A61)</f>
        <v>Attr57</v>
      </c>
      <c r="B60" s="19" t="str">
        <f>IF(ISBLANK('Raw counts'!B61),"",IF(ISERROR(IF('3'!B60&lt;MAX('3'!$B60:$U60),HLOOKUP('3'!B60+1,'3'!$B60:$U122,'3'!$W$3+3,0),'3'!B122)),'3'!B122,IF('3'!B60&lt;MAX('3'!$B60:$U60),HLOOKUP('3'!B60+1,'3'!$B60:$U122,'3'!$W$3+3,0),'3'!B122)))</f>
        <v/>
      </c>
      <c r="C60" s="19" t="str">
        <f>IF(ISBLANK('Raw counts'!C61),"",IF(ISERROR(IF('3'!C60&lt;MAX('3'!$B60:$U60),HLOOKUP('3'!C60+1,'3'!$B60:$U122,'3'!$W$3+3,0),'3'!C122)),'3'!C122,IF('3'!C60&lt;MAX('3'!$B60:$U60),HLOOKUP('3'!C60+1,'3'!$B60:$U122,'3'!$W$3+3,0),'3'!C122)))</f>
        <v/>
      </c>
      <c r="D60" s="19" t="str">
        <f>IF(ISBLANK('Raw counts'!D61),"",IF(ISERROR(IF('3'!D60&lt;MAX('3'!$B60:$U60),HLOOKUP('3'!D60+1,'3'!$B60:$U122,'3'!$W$3+3,0),'3'!D122)),'3'!D122,IF('3'!D60&lt;MAX('3'!$B60:$U60),HLOOKUP('3'!D60+1,'3'!$B60:$U122,'3'!$W$3+3,0),'3'!D122)))</f>
        <v/>
      </c>
      <c r="E60" s="19" t="str">
        <f>IF(ISBLANK('Raw counts'!E61),"",IF(ISERROR(IF('3'!E60&lt;MAX('3'!$B60:$U60),HLOOKUP('3'!E60+1,'3'!$B60:$U122,'3'!$W$3+3,0),'3'!E122)),'3'!E122,IF('3'!E60&lt;MAX('3'!$B60:$U60),HLOOKUP('3'!E60+1,'3'!$B60:$U122,'3'!$W$3+3,0),'3'!E122)))</f>
        <v/>
      </c>
      <c r="F60" s="19" t="str">
        <f>IF(ISBLANK('Raw counts'!F61),"",IF(ISERROR(IF('3'!F60&lt;MAX('3'!$B60:$U60),HLOOKUP('3'!F60+1,'3'!$B60:$U122,'3'!$W$3+3,0),'3'!F122)),'3'!F122,IF('3'!F60&lt;MAX('3'!$B60:$U60),HLOOKUP('3'!F60+1,'3'!$B60:$U122,'3'!$W$3+3,0),'3'!F122)))</f>
        <v/>
      </c>
      <c r="G60" s="19" t="str">
        <f>IF(ISBLANK('Raw counts'!G61),"",IF(ISERROR(IF('3'!G60&lt;MAX('3'!$B60:$U60),HLOOKUP('3'!G60+1,'3'!$B60:$U122,'3'!$W$3+3,0),'3'!G122)),'3'!G122,IF('3'!G60&lt;MAX('3'!$B60:$U60),HLOOKUP('3'!G60+1,'3'!$B60:$U122,'3'!$W$3+3,0),'3'!G122)))</f>
        <v/>
      </c>
      <c r="H60" s="19" t="str">
        <f>IF(ISBLANK('Raw counts'!H61),"",IF(ISERROR(IF('3'!H60&lt;MAX('3'!$B60:$U60),HLOOKUP('3'!H60+1,'3'!$B60:$U122,'3'!$W$3+3,0),'3'!H122)),'3'!H122,IF('3'!H60&lt;MAX('3'!$B60:$U60),HLOOKUP('3'!H60+1,'3'!$B60:$U122,'3'!$W$3+3,0),'3'!H122)))</f>
        <v/>
      </c>
      <c r="I60" s="19" t="str">
        <f>IF(ISBLANK('Raw counts'!I61),"",IF(ISERROR(IF('3'!I60&lt;MAX('3'!$B60:$U60),HLOOKUP('3'!I60+1,'3'!$B60:$U122,'3'!$W$3+3,0),'3'!I122)),'3'!I122,IF('3'!I60&lt;MAX('3'!$B60:$U60),HLOOKUP('3'!I60+1,'3'!$B60:$U122,'3'!$W$3+3,0),'3'!I122)))</f>
        <v/>
      </c>
      <c r="J60" s="19" t="str">
        <f>IF(ISBLANK('Raw counts'!J61),"",IF(ISERROR(IF('3'!J60&lt;MAX('3'!$B60:$U60),HLOOKUP('3'!J60+1,'3'!$B60:$U122,'3'!$W$3+3,0),'3'!J122)),'3'!J122,IF('3'!J60&lt;MAX('3'!$B60:$U60),HLOOKUP('3'!J60+1,'3'!$B60:$U122,'3'!$W$3+3,0),'3'!J122)))</f>
        <v/>
      </c>
      <c r="K60" s="19" t="str">
        <f>IF(ISBLANK('Raw counts'!K61),"",IF(ISERROR(IF('3'!K60&lt;MAX('3'!$B60:$U60),HLOOKUP('3'!K60+1,'3'!$B60:$U122,'3'!$W$3+3,0),'3'!K122)),'3'!K122,IF('3'!K60&lt;MAX('3'!$B60:$U60),HLOOKUP('3'!K60+1,'3'!$B60:$U122,'3'!$W$3+3,0),'3'!K122)))</f>
        <v/>
      </c>
      <c r="L60" s="19" t="str">
        <f>IF(ISBLANK('Raw counts'!L61),"",IF(ISERROR(IF('3'!L60&lt;MAX('3'!$B60:$U60),HLOOKUP('3'!L60+1,'3'!$B60:$U122,'3'!$W$3+3,0),'3'!L122)),'3'!L122,IF('3'!L60&lt;MAX('3'!$B60:$U60),HLOOKUP('3'!L60+1,'3'!$B60:$U122,'3'!$W$3+3,0),'3'!L122)))</f>
        <v/>
      </c>
      <c r="M60" s="19" t="str">
        <f>IF(ISBLANK('Raw counts'!M61),"",IF(ISERROR(IF('3'!M60&lt;MAX('3'!$B60:$U60),HLOOKUP('3'!M60+1,'3'!$B60:$U122,'3'!$W$3+3,0),'3'!M122)),'3'!M122,IF('3'!M60&lt;MAX('3'!$B60:$U60),HLOOKUP('3'!M60+1,'3'!$B60:$U122,'3'!$W$3+3,0),'3'!M122)))</f>
        <v/>
      </c>
      <c r="N60" s="19" t="str">
        <f>IF(ISBLANK('Raw counts'!N61),"",IF(ISERROR(IF('3'!N60&lt;MAX('3'!$B60:$U60),HLOOKUP('3'!N60+1,'3'!$B60:$U122,'3'!$W$3+3,0),'3'!N122)),'3'!N122,IF('3'!N60&lt;MAX('3'!$B60:$U60),HLOOKUP('3'!N60+1,'3'!$B60:$U122,'3'!$W$3+3,0),'3'!N122)))</f>
        <v/>
      </c>
      <c r="O60" s="19" t="str">
        <f>IF(ISBLANK('Raw counts'!O61),"",IF(ISERROR(IF('3'!O60&lt;MAX('3'!$B60:$U60),HLOOKUP('3'!O60+1,'3'!$B60:$U122,'3'!$W$3+3,0),'3'!O122)),'3'!O122,IF('3'!O60&lt;MAX('3'!$B60:$U60),HLOOKUP('3'!O60+1,'3'!$B60:$U122,'3'!$W$3+3,0),'3'!O122)))</f>
        <v/>
      </c>
      <c r="P60" s="19" t="str">
        <f>IF(ISBLANK('Raw counts'!P61),"",IF(ISERROR(IF('3'!P60&lt;MAX('3'!$B60:$U60),HLOOKUP('3'!P60+1,'3'!$B60:$U122,'3'!$W$3+3,0),'3'!P122)),'3'!P122,IF('3'!P60&lt;MAX('3'!$B60:$U60),HLOOKUP('3'!P60+1,'3'!$B60:$U122,'3'!$W$3+3,0),'3'!P122)))</f>
        <v/>
      </c>
      <c r="Q60" s="19" t="str">
        <f>IF(ISBLANK('Raw counts'!Q61),"",IF(ISERROR(IF('3'!Q60&lt;MAX('3'!$B60:$U60),HLOOKUP('3'!Q60+1,'3'!$B60:$U122,'3'!$W$3+3,0),'3'!Q122)),'3'!Q122,IF('3'!Q60&lt;MAX('3'!$B60:$U60),HLOOKUP('3'!Q60+1,'3'!$B60:$U122,'3'!$W$3+3,0),'3'!Q122)))</f>
        <v/>
      </c>
      <c r="R60" s="19" t="str">
        <f>IF(ISBLANK('Raw counts'!R61),"",IF(ISERROR(IF('3'!R60&lt;MAX('3'!$B60:$U60),HLOOKUP('3'!R60+1,'3'!$B60:$U122,'3'!$W$3+3,0),'3'!R122)),'3'!R122,IF('3'!R60&lt;MAX('3'!$B60:$U60),HLOOKUP('3'!R60+1,'3'!$B60:$U122,'3'!$W$3+3,0),'3'!R122)))</f>
        <v/>
      </c>
      <c r="S60" s="19" t="str">
        <f>IF(ISBLANK('Raw counts'!S61),"",IF(ISERROR(IF('3'!S60&lt;MAX('3'!$B60:$U60),HLOOKUP('3'!S60+1,'3'!$B60:$U122,'3'!$W$3+3,0),'3'!S122)),'3'!S122,IF('3'!S60&lt;MAX('3'!$B60:$U60),HLOOKUP('3'!S60+1,'3'!$B60:$U122,'3'!$W$3+3,0),'3'!S122)))</f>
        <v/>
      </c>
      <c r="T60" s="19" t="str">
        <f>IF(ISBLANK('Raw counts'!T61),"",IF(ISERROR(IF('3'!T60&lt;MAX('3'!$B60:$U60),HLOOKUP('3'!T60+1,'3'!$B60:$U122,'3'!$W$3+3,0),'3'!T122)),'3'!T122,IF('3'!T60&lt;MAX('3'!$B60:$U60),HLOOKUP('3'!T60+1,'3'!$B60:$U122,'3'!$W$3+3,0),'3'!T122)))</f>
        <v/>
      </c>
      <c r="U60" s="19" t="str">
        <f>IF(ISBLANK('Raw counts'!U61),"",IF(ISERROR(IF('3'!U60&lt;MAX('3'!$B60:$U60),HLOOKUP('3'!U60+1,'3'!$B60:$U122,'3'!$W$3+3,0),'3'!U122)),'3'!U122,IF('3'!U60&lt;MAX('3'!$B60:$U60),HLOOKUP('3'!U60+1,'3'!$B60:$U122,'3'!$W$3+3,0),'3'!U122)))</f>
        <v/>
      </c>
    </row>
    <row r="61" spans="1:21" x14ac:dyDescent="0.15">
      <c r="A61" s="18" t="str">
        <f>IF(ISBLANK('Raw counts'!A62),"",'Raw counts'!A62)</f>
        <v>Attr58</v>
      </c>
      <c r="B61" s="19" t="str">
        <f>IF(ISBLANK('Raw counts'!B62),"",IF(ISERROR(IF('3'!B61&lt;MAX('3'!$B61:$U61),HLOOKUP('3'!B61+1,'3'!$B61:$U123,'3'!$W$3+3,0),'3'!B123)),'3'!B123,IF('3'!B61&lt;MAX('3'!$B61:$U61),HLOOKUP('3'!B61+1,'3'!$B61:$U123,'3'!$W$3+3,0),'3'!B123)))</f>
        <v/>
      </c>
      <c r="C61" s="19" t="str">
        <f>IF(ISBLANK('Raw counts'!C62),"",IF(ISERROR(IF('3'!C61&lt;MAX('3'!$B61:$U61),HLOOKUP('3'!C61+1,'3'!$B61:$U123,'3'!$W$3+3,0),'3'!C123)),'3'!C123,IF('3'!C61&lt;MAX('3'!$B61:$U61),HLOOKUP('3'!C61+1,'3'!$B61:$U123,'3'!$W$3+3,0),'3'!C123)))</f>
        <v/>
      </c>
      <c r="D61" s="19" t="str">
        <f>IF(ISBLANK('Raw counts'!D62),"",IF(ISERROR(IF('3'!D61&lt;MAX('3'!$B61:$U61),HLOOKUP('3'!D61+1,'3'!$B61:$U123,'3'!$W$3+3,0),'3'!D123)),'3'!D123,IF('3'!D61&lt;MAX('3'!$B61:$U61),HLOOKUP('3'!D61+1,'3'!$B61:$U123,'3'!$W$3+3,0),'3'!D123)))</f>
        <v/>
      </c>
      <c r="E61" s="19" t="str">
        <f>IF(ISBLANK('Raw counts'!E62),"",IF(ISERROR(IF('3'!E61&lt;MAX('3'!$B61:$U61),HLOOKUP('3'!E61+1,'3'!$B61:$U123,'3'!$W$3+3,0),'3'!E123)),'3'!E123,IF('3'!E61&lt;MAX('3'!$B61:$U61),HLOOKUP('3'!E61+1,'3'!$B61:$U123,'3'!$W$3+3,0),'3'!E123)))</f>
        <v/>
      </c>
      <c r="F61" s="19" t="str">
        <f>IF(ISBLANK('Raw counts'!F62),"",IF(ISERROR(IF('3'!F61&lt;MAX('3'!$B61:$U61),HLOOKUP('3'!F61+1,'3'!$B61:$U123,'3'!$W$3+3,0),'3'!F123)),'3'!F123,IF('3'!F61&lt;MAX('3'!$B61:$U61),HLOOKUP('3'!F61+1,'3'!$B61:$U123,'3'!$W$3+3,0),'3'!F123)))</f>
        <v/>
      </c>
      <c r="G61" s="19" t="str">
        <f>IF(ISBLANK('Raw counts'!G62),"",IF(ISERROR(IF('3'!G61&lt;MAX('3'!$B61:$U61),HLOOKUP('3'!G61+1,'3'!$B61:$U123,'3'!$W$3+3,0),'3'!G123)),'3'!G123,IF('3'!G61&lt;MAX('3'!$B61:$U61),HLOOKUP('3'!G61+1,'3'!$B61:$U123,'3'!$W$3+3,0),'3'!G123)))</f>
        <v/>
      </c>
      <c r="H61" s="19" t="str">
        <f>IF(ISBLANK('Raw counts'!H62),"",IF(ISERROR(IF('3'!H61&lt;MAX('3'!$B61:$U61),HLOOKUP('3'!H61+1,'3'!$B61:$U123,'3'!$W$3+3,0),'3'!H123)),'3'!H123,IF('3'!H61&lt;MAX('3'!$B61:$U61),HLOOKUP('3'!H61+1,'3'!$B61:$U123,'3'!$W$3+3,0),'3'!H123)))</f>
        <v/>
      </c>
      <c r="I61" s="19" t="str">
        <f>IF(ISBLANK('Raw counts'!I62),"",IF(ISERROR(IF('3'!I61&lt;MAX('3'!$B61:$U61),HLOOKUP('3'!I61+1,'3'!$B61:$U123,'3'!$W$3+3,0),'3'!I123)),'3'!I123,IF('3'!I61&lt;MAX('3'!$B61:$U61),HLOOKUP('3'!I61+1,'3'!$B61:$U123,'3'!$W$3+3,0),'3'!I123)))</f>
        <v/>
      </c>
      <c r="J61" s="19" t="str">
        <f>IF(ISBLANK('Raw counts'!J62),"",IF(ISERROR(IF('3'!J61&lt;MAX('3'!$B61:$U61),HLOOKUP('3'!J61+1,'3'!$B61:$U123,'3'!$W$3+3,0),'3'!J123)),'3'!J123,IF('3'!J61&lt;MAX('3'!$B61:$U61),HLOOKUP('3'!J61+1,'3'!$B61:$U123,'3'!$W$3+3,0),'3'!J123)))</f>
        <v/>
      </c>
      <c r="K61" s="19" t="str">
        <f>IF(ISBLANK('Raw counts'!K62),"",IF(ISERROR(IF('3'!K61&lt;MAX('3'!$B61:$U61),HLOOKUP('3'!K61+1,'3'!$B61:$U123,'3'!$W$3+3,0),'3'!K123)),'3'!K123,IF('3'!K61&lt;MAX('3'!$B61:$U61),HLOOKUP('3'!K61+1,'3'!$B61:$U123,'3'!$W$3+3,0),'3'!K123)))</f>
        <v/>
      </c>
      <c r="L61" s="19" t="str">
        <f>IF(ISBLANK('Raw counts'!L62),"",IF(ISERROR(IF('3'!L61&lt;MAX('3'!$B61:$U61),HLOOKUP('3'!L61+1,'3'!$B61:$U123,'3'!$W$3+3,0),'3'!L123)),'3'!L123,IF('3'!L61&lt;MAX('3'!$B61:$U61),HLOOKUP('3'!L61+1,'3'!$B61:$U123,'3'!$W$3+3,0),'3'!L123)))</f>
        <v/>
      </c>
      <c r="M61" s="19" t="str">
        <f>IF(ISBLANK('Raw counts'!M62),"",IF(ISERROR(IF('3'!M61&lt;MAX('3'!$B61:$U61),HLOOKUP('3'!M61+1,'3'!$B61:$U123,'3'!$W$3+3,0),'3'!M123)),'3'!M123,IF('3'!M61&lt;MAX('3'!$B61:$U61),HLOOKUP('3'!M61+1,'3'!$B61:$U123,'3'!$W$3+3,0),'3'!M123)))</f>
        <v/>
      </c>
      <c r="N61" s="19" t="str">
        <f>IF(ISBLANK('Raw counts'!N62),"",IF(ISERROR(IF('3'!N61&lt;MAX('3'!$B61:$U61),HLOOKUP('3'!N61+1,'3'!$B61:$U123,'3'!$W$3+3,0),'3'!N123)),'3'!N123,IF('3'!N61&lt;MAX('3'!$B61:$U61),HLOOKUP('3'!N61+1,'3'!$B61:$U123,'3'!$W$3+3,0),'3'!N123)))</f>
        <v/>
      </c>
      <c r="O61" s="19" t="str">
        <f>IF(ISBLANK('Raw counts'!O62),"",IF(ISERROR(IF('3'!O61&lt;MAX('3'!$B61:$U61),HLOOKUP('3'!O61+1,'3'!$B61:$U123,'3'!$W$3+3,0),'3'!O123)),'3'!O123,IF('3'!O61&lt;MAX('3'!$B61:$U61),HLOOKUP('3'!O61+1,'3'!$B61:$U123,'3'!$W$3+3,0),'3'!O123)))</f>
        <v/>
      </c>
      <c r="P61" s="19" t="str">
        <f>IF(ISBLANK('Raw counts'!P62),"",IF(ISERROR(IF('3'!P61&lt;MAX('3'!$B61:$U61),HLOOKUP('3'!P61+1,'3'!$B61:$U123,'3'!$W$3+3,0),'3'!P123)),'3'!P123,IF('3'!P61&lt;MAX('3'!$B61:$U61),HLOOKUP('3'!P61+1,'3'!$B61:$U123,'3'!$W$3+3,0),'3'!P123)))</f>
        <v/>
      </c>
      <c r="Q61" s="19" t="str">
        <f>IF(ISBLANK('Raw counts'!Q62),"",IF(ISERROR(IF('3'!Q61&lt;MAX('3'!$B61:$U61),HLOOKUP('3'!Q61+1,'3'!$B61:$U123,'3'!$W$3+3,0),'3'!Q123)),'3'!Q123,IF('3'!Q61&lt;MAX('3'!$B61:$U61),HLOOKUP('3'!Q61+1,'3'!$B61:$U123,'3'!$W$3+3,0),'3'!Q123)))</f>
        <v/>
      </c>
      <c r="R61" s="19" t="str">
        <f>IF(ISBLANK('Raw counts'!R62),"",IF(ISERROR(IF('3'!R61&lt;MAX('3'!$B61:$U61),HLOOKUP('3'!R61+1,'3'!$B61:$U123,'3'!$W$3+3,0),'3'!R123)),'3'!R123,IF('3'!R61&lt;MAX('3'!$B61:$U61),HLOOKUP('3'!R61+1,'3'!$B61:$U123,'3'!$W$3+3,0),'3'!R123)))</f>
        <v/>
      </c>
      <c r="S61" s="19" t="str">
        <f>IF(ISBLANK('Raw counts'!S62),"",IF(ISERROR(IF('3'!S61&lt;MAX('3'!$B61:$U61),HLOOKUP('3'!S61+1,'3'!$B61:$U123,'3'!$W$3+3,0),'3'!S123)),'3'!S123,IF('3'!S61&lt;MAX('3'!$B61:$U61),HLOOKUP('3'!S61+1,'3'!$B61:$U123,'3'!$W$3+3,0),'3'!S123)))</f>
        <v/>
      </c>
      <c r="T61" s="19" t="str">
        <f>IF(ISBLANK('Raw counts'!T62),"",IF(ISERROR(IF('3'!T61&lt;MAX('3'!$B61:$U61),HLOOKUP('3'!T61+1,'3'!$B61:$U123,'3'!$W$3+3,0),'3'!T123)),'3'!T123,IF('3'!T61&lt;MAX('3'!$B61:$U61),HLOOKUP('3'!T61+1,'3'!$B61:$U123,'3'!$W$3+3,0),'3'!T123)))</f>
        <v/>
      </c>
      <c r="U61" s="19" t="str">
        <f>IF(ISBLANK('Raw counts'!U62),"",IF(ISERROR(IF('3'!U61&lt;MAX('3'!$B61:$U61),HLOOKUP('3'!U61+1,'3'!$B61:$U123,'3'!$W$3+3,0),'3'!U123)),'3'!U123,IF('3'!U61&lt;MAX('3'!$B61:$U61),HLOOKUP('3'!U61+1,'3'!$B61:$U123,'3'!$W$3+3,0),'3'!U123)))</f>
        <v/>
      </c>
    </row>
    <row r="62" spans="1:21" x14ac:dyDescent="0.15">
      <c r="A62" s="18" t="str">
        <f>IF(ISBLANK('Raw counts'!A63),"",'Raw counts'!A63)</f>
        <v>Attr59</v>
      </c>
      <c r="B62" s="19" t="str">
        <f>IF(ISBLANK('Raw counts'!B63),"",IF(ISERROR(IF('3'!B62&lt;MAX('3'!$B62:$U62),HLOOKUP('3'!B62+1,'3'!$B62:$U124,'3'!$W$3+3,0),'3'!B124)),'3'!B124,IF('3'!B62&lt;MAX('3'!$B62:$U62),HLOOKUP('3'!B62+1,'3'!$B62:$U124,'3'!$W$3+3,0),'3'!B124)))</f>
        <v/>
      </c>
      <c r="C62" s="19" t="str">
        <f>IF(ISBLANK('Raw counts'!C63),"",IF(ISERROR(IF('3'!C62&lt;MAX('3'!$B62:$U62),HLOOKUP('3'!C62+1,'3'!$B62:$U124,'3'!$W$3+3,0),'3'!C124)),'3'!C124,IF('3'!C62&lt;MAX('3'!$B62:$U62),HLOOKUP('3'!C62+1,'3'!$B62:$U124,'3'!$W$3+3,0),'3'!C124)))</f>
        <v/>
      </c>
      <c r="D62" s="19" t="str">
        <f>IF(ISBLANK('Raw counts'!D63),"",IF(ISERROR(IF('3'!D62&lt;MAX('3'!$B62:$U62),HLOOKUP('3'!D62+1,'3'!$B62:$U124,'3'!$W$3+3,0),'3'!D124)),'3'!D124,IF('3'!D62&lt;MAX('3'!$B62:$U62),HLOOKUP('3'!D62+1,'3'!$B62:$U124,'3'!$W$3+3,0),'3'!D124)))</f>
        <v/>
      </c>
      <c r="E62" s="19" t="str">
        <f>IF(ISBLANK('Raw counts'!E63),"",IF(ISERROR(IF('3'!E62&lt;MAX('3'!$B62:$U62),HLOOKUP('3'!E62+1,'3'!$B62:$U124,'3'!$W$3+3,0),'3'!E124)),'3'!E124,IF('3'!E62&lt;MAX('3'!$B62:$U62),HLOOKUP('3'!E62+1,'3'!$B62:$U124,'3'!$W$3+3,0),'3'!E124)))</f>
        <v/>
      </c>
      <c r="F62" s="19" t="str">
        <f>IF(ISBLANK('Raw counts'!F63),"",IF(ISERROR(IF('3'!F62&lt;MAX('3'!$B62:$U62),HLOOKUP('3'!F62+1,'3'!$B62:$U124,'3'!$W$3+3,0),'3'!F124)),'3'!F124,IF('3'!F62&lt;MAX('3'!$B62:$U62),HLOOKUP('3'!F62+1,'3'!$B62:$U124,'3'!$W$3+3,0),'3'!F124)))</f>
        <v/>
      </c>
      <c r="G62" s="19" t="str">
        <f>IF(ISBLANK('Raw counts'!G63),"",IF(ISERROR(IF('3'!G62&lt;MAX('3'!$B62:$U62),HLOOKUP('3'!G62+1,'3'!$B62:$U124,'3'!$W$3+3,0),'3'!G124)),'3'!G124,IF('3'!G62&lt;MAX('3'!$B62:$U62),HLOOKUP('3'!G62+1,'3'!$B62:$U124,'3'!$W$3+3,0),'3'!G124)))</f>
        <v/>
      </c>
      <c r="H62" s="19" t="str">
        <f>IF(ISBLANK('Raw counts'!H63),"",IF(ISERROR(IF('3'!H62&lt;MAX('3'!$B62:$U62),HLOOKUP('3'!H62+1,'3'!$B62:$U124,'3'!$W$3+3,0),'3'!H124)),'3'!H124,IF('3'!H62&lt;MAX('3'!$B62:$U62),HLOOKUP('3'!H62+1,'3'!$B62:$U124,'3'!$W$3+3,0),'3'!H124)))</f>
        <v/>
      </c>
      <c r="I62" s="19" t="str">
        <f>IF(ISBLANK('Raw counts'!I63),"",IF(ISERROR(IF('3'!I62&lt;MAX('3'!$B62:$U62),HLOOKUP('3'!I62+1,'3'!$B62:$U124,'3'!$W$3+3,0),'3'!I124)),'3'!I124,IF('3'!I62&lt;MAX('3'!$B62:$U62),HLOOKUP('3'!I62+1,'3'!$B62:$U124,'3'!$W$3+3,0),'3'!I124)))</f>
        <v/>
      </c>
      <c r="J62" s="19" t="str">
        <f>IF(ISBLANK('Raw counts'!J63),"",IF(ISERROR(IF('3'!J62&lt;MAX('3'!$B62:$U62),HLOOKUP('3'!J62+1,'3'!$B62:$U124,'3'!$W$3+3,0),'3'!J124)),'3'!J124,IF('3'!J62&lt;MAX('3'!$B62:$U62),HLOOKUP('3'!J62+1,'3'!$B62:$U124,'3'!$W$3+3,0),'3'!J124)))</f>
        <v/>
      </c>
      <c r="K62" s="19" t="str">
        <f>IF(ISBLANK('Raw counts'!K63),"",IF(ISERROR(IF('3'!K62&lt;MAX('3'!$B62:$U62),HLOOKUP('3'!K62+1,'3'!$B62:$U124,'3'!$W$3+3,0),'3'!K124)),'3'!K124,IF('3'!K62&lt;MAX('3'!$B62:$U62),HLOOKUP('3'!K62+1,'3'!$B62:$U124,'3'!$W$3+3,0),'3'!K124)))</f>
        <v/>
      </c>
      <c r="L62" s="19" t="str">
        <f>IF(ISBLANK('Raw counts'!L63),"",IF(ISERROR(IF('3'!L62&lt;MAX('3'!$B62:$U62),HLOOKUP('3'!L62+1,'3'!$B62:$U124,'3'!$W$3+3,0),'3'!L124)),'3'!L124,IF('3'!L62&lt;MAX('3'!$B62:$U62),HLOOKUP('3'!L62+1,'3'!$B62:$U124,'3'!$W$3+3,0),'3'!L124)))</f>
        <v/>
      </c>
      <c r="M62" s="19" t="str">
        <f>IF(ISBLANK('Raw counts'!M63),"",IF(ISERROR(IF('3'!M62&lt;MAX('3'!$B62:$U62),HLOOKUP('3'!M62+1,'3'!$B62:$U124,'3'!$W$3+3,0),'3'!M124)),'3'!M124,IF('3'!M62&lt;MAX('3'!$B62:$U62),HLOOKUP('3'!M62+1,'3'!$B62:$U124,'3'!$W$3+3,0),'3'!M124)))</f>
        <v/>
      </c>
      <c r="N62" s="19" t="str">
        <f>IF(ISBLANK('Raw counts'!N63),"",IF(ISERROR(IF('3'!N62&lt;MAX('3'!$B62:$U62),HLOOKUP('3'!N62+1,'3'!$B62:$U124,'3'!$W$3+3,0),'3'!N124)),'3'!N124,IF('3'!N62&lt;MAX('3'!$B62:$U62),HLOOKUP('3'!N62+1,'3'!$B62:$U124,'3'!$W$3+3,0),'3'!N124)))</f>
        <v/>
      </c>
      <c r="O62" s="19" t="str">
        <f>IF(ISBLANK('Raw counts'!O63),"",IF(ISERROR(IF('3'!O62&lt;MAX('3'!$B62:$U62),HLOOKUP('3'!O62+1,'3'!$B62:$U124,'3'!$W$3+3,0),'3'!O124)),'3'!O124,IF('3'!O62&lt;MAX('3'!$B62:$U62),HLOOKUP('3'!O62+1,'3'!$B62:$U124,'3'!$W$3+3,0),'3'!O124)))</f>
        <v/>
      </c>
      <c r="P62" s="19" t="str">
        <f>IF(ISBLANK('Raw counts'!P63),"",IF(ISERROR(IF('3'!P62&lt;MAX('3'!$B62:$U62),HLOOKUP('3'!P62+1,'3'!$B62:$U124,'3'!$W$3+3,0),'3'!P124)),'3'!P124,IF('3'!P62&lt;MAX('3'!$B62:$U62),HLOOKUP('3'!P62+1,'3'!$B62:$U124,'3'!$W$3+3,0),'3'!P124)))</f>
        <v/>
      </c>
      <c r="Q62" s="19" t="str">
        <f>IF(ISBLANK('Raw counts'!Q63),"",IF(ISERROR(IF('3'!Q62&lt;MAX('3'!$B62:$U62),HLOOKUP('3'!Q62+1,'3'!$B62:$U124,'3'!$W$3+3,0),'3'!Q124)),'3'!Q124,IF('3'!Q62&lt;MAX('3'!$B62:$U62),HLOOKUP('3'!Q62+1,'3'!$B62:$U124,'3'!$W$3+3,0),'3'!Q124)))</f>
        <v/>
      </c>
      <c r="R62" s="19" t="str">
        <f>IF(ISBLANK('Raw counts'!R63),"",IF(ISERROR(IF('3'!R62&lt;MAX('3'!$B62:$U62),HLOOKUP('3'!R62+1,'3'!$B62:$U124,'3'!$W$3+3,0),'3'!R124)),'3'!R124,IF('3'!R62&lt;MAX('3'!$B62:$U62),HLOOKUP('3'!R62+1,'3'!$B62:$U124,'3'!$W$3+3,0),'3'!R124)))</f>
        <v/>
      </c>
      <c r="S62" s="19" t="str">
        <f>IF(ISBLANK('Raw counts'!S63),"",IF(ISERROR(IF('3'!S62&lt;MAX('3'!$B62:$U62),HLOOKUP('3'!S62+1,'3'!$B62:$U124,'3'!$W$3+3,0),'3'!S124)),'3'!S124,IF('3'!S62&lt;MAX('3'!$B62:$U62),HLOOKUP('3'!S62+1,'3'!$B62:$U124,'3'!$W$3+3,0),'3'!S124)))</f>
        <v/>
      </c>
      <c r="T62" s="19" t="str">
        <f>IF(ISBLANK('Raw counts'!T63),"",IF(ISERROR(IF('3'!T62&lt;MAX('3'!$B62:$U62),HLOOKUP('3'!T62+1,'3'!$B62:$U124,'3'!$W$3+3,0),'3'!T124)),'3'!T124,IF('3'!T62&lt;MAX('3'!$B62:$U62),HLOOKUP('3'!T62+1,'3'!$B62:$U124,'3'!$W$3+3,0),'3'!T124)))</f>
        <v/>
      </c>
      <c r="U62" s="19" t="str">
        <f>IF(ISBLANK('Raw counts'!U63),"",IF(ISERROR(IF('3'!U62&lt;MAX('3'!$B62:$U62),HLOOKUP('3'!U62+1,'3'!$B62:$U124,'3'!$W$3+3,0),'3'!U124)),'3'!U124,IF('3'!U62&lt;MAX('3'!$B62:$U62),HLOOKUP('3'!U62+1,'3'!$B62:$U124,'3'!$W$3+3,0),'3'!U124)))</f>
        <v/>
      </c>
    </row>
    <row r="63" spans="1:21" x14ac:dyDescent="0.15">
      <c r="A63" s="18" t="str">
        <f>IF(ISBLANK('Raw counts'!A64),"",'Raw counts'!A64)</f>
        <v>Attr60</v>
      </c>
      <c r="B63" s="19" t="str">
        <f>IF(ISBLANK('Raw counts'!B64),"",IF(ISERROR(IF('3'!B63&lt;MAX('3'!$B63:$U63),HLOOKUP('3'!B63+1,'3'!$B63:$U125,'3'!$W$3+3,0),'3'!B125)),'3'!B125,IF('3'!B63&lt;MAX('3'!$B63:$U63),HLOOKUP('3'!B63+1,'3'!$B63:$U125,'3'!$W$3+3,0),'3'!B125)))</f>
        <v/>
      </c>
      <c r="C63" s="19" t="str">
        <f>IF(ISBLANK('Raw counts'!C64),"",IF(ISERROR(IF('3'!C63&lt;MAX('3'!$B63:$U63),HLOOKUP('3'!C63+1,'3'!$B63:$U125,'3'!$W$3+3,0),'3'!C125)),'3'!C125,IF('3'!C63&lt;MAX('3'!$B63:$U63),HLOOKUP('3'!C63+1,'3'!$B63:$U125,'3'!$W$3+3,0),'3'!C125)))</f>
        <v/>
      </c>
      <c r="D63" s="19" t="str">
        <f>IF(ISBLANK('Raw counts'!D64),"",IF(ISERROR(IF('3'!D63&lt;MAX('3'!$B63:$U63),HLOOKUP('3'!D63+1,'3'!$B63:$U125,'3'!$W$3+3,0),'3'!D125)),'3'!D125,IF('3'!D63&lt;MAX('3'!$B63:$U63),HLOOKUP('3'!D63+1,'3'!$B63:$U125,'3'!$W$3+3,0),'3'!D125)))</f>
        <v/>
      </c>
      <c r="E63" s="19" t="str">
        <f>IF(ISBLANK('Raw counts'!E64),"",IF(ISERROR(IF('3'!E63&lt;MAX('3'!$B63:$U63),HLOOKUP('3'!E63+1,'3'!$B63:$U125,'3'!$W$3+3,0),'3'!E125)),'3'!E125,IF('3'!E63&lt;MAX('3'!$B63:$U63),HLOOKUP('3'!E63+1,'3'!$B63:$U125,'3'!$W$3+3,0),'3'!E125)))</f>
        <v/>
      </c>
      <c r="F63" s="19" t="str">
        <f>IF(ISBLANK('Raw counts'!F64),"",IF(ISERROR(IF('3'!F63&lt;MAX('3'!$B63:$U63),HLOOKUP('3'!F63+1,'3'!$B63:$U125,'3'!$W$3+3,0),'3'!F125)),'3'!F125,IF('3'!F63&lt;MAX('3'!$B63:$U63),HLOOKUP('3'!F63+1,'3'!$B63:$U125,'3'!$W$3+3,0),'3'!F125)))</f>
        <v/>
      </c>
      <c r="G63" s="19" t="str">
        <f>IF(ISBLANK('Raw counts'!G64),"",IF(ISERROR(IF('3'!G63&lt;MAX('3'!$B63:$U63),HLOOKUP('3'!G63+1,'3'!$B63:$U125,'3'!$W$3+3,0),'3'!G125)),'3'!G125,IF('3'!G63&lt;MAX('3'!$B63:$U63),HLOOKUP('3'!G63+1,'3'!$B63:$U125,'3'!$W$3+3,0),'3'!G125)))</f>
        <v/>
      </c>
      <c r="H63" s="19" t="str">
        <f>IF(ISBLANK('Raw counts'!H64),"",IF(ISERROR(IF('3'!H63&lt;MAX('3'!$B63:$U63),HLOOKUP('3'!H63+1,'3'!$B63:$U125,'3'!$W$3+3,0),'3'!H125)),'3'!H125,IF('3'!H63&lt;MAX('3'!$B63:$U63),HLOOKUP('3'!H63+1,'3'!$B63:$U125,'3'!$W$3+3,0),'3'!H125)))</f>
        <v/>
      </c>
      <c r="I63" s="19" t="str">
        <f>IF(ISBLANK('Raw counts'!I64),"",IF(ISERROR(IF('3'!I63&lt;MAX('3'!$B63:$U63),HLOOKUP('3'!I63+1,'3'!$B63:$U125,'3'!$W$3+3,0),'3'!I125)),'3'!I125,IF('3'!I63&lt;MAX('3'!$B63:$U63),HLOOKUP('3'!I63+1,'3'!$B63:$U125,'3'!$W$3+3,0),'3'!I125)))</f>
        <v/>
      </c>
      <c r="J63" s="19" t="str">
        <f>IF(ISBLANK('Raw counts'!J64),"",IF(ISERROR(IF('3'!J63&lt;MAX('3'!$B63:$U63),HLOOKUP('3'!J63+1,'3'!$B63:$U125,'3'!$W$3+3,0),'3'!J125)),'3'!J125,IF('3'!J63&lt;MAX('3'!$B63:$U63),HLOOKUP('3'!J63+1,'3'!$B63:$U125,'3'!$W$3+3,0),'3'!J125)))</f>
        <v/>
      </c>
      <c r="K63" s="19" t="str">
        <f>IF(ISBLANK('Raw counts'!K64),"",IF(ISERROR(IF('3'!K63&lt;MAX('3'!$B63:$U63),HLOOKUP('3'!K63+1,'3'!$B63:$U125,'3'!$W$3+3,0),'3'!K125)),'3'!K125,IF('3'!K63&lt;MAX('3'!$B63:$U63),HLOOKUP('3'!K63+1,'3'!$B63:$U125,'3'!$W$3+3,0),'3'!K125)))</f>
        <v/>
      </c>
      <c r="L63" s="19" t="str">
        <f>IF(ISBLANK('Raw counts'!L64),"",IF(ISERROR(IF('3'!L63&lt;MAX('3'!$B63:$U63),HLOOKUP('3'!L63+1,'3'!$B63:$U125,'3'!$W$3+3,0),'3'!L125)),'3'!L125,IF('3'!L63&lt;MAX('3'!$B63:$U63),HLOOKUP('3'!L63+1,'3'!$B63:$U125,'3'!$W$3+3,0),'3'!L125)))</f>
        <v/>
      </c>
      <c r="M63" s="19" t="str">
        <f>IF(ISBLANK('Raw counts'!M64),"",IF(ISERROR(IF('3'!M63&lt;MAX('3'!$B63:$U63),HLOOKUP('3'!M63+1,'3'!$B63:$U125,'3'!$W$3+3,0),'3'!M125)),'3'!M125,IF('3'!M63&lt;MAX('3'!$B63:$U63),HLOOKUP('3'!M63+1,'3'!$B63:$U125,'3'!$W$3+3,0),'3'!M125)))</f>
        <v/>
      </c>
      <c r="N63" s="19" t="str">
        <f>IF(ISBLANK('Raw counts'!N64),"",IF(ISERROR(IF('3'!N63&lt;MAX('3'!$B63:$U63),HLOOKUP('3'!N63+1,'3'!$B63:$U125,'3'!$W$3+3,0),'3'!N125)),'3'!N125,IF('3'!N63&lt;MAX('3'!$B63:$U63),HLOOKUP('3'!N63+1,'3'!$B63:$U125,'3'!$W$3+3,0),'3'!N125)))</f>
        <v/>
      </c>
      <c r="O63" s="19" t="str">
        <f>IF(ISBLANK('Raw counts'!O64),"",IF(ISERROR(IF('3'!O63&lt;MAX('3'!$B63:$U63),HLOOKUP('3'!O63+1,'3'!$B63:$U125,'3'!$W$3+3,0),'3'!O125)),'3'!O125,IF('3'!O63&lt;MAX('3'!$B63:$U63),HLOOKUP('3'!O63+1,'3'!$B63:$U125,'3'!$W$3+3,0),'3'!O125)))</f>
        <v/>
      </c>
      <c r="P63" s="19" t="str">
        <f>IF(ISBLANK('Raw counts'!P64),"",IF(ISERROR(IF('3'!P63&lt;MAX('3'!$B63:$U63),HLOOKUP('3'!P63+1,'3'!$B63:$U125,'3'!$W$3+3,0),'3'!P125)),'3'!P125,IF('3'!P63&lt;MAX('3'!$B63:$U63),HLOOKUP('3'!P63+1,'3'!$B63:$U125,'3'!$W$3+3,0),'3'!P125)))</f>
        <v/>
      </c>
      <c r="Q63" s="19" t="str">
        <f>IF(ISBLANK('Raw counts'!Q64),"",IF(ISERROR(IF('3'!Q63&lt;MAX('3'!$B63:$U63),HLOOKUP('3'!Q63+1,'3'!$B63:$U125,'3'!$W$3+3,0),'3'!Q125)),'3'!Q125,IF('3'!Q63&lt;MAX('3'!$B63:$U63),HLOOKUP('3'!Q63+1,'3'!$B63:$U125,'3'!$W$3+3,0),'3'!Q125)))</f>
        <v/>
      </c>
      <c r="R63" s="19" t="str">
        <f>IF(ISBLANK('Raw counts'!R64),"",IF(ISERROR(IF('3'!R63&lt;MAX('3'!$B63:$U63),HLOOKUP('3'!R63+1,'3'!$B63:$U125,'3'!$W$3+3,0),'3'!R125)),'3'!R125,IF('3'!R63&lt;MAX('3'!$B63:$U63),HLOOKUP('3'!R63+1,'3'!$B63:$U125,'3'!$W$3+3,0),'3'!R125)))</f>
        <v/>
      </c>
      <c r="S63" s="19" t="str">
        <f>IF(ISBLANK('Raw counts'!S64),"",IF(ISERROR(IF('3'!S63&lt;MAX('3'!$B63:$U63),HLOOKUP('3'!S63+1,'3'!$B63:$U125,'3'!$W$3+3,0),'3'!S125)),'3'!S125,IF('3'!S63&lt;MAX('3'!$B63:$U63),HLOOKUP('3'!S63+1,'3'!$B63:$U125,'3'!$W$3+3,0),'3'!S125)))</f>
        <v/>
      </c>
      <c r="T63" s="19" t="str">
        <f>IF(ISBLANK('Raw counts'!T64),"",IF(ISERROR(IF('3'!T63&lt;MAX('3'!$B63:$U63),HLOOKUP('3'!T63+1,'3'!$B63:$U125,'3'!$W$3+3,0),'3'!T125)),'3'!T125,IF('3'!T63&lt;MAX('3'!$B63:$U63),HLOOKUP('3'!T63+1,'3'!$B63:$U125,'3'!$W$3+3,0),'3'!T125)))</f>
        <v/>
      </c>
      <c r="U63" s="19" t="str">
        <f>IF(ISBLANK('Raw counts'!U64),"",IF(ISERROR(IF('3'!U63&lt;MAX('3'!$B63:$U63),HLOOKUP('3'!U63+1,'3'!$B63:$U125,'3'!$W$3+3,0),'3'!U125)),'3'!U125,IF('3'!U63&lt;MAX('3'!$B63:$U63),HLOOKUP('3'!U63+1,'3'!$B63:$U125,'3'!$W$3+3,0),'3'!U125)))</f>
        <v/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63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22" width="0" style="1" hidden="1" customWidth="1"/>
    <col min="23" max="16384" width="9" style="1"/>
  </cols>
  <sheetData>
    <row r="1" spans="1:22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  <c r="V1" s="2" t="s">
        <v>48</v>
      </c>
    </row>
    <row r="2" spans="1:22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  <c r="V2" s="2" t="s">
        <v>49</v>
      </c>
    </row>
    <row r="3" spans="1:22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  <c r="V3" s="10">
        <f>'3'!V3</f>
        <v>4.8183807861955277</v>
      </c>
    </row>
    <row r="4" spans="1:22" ht="38.25" x14ac:dyDescent="0.15">
      <c r="A4" s="18" t="str">
        <f>IF(ISBLANK('Raw counts'!A5),"",'Raw counts'!A5)</f>
        <v xml:space="preserve">Doesn't offer version I want                                                </v>
      </c>
      <c r="B4" s="19">
        <f>IF(ISBLANK('Raw counts'!B5),"",'3'!B66-'5'!B4)</f>
        <v>2.2776617954071057</v>
      </c>
      <c r="C4" s="19">
        <f>IF(ISBLANK('Raw counts'!C5),"",'3'!C66-'5'!C4)</f>
        <v>3.7807933194154444</v>
      </c>
      <c r="D4" s="19">
        <f>IF(ISBLANK('Raw counts'!D5),"",'3'!D66-'5'!D4)</f>
        <v>0.32150313152400845</v>
      </c>
      <c r="E4" s="19">
        <f>IF(ISBLANK('Raw counts'!E5),"",'3'!E66-'5'!E4)</f>
        <v>0.39874739039665918</v>
      </c>
      <c r="F4" s="19">
        <f>IF(ISBLANK('Raw counts'!F5),"",'3'!F66-'5'!F4)</f>
        <v>0.72651356993736727</v>
      </c>
      <c r="G4" s="19">
        <f>IF(ISBLANK('Raw counts'!G5),"",'3'!G66-'5'!G4)</f>
        <v>6.0542797494781198E-2</v>
      </c>
      <c r="H4" s="19">
        <f>IF(ISBLANK('Raw counts'!H5),"",'3'!H66-'5'!H4)</f>
        <v>0.17327766179541015</v>
      </c>
      <c r="I4" s="19">
        <f>IF(ISBLANK('Raw counts'!I5),"",'3'!I66-'5'!I4)</f>
        <v>0.69311064718162818</v>
      </c>
      <c r="J4" s="19">
        <f>IF(ISBLANK('Raw counts'!J5),"",'3'!J66-'5'!J4)</f>
        <v>0.49686847599164974</v>
      </c>
      <c r="K4" s="19">
        <f>IF(ISBLANK('Raw counts'!K5),"",'3'!K66-'5'!K4)</f>
        <v>0</v>
      </c>
      <c r="L4" s="19">
        <f>IF(ISBLANK('Raw counts'!L5),"",'3'!L66-'5'!L4)</f>
        <v>0.1127348643006183</v>
      </c>
      <c r="M4" s="19" t="str">
        <f>IF(ISBLANK('Raw counts'!M5),"",'3'!M66-'5'!M4)</f>
        <v/>
      </c>
      <c r="N4" s="19" t="str">
        <f>IF(ISBLANK('Raw counts'!N5),"",'3'!N66-'5'!N4)</f>
        <v/>
      </c>
      <c r="O4" s="19" t="str">
        <f>IF(ISBLANK('Raw counts'!O5),"",'3'!O66-'5'!O4)</f>
        <v/>
      </c>
      <c r="P4" s="19" t="str">
        <f>IF(ISBLANK('Raw counts'!P5),"",'3'!P66-'5'!P4)</f>
        <v/>
      </c>
      <c r="Q4" s="19" t="str">
        <f>IF(ISBLANK('Raw counts'!Q5),"",'3'!Q66-'5'!Q4)</f>
        <v/>
      </c>
      <c r="R4" s="19" t="str">
        <f>IF(ISBLANK('Raw counts'!R5),"",'3'!R66-'5'!R4)</f>
        <v/>
      </c>
      <c r="S4" s="19" t="str">
        <f>IF(ISBLANK('Raw counts'!S5),"",'3'!S66-'5'!S4)</f>
        <v/>
      </c>
      <c r="T4" s="19" t="str">
        <f>IF(ISBLANK('Raw counts'!T5),"",'3'!T66-'5'!T4)</f>
        <v/>
      </c>
      <c r="U4" s="19" t="str">
        <f>IF(ISBLANK('Raw counts'!U5),"",'3'!U66-'5'!U4)</f>
        <v/>
      </c>
    </row>
    <row r="5" spans="1:22" ht="38.25" x14ac:dyDescent="0.15">
      <c r="A5" s="18" t="str">
        <f>IF(ISBLANK('Raw counts'!A6),"",'Raw counts'!A6)</f>
        <v xml:space="preserve">Doesn't offer enough variety or versions in the store/online                </v>
      </c>
      <c r="B5" s="19">
        <f>IF(ISBLANK('Raw counts'!B6),"",'3'!B67-'5'!B5)</f>
        <v>2.3032833554754291</v>
      </c>
      <c r="C5" s="19">
        <f>IF(ISBLANK('Raw counts'!C6),"",'3'!C67-'5'!C5)</f>
        <v>1.1406338963750171</v>
      </c>
      <c r="D5" s="19">
        <f>IF(ISBLANK('Raw counts'!D6),"",'3'!D67-'5'!D5)</f>
        <v>2.255266654014048</v>
      </c>
      <c r="E5" s="19">
        <f>IF(ISBLANK('Raw counts'!E6),"",'3'!E67-'5'!E5)</f>
        <v>0.45796166255456416</v>
      </c>
      <c r="F5" s="19">
        <f>IF(ISBLANK('Raw counts'!F6),"",'3'!F67-'5'!F5)</f>
        <v>3.9476181438603035</v>
      </c>
      <c r="G5" s="19">
        <f>IF(ISBLANK('Raw counts'!G6),"",'3'!G67-'5'!G5)</f>
        <v>6.1664452457771972</v>
      </c>
      <c r="H5" s="19">
        <f>IF(ISBLANK('Raw counts'!H6),"",'3'!H67-'5'!H5)</f>
        <v>0</v>
      </c>
      <c r="I5" s="19">
        <f>IF(ISBLANK('Raw counts'!I6),"",'3'!I67-'5'!I5)</f>
        <v>0.19984816853292742</v>
      </c>
      <c r="J5" s="19">
        <f>IF(ISBLANK('Raw counts'!J6),"",'3'!J67-'5'!J5)</f>
        <v>0.19396469918391279</v>
      </c>
      <c r="K5" s="19">
        <f>IF(ISBLANK('Raw counts'!K6),"",'3'!K67-'5'!K5)</f>
        <v>1.2936040994496114</v>
      </c>
      <c r="L5" s="19">
        <f>IF(ISBLANK('Raw counts'!L6),"",'3'!L67-'5'!L5)</f>
        <v>1.4317707344847221</v>
      </c>
      <c r="M5" s="19" t="str">
        <f>IF(ISBLANK('Raw counts'!M6),"",'3'!M67-'5'!M5)</f>
        <v/>
      </c>
      <c r="N5" s="19" t="str">
        <f>IF(ISBLANK('Raw counts'!N6),"",'3'!N67-'5'!N5)</f>
        <v/>
      </c>
      <c r="O5" s="19" t="str">
        <f>IF(ISBLANK('Raw counts'!O6),"",'3'!O67-'5'!O5)</f>
        <v/>
      </c>
      <c r="P5" s="19" t="str">
        <f>IF(ISBLANK('Raw counts'!P6),"",'3'!P67-'5'!P5)</f>
        <v/>
      </c>
      <c r="Q5" s="19" t="str">
        <f>IF(ISBLANK('Raw counts'!Q6),"",'3'!Q67-'5'!Q5)</f>
        <v/>
      </c>
      <c r="R5" s="19" t="str">
        <f>IF(ISBLANK('Raw counts'!R6),"",'3'!R67-'5'!R5)</f>
        <v/>
      </c>
      <c r="S5" s="19" t="str">
        <f>IF(ISBLANK('Raw counts'!S6),"",'3'!S67-'5'!S5)</f>
        <v/>
      </c>
      <c r="T5" s="19" t="str">
        <f>IF(ISBLANK('Raw counts'!T6),"",'3'!T67-'5'!T5)</f>
        <v/>
      </c>
      <c r="U5" s="19" t="str">
        <f>IF(ISBLANK('Raw counts'!U6),"",'3'!U67-'5'!U5)</f>
        <v/>
      </c>
    </row>
    <row r="6" spans="1:22" ht="25.5" x14ac:dyDescent="0.15">
      <c r="A6" s="18" t="str">
        <f>IF(ISBLANK('Raw counts'!A7),"",'Raw counts'!A7)</f>
        <v xml:space="preserve">Doesn't offer newest/latest products                                        </v>
      </c>
      <c r="B6" s="19">
        <f>IF(ISBLANK('Raw counts'!B7),"",'3'!B68-'5'!B6)</f>
        <v>0.78705636743215113</v>
      </c>
      <c r="C6" s="19">
        <f>IF(ISBLANK('Raw counts'!C7),"",'3'!C68-'5'!C6)</f>
        <v>0.41544885177452784</v>
      </c>
      <c r="D6" s="19">
        <f>IF(ISBLANK('Raw counts'!D7),"",'3'!D68-'5'!D6)</f>
        <v>0.63465553235908079</v>
      </c>
      <c r="E6" s="19">
        <f>IF(ISBLANK('Raw counts'!E7),"",'3'!E68-'5'!E6)</f>
        <v>0.15240083507306412</v>
      </c>
      <c r="F6" s="19">
        <f>IF(ISBLANK('Raw counts'!F7),"",'3'!F68-'5'!F6)</f>
        <v>2.1711899791231755</v>
      </c>
      <c r="G6" s="19">
        <f>IF(ISBLANK('Raw counts'!G7),"",'3'!G68-'5'!G6)</f>
        <v>1.7118997912317369</v>
      </c>
      <c r="H6" s="19">
        <f>IF(ISBLANK('Raw counts'!H7),"",'3'!H68-'5'!H6)</f>
        <v>0</v>
      </c>
      <c r="I6" s="19">
        <f>IF(ISBLANK('Raw counts'!I7),"",'3'!I68-'5'!I6)</f>
        <v>0.16910229645093722</v>
      </c>
      <c r="J6" s="19">
        <f>IF(ISBLANK('Raw counts'!J7),"",'3'!J68-'5'!J6)</f>
        <v>1.4718162839248468</v>
      </c>
      <c r="K6" s="19">
        <f>IF(ISBLANK('Raw counts'!K7),"",'3'!K68-'5'!K6)</f>
        <v>0.2484342379958262</v>
      </c>
      <c r="L6" s="19">
        <f>IF(ISBLANK('Raw counts'!L7),"",'3'!L68-'5'!L6)</f>
        <v>5.8121085594989541</v>
      </c>
      <c r="M6" s="19" t="str">
        <f>IF(ISBLANK('Raw counts'!M7),"",'3'!M68-'5'!M6)</f>
        <v/>
      </c>
      <c r="N6" s="19" t="str">
        <f>IF(ISBLANK('Raw counts'!N7),"",'3'!N68-'5'!N6)</f>
        <v/>
      </c>
      <c r="O6" s="19" t="str">
        <f>IF(ISBLANK('Raw counts'!O7),"",'3'!O68-'5'!O6)</f>
        <v/>
      </c>
      <c r="P6" s="19" t="str">
        <f>IF(ISBLANK('Raw counts'!P7),"",'3'!P68-'5'!P6)</f>
        <v/>
      </c>
      <c r="Q6" s="19" t="str">
        <f>IF(ISBLANK('Raw counts'!Q7),"",'3'!Q68-'5'!Q6)</f>
        <v/>
      </c>
      <c r="R6" s="19" t="str">
        <f>IF(ISBLANK('Raw counts'!R7),"",'3'!R68-'5'!R6)</f>
        <v/>
      </c>
      <c r="S6" s="19" t="str">
        <f>IF(ISBLANK('Raw counts'!S7),"",'3'!S68-'5'!S6)</f>
        <v/>
      </c>
      <c r="T6" s="19" t="str">
        <f>IF(ISBLANK('Raw counts'!T7),"",'3'!T68-'5'!T6)</f>
        <v/>
      </c>
      <c r="U6" s="19" t="str">
        <f>IF(ISBLANK('Raw counts'!U7),"",'3'!U68-'5'!U6)</f>
        <v/>
      </c>
    </row>
    <row r="7" spans="1:22" ht="25.5" x14ac:dyDescent="0.15">
      <c r="A7" s="18" t="str">
        <f>IF(ISBLANK('Raw counts'!A8),"",'Raw counts'!A8)</f>
        <v xml:space="preserve">Brand not carried in the store/online                                       </v>
      </c>
      <c r="B7" s="19">
        <f>IF(ISBLANK('Raw counts'!B8),"",'3'!B69-'5'!B7)</f>
        <v>1.3089770354906101</v>
      </c>
      <c r="C7" s="19">
        <f>IF(ISBLANK('Raw counts'!C8),"",'3'!C69-'5'!C7)</f>
        <v>0.35604479028278657</v>
      </c>
      <c r="D7" s="19">
        <f>IF(ISBLANK('Raw counts'!D8),"",'3'!D69-'5'!D7)</f>
        <v>5.7506168153349968E-2</v>
      </c>
      <c r="E7" s="19">
        <f>IF(ISBLANK('Raw counts'!E8),"",'3'!E69-'5'!E7)</f>
        <v>1.609793129626115</v>
      </c>
      <c r="F7" s="19">
        <f>IF(ISBLANK('Raw counts'!F8),"",'3'!F69-'5'!F7)</f>
        <v>11.248054659328133</v>
      </c>
      <c r="G7" s="19">
        <f>IF(ISBLANK('Raw counts'!G8),"",'3'!G69-'5'!G7)</f>
        <v>2.4587208198899271</v>
      </c>
      <c r="H7" s="19">
        <f>IF(ISBLANK('Raw counts'!H8),"",'3'!H69-'5'!H7)</f>
        <v>0</v>
      </c>
      <c r="I7" s="19">
        <f>IF(ISBLANK('Raw counts'!I8),"",'3'!I69-'5'!I7)</f>
        <v>0.44486619851964271</v>
      </c>
      <c r="J7" s="19">
        <f>IF(ISBLANK('Raw counts'!J8),"",'3'!J69-'5'!J7)</f>
        <v>0.53653444676408579</v>
      </c>
      <c r="K7" s="19">
        <f>IF(ISBLANK('Raw counts'!K8),"",'3'!K69-'5'!K7)</f>
        <v>3.1320933763522554</v>
      </c>
      <c r="L7" s="19">
        <f>IF(ISBLANK('Raw counts'!L8),"",'3'!L69-'5'!L7)</f>
        <v>3.3213133421901908E-2</v>
      </c>
      <c r="M7" s="19" t="str">
        <f>IF(ISBLANK('Raw counts'!M8),"",'3'!M69-'5'!M7)</f>
        <v/>
      </c>
      <c r="N7" s="19" t="str">
        <f>IF(ISBLANK('Raw counts'!N8),"",'3'!N69-'5'!N7)</f>
        <v/>
      </c>
      <c r="O7" s="19" t="str">
        <f>IF(ISBLANK('Raw counts'!O8),"",'3'!O69-'5'!O7)</f>
        <v/>
      </c>
      <c r="P7" s="19" t="str">
        <f>IF(ISBLANK('Raw counts'!P8),"",'3'!P69-'5'!P7)</f>
        <v/>
      </c>
      <c r="Q7" s="19" t="str">
        <f>IF(ISBLANK('Raw counts'!Q8),"",'3'!Q69-'5'!Q7)</f>
        <v/>
      </c>
      <c r="R7" s="19" t="str">
        <f>IF(ISBLANK('Raw counts'!R8),"",'3'!R69-'5'!R7)</f>
        <v/>
      </c>
      <c r="S7" s="19" t="str">
        <f>IF(ISBLANK('Raw counts'!S8),"",'3'!S69-'5'!S7)</f>
        <v/>
      </c>
      <c r="T7" s="19" t="str">
        <f>IF(ISBLANK('Raw counts'!T8),"",'3'!T69-'5'!T7)</f>
        <v/>
      </c>
      <c r="U7" s="19" t="str">
        <f>IF(ISBLANK('Raw counts'!U8),"",'3'!U69-'5'!U7)</f>
        <v/>
      </c>
    </row>
    <row r="8" spans="1:22" ht="25.5" x14ac:dyDescent="0.15">
      <c r="A8" s="18" t="str">
        <f>IF(ISBLANK('Raw counts'!A9),"",'Raw counts'!A9)</f>
        <v xml:space="preserve">Often out of stock                                                          </v>
      </c>
      <c r="B8" s="19">
        <f>IF(ISBLANK('Raw counts'!B9),"",'3'!B70-'5'!B8)</f>
        <v>1.0814196242171192</v>
      </c>
      <c r="C8" s="19">
        <f>IF(ISBLANK('Raw counts'!C9),"",'3'!C70-'5'!C8)</f>
        <v>0.51489846270639106</v>
      </c>
      <c r="D8" s="19">
        <f>IF(ISBLANK('Raw counts'!D9),"",'3'!D70-'5'!D8)</f>
        <v>0.16530650977415018</v>
      </c>
      <c r="E8" s="19">
        <f>IF(ISBLANK('Raw counts'!E9),"",'3'!E70-'5'!E8)</f>
        <v>1.9212374264566332</v>
      </c>
      <c r="F8" s="19">
        <f>IF(ISBLANK('Raw counts'!F9),"",'3'!F70-'5'!F8)</f>
        <v>0</v>
      </c>
      <c r="G8" s="19">
        <f>IF(ISBLANK('Raw counts'!G9),"",'3'!G70-'5'!G8)</f>
        <v>2.0854052002277541</v>
      </c>
      <c r="H8" s="19">
        <f>IF(ISBLANK('Raw counts'!H9),"",'3'!H70-'5'!H8)</f>
        <v>0.22793698994117051</v>
      </c>
      <c r="I8" s="19">
        <f>IF(ISBLANK('Raw counts'!I9),"",'3'!I70-'5'!I8)</f>
        <v>5.2083886885556971</v>
      </c>
      <c r="J8" s="19">
        <f>IF(ISBLANK('Raw counts'!J9),"",'3'!J70-'5'!J8)</f>
        <v>4.8586069462892567E-2</v>
      </c>
      <c r="K8" s="19">
        <f>IF(ISBLANK('Raw counts'!K9),"",'3'!K70-'5'!K8)</f>
        <v>0.37540330233440944</v>
      </c>
      <c r="L8" s="19">
        <f>IF(ISBLANK('Raw counts'!L9),"",'3'!L70-'5'!L8)</f>
        <v>2.9796925412790998E-2</v>
      </c>
      <c r="M8" s="19" t="str">
        <f>IF(ISBLANK('Raw counts'!M9),"",'3'!M70-'5'!M8)</f>
        <v/>
      </c>
      <c r="N8" s="19" t="str">
        <f>IF(ISBLANK('Raw counts'!N9),"",'3'!N70-'5'!N8)</f>
        <v/>
      </c>
      <c r="O8" s="19" t="str">
        <f>IF(ISBLANK('Raw counts'!O9),"",'3'!O70-'5'!O8)</f>
        <v/>
      </c>
      <c r="P8" s="19" t="str">
        <f>IF(ISBLANK('Raw counts'!P9),"",'3'!P70-'5'!P8)</f>
        <v/>
      </c>
      <c r="Q8" s="19" t="str">
        <f>IF(ISBLANK('Raw counts'!Q9),"",'3'!Q70-'5'!Q8)</f>
        <v/>
      </c>
      <c r="R8" s="19" t="str">
        <f>IF(ISBLANK('Raw counts'!R9),"",'3'!R70-'5'!R8)</f>
        <v/>
      </c>
      <c r="S8" s="19" t="str">
        <f>IF(ISBLANK('Raw counts'!S9),"",'3'!S70-'5'!S8)</f>
        <v/>
      </c>
      <c r="T8" s="19" t="str">
        <f>IF(ISBLANK('Raw counts'!T9),"",'3'!T70-'5'!T8)</f>
        <v/>
      </c>
      <c r="U8" s="19" t="str">
        <f>IF(ISBLANK('Raw counts'!U9),"",'3'!U70-'5'!U8)</f>
        <v/>
      </c>
    </row>
    <row r="9" spans="1:22" ht="38.25" x14ac:dyDescent="0.15">
      <c r="A9" s="18" t="str">
        <f>IF(ISBLANK('Raw counts'!A10),"",'Raw counts'!A10)</f>
        <v xml:space="preserve">Hard to find the brand in the store                                         </v>
      </c>
      <c r="B9" s="19">
        <f>IF(ISBLANK('Raw counts'!B10),"",'3'!B71-'5'!B9)</f>
        <v>3.3061301954830142</v>
      </c>
      <c r="C9" s="19">
        <f>IF(ISBLANK('Raw counts'!C10),"",'3'!C71-'5'!C9)</f>
        <v>1.1793509204782646</v>
      </c>
      <c r="D9" s="19">
        <f>IF(ISBLANK('Raw counts'!D10),"",'3'!D71-'5'!D9)</f>
        <v>8.7303093566175605E-3</v>
      </c>
      <c r="E9" s="19">
        <f>IF(ISBLANK('Raw counts'!E10),"",'3'!E71-'5'!E9)</f>
        <v>1.3268172328715133</v>
      </c>
      <c r="F9" s="19">
        <f>IF(ISBLANK('Raw counts'!F10),"",'3'!F71-'5'!F9)</f>
        <v>3.8018599354716187</v>
      </c>
      <c r="G9" s="19">
        <f>IF(ISBLANK('Raw counts'!G10),"",'3'!G71-'5'!G9)</f>
        <v>0.8128677168343188</v>
      </c>
      <c r="H9" s="19">
        <f>IF(ISBLANK('Raw counts'!H10),"",'3'!H71-'5'!H9)</f>
        <v>0</v>
      </c>
      <c r="I9" s="19">
        <f>IF(ISBLANK('Raw counts'!I10),"",'3'!I71-'5'!I9)</f>
        <v>0.38622129436325547</v>
      </c>
      <c r="J9" s="19">
        <f>IF(ISBLANK('Raw counts'!J10),"",'3'!J71-'5'!J9)</f>
        <v>9.8690453596521621E-3</v>
      </c>
      <c r="K9" s="19">
        <f>IF(ISBLANK('Raw counts'!K10),"",'3'!K71-'5'!K9)</f>
        <v>0.76276333270070396</v>
      </c>
      <c r="L9" s="19">
        <f>IF(ISBLANK('Raw counts'!L10),"",'3'!L71-'5'!L9)</f>
        <v>0.96906433858417707</v>
      </c>
      <c r="M9" s="19" t="str">
        <f>IF(ISBLANK('Raw counts'!M10),"",'3'!M71-'5'!M9)</f>
        <v/>
      </c>
      <c r="N9" s="19" t="str">
        <f>IF(ISBLANK('Raw counts'!N10),"",'3'!N71-'5'!N9)</f>
        <v/>
      </c>
      <c r="O9" s="19" t="str">
        <f>IF(ISBLANK('Raw counts'!O10),"",'3'!O71-'5'!O9)</f>
        <v/>
      </c>
      <c r="P9" s="19" t="str">
        <f>IF(ISBLANK('Raw counts'!P10),"",'3'!P71-'5'!P9)</f>
        <v/>
      </c>
      <c r="Q9" s="19" t="str">
        <f>IF(ISBLANK('Raw counts'!Q10),"",'3'!Q71-'5'!Q9)</f>
        <v/>
      </c>
      <c r="R9" s="19" t="str">
        <f>IF(ISBLANK('Raw counts'!R10),"",'3'!R71-'5'!R9)</f>
        <v/>
      </c>
      <c r="S9" s="19" t="str">
        <f>IF(ISBLANK('Raw counts'!S10),"",'3'!S71-'5'!S9)</f>
        <v/>
      </c>
      <c r="T9" s="19" t="str">
        <f>IF(ISBLANK('Raw counts'!T10),"",'3'!T71-'5'!T9)</f>
        <v/>
      </c>
      <c r="U9" s="19" t="str">
        <f>IF(ISBLANK('Raw counts'!U10),"",'3'!U71-'5'!U9)</f>
        <v/>
      </c>
    </row>
    <row r="10" spans="1:22" ht="25.5" x14ac:dyDescent="0.15">
      <c r="A10" s="18" t="str">
        <f>IF(ISBLANK('Raw counts'!A11),"",'Raw counts'!A11)</f>
        <v xml:space="preserve">Hard to find the brand online                                               </v>
      </c>
      <c r="B10" s="19">
        <f>IF(ISBLANK('Raw counts'!B11),"",'3'!B72-'5'!B10)</f>
        <v>0.72442588726514145</v>
      </c>
      <c r="C10" s="19">
        <f>IF(ISBLANK('Raw counts'!C11),"",'3'!C72-'5'!C10)</f>
        <v>2.8622129436325627</v>
      </c>
      <c r="D10" s="19">
        <f>IF(ISBLANK('Raw counts'!D11),"",'3'!D72-'5'!D10)</f>
        <v>5.2192066805845094E-2</v>
      </c>
      <c r="E10" s="19">
        <f>IF(ISBLANK('Raw counts'!E11),"",'3'!E72-'5'!E10)</f>
        <v>1.1002087682672217</v>
      </c>
      <c r="F10" s="19">
        <f>IF(ISBLANK('Raw counts'!F11),"",'3'!F72-'5'!F10)</f>
        <v>0</v>
      </c>
      <c r="G10" s="19">
        <f>IF(ISBLANK('Raw counts'!G11),"",'3'!G72-'5'!G10)</f>
        <v>11.901878914405017</v>
      </c>
      <c r="H10" s="19">
        <f>IF(ISBLANK('Raw counts'!H11),"",'3'!H72-'5'!H10)</f>
        <v>0.9728601252609641</v>
      </c>
      <c r="I10" s="19">
        <f>IF(ISBLANK('Raw counts'!I11),"",'3'!I72-'5'!I10)</f>
        <v>0.45929018789143417</v>
      </c>
      <c r="J10" s="19">
        <f>IF(ISBLANK('Raw counts'!J11),"",'3'!J72-'5'!J10)</f>
        <v>3.9665970772442272E-2</v>
      </c>
      <c r="K10" s="19">
        <f>IF(ISBLANK('Raw counts'!K11),"",'3'!K72-'5'!K10)</f>
        <v>0.63883089770354573</v>
      </c>
      <c r="L10" s="19">
        <f>IF(ISBLANK('Raw counts'!L11),"",'3'!L72-'5'!L10)</f>
        <v>0.49686847599164885</v>
      </c>
      <c r="M10" s="19" t="str">
        <f>IF(ISBLANK('Raw counts'!M11),"",'3'!M72-'5'!M10)</f>
        <v/>
      </c>
      <c r="N10" s="19" t="str">
        <f>IF(ISBLANK('Raw counts'!N11),"",'3'!N72-'5'!N10)</f>
        <v/>
      </c>
      <c r="O10" s="19" t="str">
        <f>IF(ISBLANK('Raw counts'!O11),"",'3'!O72-'5'!O10)</f>
        <v/>
      </c>
      <c r="P10" s="19" t="str">
        <f>IF(ISBLANK('Raw counts'!P11),"",'3'!P72-'5'!P10)</f>
        <v/>
      </c>
      <c r="Q10" s="19" t="str">
        <f>IF(ISBLANK('Raw counts'!Q11),"",'3'!Q72-'5'!Q10)</f>
        <v/>
      </c>
      <c r="R10" s="19" t="str">
        <f>IF(ISBLANK('Raw counts'!R11),"",'3'!R72-'5'!R10)</f>
        <v/>
      </c>
      <c r="S10" s="19" t="str">
        <f>IF(ISBLANK('Raw counts'!S11),"",'3'!S72-'5'!S10)</f>
        <v/>
      </c>
      <c r="T10" s="19" t="str">
        <f>IF(ISBLANK('Raw counts'!T11),"",'3'!T72-'5'!T10)</f>
        <v/>
      </c>
      <c r="U10" s="19" t="str">
        <f>IF(ISBLANK('Raw counts'!U11),"",'3'!U72-'5'!U10)</f>
        <v/>
      </c>
    </row>
    <row r="11" spans="1:22" ht="25.5" x14ac:dyDescent="0.15">
      <c r="A11" s="18" t="str">
        <f>IF(ISBLANK('Raw counts'!A12),"",'Raw counts'!A12)</f>
        <v xml:space="preserve">Difficult to determine which product is right for me                        </v>
      </c>
      <c r="B11" s="19">
        <f>IF(ISBLANK('Raw counts'!B12),"",'3'!B73-'5'!B11)</f>
        <v>1.1861833364964953</v>
      </c>
      <c r="C11" s="19">
        <f>IF(ISBLANK('Raw counts'!C12),"",'3'!C73-'5'!C11)</f>
        <v>10.260770544695376</v>
      </c>
      <c r="D11" s="19">
        <f>IF(ISBLANK('Raw counts'!D12),"",'3'!D73-'5'!D11)</f>
        <v>0.53577528942873709</v>
      </c>
      <c r="E11" s="19">
        <f>IF(ISBLANK('Raw counts'!E12),"",'3'!E73-'5'!E11)</f>
        <v>1.0808502562155997</v>
      </c>
      <c r="F11" s="19">
        <f>IF(ISBLANK('Raw counts'!F12),"",'3'!F73-'5'!F11)</f>
        <v>6.4479028278610642</v>
      </c>
      <c r="G11" s="19">
        <f>IF(ISBLANK('Raw counts'!G12),"",'3'!G73-'5'!G11)</f>
        <v>0.13057506168153843</v>
      </c>
      <c r="H11" s="19">
        <f>IF(ISBLANK('Raw counts'!H12),"",'3'!H73-'5'!H11)</f>
        <v>0</v>
      </c>
      <c r="I11" s="19">
        <f>IF(ISBLANK('Raw counts'!I12),"",'3'!I73-'5'!I11)</f>
        <v>1.6439552097172072</v>
      </c>
      <c r="J11" s="19">
        <f>IF(ISBLANK('Raw counts'!J12),"",'3'!J73-'5'!J11)</f>
        <v>0.41658758777756688</v>
      </c>
      <c r="K11" s="19">
        <f>IF(ISBLANK('Raw counts'!K12),"",'3'!K73-'5'!K11)</f>
        <v>0.45302713987473986</v>
      </c>
      <c r="L11" s="19">
        <f>IF(ISBLANK('Raw counts'!L12),"",'3'!L73-'5'!L11)</f>
        <v>0.58037578288100278</v>
      </c>
      <c r="M11" s="19" t="str">
        <f>IF(ISBLANK('Raw counts'!M12),"",'3'!M73-'5'!M11)</f>
        <v/>
      </c>
      <c r="N11" s="19" t="str">
        <f>IF(ISBLANK('Raw counts'!N12),"",'3'!N73-'5'!N11)</f>
        <v/>
      </c>
      <c r="O11" s="19" t="str">
        <f>IF(ISBLANK('Raw counts'!O12),"",'3'!O73-'5'!O11)</f>
        <v/>
      </c>
      <c r="P11" s="19" t="str">
        <f>IF(ISBLANK('Raw counts'!P12),"",'3'!P73-'5'!P11)</f>
        <v/>
      </c>
      <c r="Q11" s="19" t="str">
        <f>IF(ISBLANK('Raw counts'!Q12),"",'3'!Q73-'5'!Q11)</f>
        <v/>
      </c>
      <c r="R11" s="19" t="str">
        <f>IF(ISBLANK('Raw counts'!R12),"",'3'!R73-'5'!R11)</f>
        <v/>
      </c>
      <c r="S11" s="19" t="str">
        <f>IF(ISBLANK('Raw counts'!S12),"",'3'!S73-'5'!S11)</f>
        <v/>
      </c>
      <c r="T11" s="19" t="str">
        <f>IF(ISBLANK('Raw counts'!T12),"",'3'!T73-'5'!T11)</f>
        <v/>
      </c>
      <c r="U11" s="19" t="str">
        <f>IF(ISBLANK('Raw counts'!U12),"",'3'!U73-'5'!U11)</f>
        <v/>
      </c>
    </row>
    <row r="12" spans="1:22" ht="25.5" x14ac:dyDescent="0.15">
      <c r="A12" s="18" t="str">
        <f>IF(ISBLANK('Raw counts'!A13),"",'Raw counts'!A13)</f>
        <v xml:space="preserve">Costs more than other brands                                                </v>
      </c>
      <c r="B12" s="19">
        <f>IF(ISBLANK('Raw counts'!B13),"",'3'!B74-'5'!B12)</f>
        <v>2.9218067944581492</v>
      </c>
      <c r="C12" s="19">
        <f>IF(ISBLANK('Raw counts'!C13),"",'3'!C74-'5'!C12)</f>
        <v>0</v>
      </c>
      <c r="D12" s="19">
        <f>IF(ISBLANK('Raw counts'!D13),"",'3'!D74-'5'!D12)</f>
        <v>0.5642436895046492</v>
      </c>
      <c r="E12" s="19">
        <f>IF(ISBLANK('Raw counts'!E13),"",'3'!E74-'5'!E12)</f>
        <v>0.44372746251660722</v>
      </c>
      <c r="F12" s="19">
        <f>IF(ISBLANK('Raw counts'!F13),"",'3'!F74-'5'!F12)</f>
        <v>3.2241412032643737</v>
      </c>
      <c r="G12" s="19">
        <f>IF(ISBLANK('Raw counts'!G13),"",'3'!G74-'5'!G12)</f>
        <v>2.6933004365154742</v>
      </c>
      <c r="H12" s="19">
        <f>IF(ISBLANK('Raw counts'!H13),"",'3'!H74-'5'!H12)</f>
        <v>27.481115961282974</v>
      </c>
      <c r="I12" s="19">
        <f>IF(ISBLANK('Raw counts'!I13),"",'3'!I74-'5'!I12)</f>
        <v>0.49800721199468434</v>
      </c>
      <c r="J12" s="19">
        <f>IF(ISBLANK('Raw counts'!J13),"",'3'!J74-'5'!J12)</f>
        <v>3.1558170430821804</v>
      </c>
      <c r="K12" s="19">
        <f>IF(ISBLANK('Raw counts'!K13),"",'3'!K74-'5'!K12)</f>
        <v>4.1573353577528991</v>
      </c>
      <c r="L12" s="19">
        <f>IF(ISBLANK('Raw counts'!L13),"",'3'!L74-'5'!L12)</f>
        <v>0.73903966597077364</v>
      </c>
      <c r="M12" s="19" t="str">
        <f>IF(ISBLANK('Raw counts'!M13),"",'3'!M74-'5'!M12)</f>
        <v/>
      </c>
      <c r="N12" s="19" t="str">
        <f>IF(ISBLANK('Raw counts'!N13),"",'3'!N74-'5'!N12)</f>
        <v/>
      </c>
      <c r="O12" s="19" t="str">
        <f>IF(ISBLANK('Raw counts'!O13),"",'3'!O74-'5'!O12)</f>
        <v/>
      </c>
      <c r="P12" s="19" t="str">
        <f>IF(ISBLANK('Raw counts'!P13),"",'3'!P74-'5'!P12)</f>
        <v/>
      </c>
      <c r="Q12" s="19" t="str">
        <f>IF(ISBLANK('Raw counts'!Q13),"",'3'!Q74-'5'!Q12)</f>
        <v/>
      </c>
      <c r="R12" s="19" t="str">
        <f>IF(ISBLANK('Raw counts'!R13),"",'3'!R74-'5'!R12)</f>
        <v/>
      </c>
      <c r="S12" s="19" t="str">
        <f>IF(ISBLANK('Raw counts'!S13),"",'3'!S74-'5'!S12)</f>
        <v/>
      </c>
      <c r="T12" s="19" t="str">
        <f>IF(ISBLANK('Raw counts'!T13),"",'3'!T74-'5'!T12)</f>
        <v/>
      </c>
      <c r="U12" s="19" t="str">
        <f>IF(ISBLANK('Raw counts'!U13),"",'3'!U74-'5'!U12)</f>
        <v/>
      </c>
    </row>
    <row r="13" spans="1:22" ht="38.25" x14ac:dyDescent="0.15">
      <c r="A13" s="18" t="str">
        <f>IF(ISBLANK('Raw counts'!A14),"",'Raw counts'!A14)</f>
        <v xml:space="preserve">Costs more than I'm willing to pay                                          </v>
      </c>
      <c r="B13" s="19">
        <f>IF(ISBLANK('Raw counts'!B14),"",'3'!B75-'5'!B13)</f>
        <v>1.6242171189979153</v>
      </c>
      <c r="C13" s="19">
        <f>IF(ISBLANK('Raw counts'!C14),"",'3'!C75-'5'!C13)</f>
        <v>0.50389068134370785</v>
      </c>
      <c r="D13" s="19">
        <f>IF(ISBLANK('Raw counts'!D14),"",'3'!D75-'5'!D13)</f>
        <v>1.0552286961472754</v>
      </c>
      <c r="E13" s="19">
        <f>IF(ISBLANK('Raw counts'!E14),"",'3'!E75-'5'!E13)</f>
        <v>1.5686088441829513</v>
      </c>
      <c r="F13" s="19">
        <f>IF(ISBLANK('Raw counts'!F14),"",'3'!F75-'5'!F13)</f>
        <v>0.85310305560826549</v>
      </c>
      <c r="G13" s="19">
        <f>IF(ISBLANK('Raw counts'!G14),"",'3'!G75-'5'!G13)</f>
        <v>9.2996773581388581E-3</v>
      </c>
      <c r="H13" s="19">
        <f>IF(ISBLANK('Raw counts'!H14),"",'3'!H75-'5'!H13)</f>
        <v>2.5353957107610627</v>
      </c>
      <c r="I13" s="19">
        <f>IF(ISBLANK('Raw counts'!I14),"",'3'!I75-'5'!I13)</f>
        <v>0</v>
      </c>
      <c r="J13" s="19">
        <f>IF(ISBLANK('Raw counts'!J14),"",'3'!J75-'5'!J13)</f>
        <v>0.56367432150312702</v>
      </c>
      <c r="K13" s="19">
        <f>IF(ISBLANK('Raw counts'!K14),"",'3'!K75-'5'!K13)</f>
        <v>1.6272537483393457</v>
      </c>
      <c r="L13" s="19">
        <f>IF(ISBLANK('Raw counts'!L14),"",'3'!L75-'5'!L13)</f>
        <v>0.36933004365154787</v>
      </c>
      <c r="M13" s="19" t="str">
        <f>IF(ISBLANK('Raw counts'!M14),"",'3'!M75-'5'!M13)</f>
        <v/>
      </c>
      <c r="N13" s="19" t="str">
        <f>IF(ISBLANK('Raw counts'!N14),"",'3'!N75-'5'!N13)</f>
        <v/>
      </c>
      <c r="O13" s="19" t="str">
        <f>IF(ISBLANK('Raw counts'!O14),"",'3'!O75-'5'!O13)</f>
        <v/>
      </c>
      <c r="P13" s="19" t="str">
        <f>IF(ISBLANK('Raw counts'!P14),"",'3'!P75-'5'!P13)</f>
        <v/>
      </c>
      <c r="Q13" s="19" t="str">
        <f>IF(ISBLANK('Raw counts'!Q14),"",'3'!Q75-'5'!Q13)</f>
        <v/>
      </c>
      <c r="R13" s="19" t="str">
        <f>IF(ISBLANK('Raw counts'!R14),"",'3'!R75-'5'!R13)</f>
        <v/>
      </c>
      <c r="S13" s="19" t="str">
        <f>IF(ISBLANK('Raw counts'!S14),"",'3'!S75-'5'!S13)</f>
        <v/>
      </c>
      <c r="T13" s="19" t="str">
        <f>IF(ISBLANK('Raw counts'!T14),"",'3'!T75-'5'!T13)</f>
        <v/>
      </c>
      <c r="U13" s="19" t="str">
        <f>IF(ISBLANK('Raw counts'!U14),"",'3'!U75-'5'!U13)</f>
        <v/>
      </c>
    </row>
    <row r="14" spans="1:22" x14ac:dyDescent="0.15">
      <c r="A14" s="18" t="str">
        <f>IF(ISBLANK('Raw counts'!A15),"",'Raw counts'!A15)</f>
        <v xml:space="preserve">Not enough promotions, discounts or coupons                                 </v>
      </c>
      <c r="B14" s="19">
        <f>IF(ISBLANK('Raw counts'!B15),"",'3'!B76-'5'!B14)</f>
        <v>0.63123932434998409</v>
      </c>
      <c r="C14" s="19">
        <f>IF(ISBLANK('Raw counts'!C15),"",'3'!C76-'5'!C14)</f>
        <v>0</v>
      </c>
      <c r="D14" s="19">
        <f>IF(ISBLANK('Raw counts'!D15),"",'3'!D76-'5'!D14)</f>
        <v>0.10381476561017244</v>
      </c>
      <c r="E14" s="19">
        <f>IF(ISBLANK('Raw counts'!E15),"",'3'!E76-'5'!E14)</f>
        <v>3.2806984247485271</v>
      </c>
      <c r="F14" s="19">
        <f>IF(ISBLANK('Raw counts'!F15),"",'3'!F76-'5'!F14)</f>
        <v>3.9702030745872054</v>
      </c>
      <c r="G14" s="19">
        <f>IF(ISBLANK('Raw counts'!G15),"",'3'!G76-'5'!G14)</f>
        <v>1.7151262099069982</v>
      </c>
      <c r="H14" s="19">
        <f>IF(ISBLANK('Raw counts'!H15),"",'3'!H76-'5'!H14)</f>
        <v>5.5490605427974913</v>
      </c>
      <c r="I14" s="19">
        <f>IF(ISBLANK('Raw counts'!I15),"",'3'!I76-'5'!I14)</f>
        <v>0.67109508445625288</v>
      </c>
      <c r="J14" s="19">
        <f>IF(ISBLANK('Raw counts'!J15),"",'3'!J76-'5'!J14)</f>
        <v>1.3222622888593669</v>
      </c>
      <c r="K14" s="19">
        <f>IF(ISBLANK('Raw counts'!K15),"",'3'!K76-'5'!K14)</f>
        <v>7.2059214272157988</v>
      </c>
      <c r="L14" s="19">
        <f>IF(ISBLANK('Raw counts'!L15),"",'3'!L76-'5'!L14)</f>
        <v>0.2649459100398559</v>
      </c>
      <c r="M14" s="19" t="str">
        <f>IF(ISBLANK('Raw counts'!M15),"",'3'!M76-'5'!M14)</f>
        <v/>
      </c>
      <c r="N14" s="19" t="str">
        <f>IF(ISBLANK('Raw counts'!N15),"",'3'!N76-'5'!N14)</f>
        <v/>
      </c>
      <c r="O14" s="19" t="str">
        <f>IF(ISBLANK('Raw counts'!O15),"",'3'!O76-'5'!O14)</f>
        <v/>
      </c>
      <c r="P14" s="19" t="str">
        <f>IF(ISBLANK('Raw counts'!P15),"",'3'!P76-'5'!P14)</f>
        <v/>
      </c>
      <c r="Q14" s="19" t="str">
        <f>IF(ISBLANK('Raw counts'!Q15),"",'3'!Q76-'5'!Q14)</f>
        <v/>
      </c>
      <c r="R14" s="19" t="str">
        <f>IF(ISBLANK('Raw counts'!R15),"",'3'!R76-'5'!R14)</f>
        <v/>
      </c>
      <c r="S14" s="19" t="str">
        <f>IF(ISBLANK('Raw counts'!S15),"",'3'!S76-'5'!S14)</f>
        <v/>
      </c>
      <c r="T14" s="19" t="str">
        <f>IF(ISBLANK('Raw counts'!T15),"",'3'!T76-'5'!T14)</f>
        <v/>
      </c>
      <c r="U14" s="19" t="str">
        <f>IF(ISBLANK('Raw counts'!U15),"",'3'!U76-'5'!U14)</f>
        <v/>
      </c>
    </row>
    <row r="15" spans="1:22" x14ac:dyDescent="0.15">
      <c r="A15" s="18" t="str">
        <f>IF(ISBLANK('Raw counts'!A16),"",'Raw counts'!A16)</f>
        <v xml:space="preserve">Other brands offer more promotions, discounts or coupons                    </v>
      </c>
      <c r="B15" s="19">
        <f>IF(ISBLANK('Raw counts'!B16),"",'3'!B77-'5'!B15)</f>
        <v>2.9447713038527272</v>
      </c>
      <c r="C15" s="19">
        <f>IF(ISBLANK('Raw counts'!C16),"",'3'!C77-'5'!C15)</f>
        <v>6.4659328145758153</v>
      </c>
      <c r="D15" s="19">
        <f>IF(ISBLANK('Raw counts'!D16),"",'3'!D77-'5'!D15)</f>
        <v>0.24387929398367802</v>
      </c>
      <c r="E15" s="19">
        <f>IF(ISBLANK('Raw counts'!E16),"",'3'!E77-'5'!E15)</f>
        <v>0</v>
      </c>
      <c r="F15" s="19">
        <f>IF(ISBLANK('Raw counts'!F16),"",'3'!F77-'5'!F15)</f>
        <v>1.1594230404251267</v>
      </c>
      <c r="G15" s="19">
        <f>IF(ISBLANK('Raw counts'!G16),"",'3'!G77-'5'!G15)</f>
        <v>4.5929018789145459E-2</v>
      </c>
      <c r="H15" s="19">
        <f>IF(ISBLANK('Raw counts'!H16),"",'3'!H77-'5'!H15)</f>
        <v>0.55855000948946731</v>
      </c>
      <c r="I15" s="19">
        <f>IF(ISBLANK('Raw counts'!I16),"",'3'!I77-'5'!I15)</f>
        <v>0.16834313911558318</v>
      </c>
      <c r="J15" s="19">
        <f>IF(ISBLANK('Raw counts'!J16),"",'3'!J77-'5'!J15)</f>
        <v>0.91383564243689275</v>
      </c>
      <c r="K15" s="19">
        <f>IF(ISBLANK('Raw counts'!K16),"",'3'!K77-'5'!K15)</f>
        <v>1.9707724425887259</v>
      </c>
      <c r="L15" s="19">
        <f>IF(ISBLANK('Raw counts'!L16),"",'3'!L77-'5'!L15)</f>
        <v>0.42512810780034194</v>
      </c>
      <c r="M15" s="19" t="str">
        <f>IF(ISBLANK('Raw counts'!M16),"",'3'!M77-'5'!M15)</f>
        <v/>
      </c>
      <c r="N15" s="19" t="str">
        <f>IF(ISBLANK('Raw counts'!N16),"",'3'!N77-'5'!N15)</f>
        <v/>
      </c>
      <c r="O15" s="19" t="str">
        <f>IF(ISBLANK('Raw counts'!O16),"",'3'!O77-'5'!O15)</f>
        <v/>
      </c>
      <c r="P15" s="19" t="str">
        <f>IF(ISBLANK('Raw counts'!P16),"",'3'!P77-'5'!P15)</f>
        <v/>
      </c>
      <c r="Q15" s="19" t="str">
        <f>IF(ISBLANK('Raw counts'!Q16),"",'3'!Q77-'5'!Q15)</f>
        <v/>
      </c>
      <c r="R15" s="19" t="str">
        <f>IF(ISBLANK('Raw counts'!R16),"",'3'!R77-'5'!R15)</f>
        <v/>
      </c>
      <c r="S15" s="19" t="str">
        <f>IF(ISBLANK('Raw counts'!S16),"",'3'!S77-'5'!S15)</f>
        <v/>
      </c>
      <c r="T15" s="19" t="str">
        <f>IF(ISBLANK('Raw counts'!T16),"",'3'!T77-'5'!T15)</f>
        <v/>
      </c>
      <c r="U15" s="19" t="str">
        <f>IF(ISBLANK('Raw counts'!U16),"",'3'!U77-'5'!U15)</f>
        <v/>
      </c>
    </row>
    <row r="16" spans="1:22" x14ac:dyDescent="0.15">
      <c r="A16" s="18" t="str">
        <f>IF(ISBLANK('Raw counts'!A17),"",'Raw counts'!A17)</f>
        <v xml:space="preserve">Other brands have more shopper or loyalty card offers                       </v>
      </c>
      <c r="B16" s="19">
        <f>IF(ISBLANK('Raw counts'!B17),"",'3'!B78-'5'!B16)</f>
        <v>1.0278990320744006</v>
      </c>
      <c r="C16" s="19">
        <f>IF(ISBLANK('Raw counts'!C17),"",'3'!C78-'5'!C16)</f>
        <v>1.0404251281077972</v>
      </c>
      <c r="D16" s="19">
        <f>IF(ISBLANK('Raw counts'!D17),"",'3'!D78-'5'!D16)</f>
        <v>2.4596697665591192</v>
      </c>
      <c r="E16" s="19">
        <f>IF(ISBLANK('Raw counts'!E17),"",'3'!E78-'5'!E16)</f>
        <v>0.15771493642057344</v>
      </c>
      <c r="F16" s="19">
        <f>IF(ISBLANK('Raw counts'!F17),"",'3'!F78-'5'!F16)</f>
        <v>0.49819700132852063</v>
      </c>
      <c r="G16" s="19">
        <f>IF(ISBLANK('Raw counts'!G17),"",'3'!G78-'5'!G16)</f>
        <v>0</v>
      </c>
      <c r="H16" s="19">
        <f>IF(ISBLANK('Raw counts'!H17),"",'3'!H78-'5'!H16)</f>
        <v>1.2169292085784775</v>
      </c>
      <c r="I16" s="19">
        <f>IF(ISBLANK('Raw counts'!I17),"",'3'!I78-'5'!I16)</f>
        <v>3.0366293414312295E-2</v>
      </c>
      <c r="J16" s="19">
        <f>IF(ISBLANK('Raw counts'!J17),"",'3'!J78-'5'!J16)</f>
        <v>3.3224520781932032</v>
      </c>
      <c r="K16" s="19">
        <f>IF(ISBLANK('Raw counts'!K17),"",'3'!K78-'5'!K16)</f>
        <v>1.5374833934332912</v>
      </c>
      <c r="L16" s="19">
        <f>IF(ISBLANK('Raw counts'!L17),"",'3'!L78-'5'!L16)</f>
        <v>2.4050104384133615</v>
      </c>
      <c r="M16" s="19" t="str">
        <f>IF(ISBLANK('Raw counts'!M17),"",'3'!M78-'5'!M16)</f>
        <v/>
      </c>
      <c r="N16" s="19" t="str">
        <f>IF(ISBLANK('Raw counts'!N17),"",'3'!N78-'5'!N16)</f>
        <v/>
      </c>
      <c r="O16" s="19" t="str">
        <f>IF(ISBLANK('Raw counts'!O17),"",'3'!O78-'5'!O16)</f>
        <v/>
      </c>
      <c r="P16" s="19" t="str">
        <f>IF(ISBLANK('Raw counts'!P17),"",'3'!P78-'5'!P16)</f>
        <v/>
      </c>
      <c r="Q16" s="19" t="str">
        <f>IF(ISBLANK('Raw counts'!Q17),"",'3'!Q78-'5'!Q16)</f>
        <v/>
      </c>
      <c r="R16" s="19" t="str">
        <f>IF(ISBLANK('Raw counts'!R17),"",'3'!R78-'5'!R16)</f>
        <v/>
      </c>
      <c r="S16" s="19" t="str">
        <f>IF(ISBLANK('Raw counts'!S17),"",'3'!S78-'5'!S16)</f>
        <v/>
      </c>
      <c r="T16" s="19" t="str">
        <f>IF(ISBLANK('Raw counts'!T17),"",'3'!T78-'5'!T16)</f>
        <v/>
      </c>
      <c r="U16" s="19" t="str">
        <f>IF(ISBLANK('Raw counts'!U17),"",'3'!U78-'5'!U16)</f>
        <v/>
      </c>
    </row>
    <row r="17" spans="1:21" x14ac:dyDescent="0.15">
      <c r="A17" s="18" t="str">
        <f>IF(ISBLANK('Raw counts'!A18),"",'Raw counts'!A18)</f>
        <v xml:space="preserve">Recommended another brand by others(i.e. family members/peers or iWOM)      </v>
      </c>
      <c r="B17" s="19">
        <f>IF(ISBLANK('Raw counts'!B18),"",'3'!B79-'5'!B17)</f>
        <v>0</v>
      </c>
      <c r="C17" s="19">
        <f>IF(ISBLANK('Raw counts'!C18),"",'3'!C79-'5'!C17)</f>
        <v>4.7487189219965797</v>
      </c>
      <c r="D17" s="19">
        <f>IF(ISBLANK('Raw counts'!D18),"",'3'!D79-'5'!D17)</f>
        <v>4.7840197380907137</v>
      </c>
      <c r="E17" s="19">
        <f>IF(ISBLANK('Raw counts'!E18),"",'3'!E79-'5'!E17)</f>
        <v>4.3082178781543412E-2</v>
      </c>
      <c r="F17" s="19">
        <f>IF(ISBLANK('Raw counts'!F18),"",'3'!F79-'5'!F17)</f>
        <v>0.78705636743214935</v>
      </c>
      <c r="G17" s="19">
        <f>IF(ISBLANK('Raw counts'!G18),"",'3'!G79-'5'!G17)</f>
        <v>0.70601632188271424</v>
      </c>
      <c r="H17" s="19">
        <f>IF(ISBLANK('Raw counts'!H18),"",'3'!H79-'5'!H17)</f>
        <v>0.51053330802809871</v>
      </c>
      <c r="I17" s="19">
        <f>IF(ISBLANK('Raw counts'!I18),"",'3'!I79-'5'!I17)</f>
        <v>0.23476940595937901</v>
      </c>
      <c r="J17" s="19">
        <f>IF(ISBLANK('Raw counts'!J18),"",'3'!J79-'5'!J17)</f>
        <v>1.4934522679825397</v>
      </c>
      <c r="K17" s="19">
        <f>IF(ISBLANK('Raw counts'!K18),"",'3'!K79-'5'!K17)</f>
        <v>1.1106471816283934</v>
      </c>
      <c r="L17" s="19">
        <f>IF(ISBLANK('Raw counts'!L18),"",'3'!L79-'5'!L17)</f>
        <v>0.60353008160941535</v>
      </c>
      <c r="M17" s="19" t="str">
        <f>IF(ISBLANK('Raw counts'!M18),"",'3'!M79-'5'!M17)</f>
        <v/>
      </c>
      <c r="N17" s="19" t="str">
        <f>IF(ISBLANK('Raw counts'!N18),"",'3'!N79-'5'!N17)</f>
        <v/>
      </c>
      <c r="O17" s="19" t="str">
        <f>IF(ISBLANK('Raw counts'!O18),"",'3'!O79-'5'!O17)</f>
        <v/>
      </c>
      <c r="P17" s="19" t="str">
        <f>IF(ISBLANK('Raw counts'!P18),"",'3'!P79-'5'!P17)</f>
        <v/>
      </c>
      <c r="Q17" s="19" t="str">
        <f>IF(ISBLANK('Raw counts'!Q18),"",'3'!Q79-'5'!Q17)</f>
        <v/>
      </c>
      <c r="R17" s="19" t="str">
        <f>IF(ISBLANK('Raw counts'!R18),"",'3'!R79-'5'!R17)</f>
        <v/>
      </c>
      <c r="S17" s="19" t="str">
        <f>IF(ISBLANK('Raw counts'!S18),"",'3'!S79-'5'!S17)</f>
        <v/>
      </c>
      <c r="T17" s="19" t="str">
        <f>IF(ISBLANK('Raw counts'!T18),"",'3'!T79-'5'!T17)</f>
        <v/>
      </c>
      <c r="U17" s="19" t="str">
        <f>IF(ISBLANK('Raw counts'!U18),"",'3'!U79-'5'!U17)</f>
        <v/>
      </c>
    </row>
    <row r="18" spans="1:21" x14ac:dyDescent="0.15">
      <c r="A18" s="18" t="str">
        <f>IF(ISBLANK('Raw counts'!A19),"",'Raw counts'!A19)</f>
        <v xml:space="preserve">In-store salesperson or advisor recommended another brand                   </v>
      </c>
      <c r="B18" s="19">
        <f>IF(ISBLANK('Raw counts'!B19),"",'3'!B80-'5'!B18)</f>
        <v>0.50863541468969675</v>
      </c>
      <c r="C18" s="19">
        <f>IF(ISBLANK('Raw counts'!C19),"",'3'!C80-'5'!C18)</f>
        <v>0</v>
      </c>
      <c r="D18" s="19">
        <f>IF(ISBLANK('Raw counts'!D19),"",'3'!D80-'5'!D18)</f>
        <v>0.10742076295311964</v>
      </c>
      <c r="E18" s="19">
        <f>IF(ISBLANK('Raw counts'!E19),"",'3'!E80-'5'!E18)</f>
        <v>0.56120706016321886</v>
      </c>
      <c r="F18" s="19">
        <f>IF(ISBLANK('Raw counts'!F19),"",'3'!F80-'5'!F18)</f>
        <v>0.96583791990889267</v>
      </c>
      <c r="G18" s="19">
        <f>IF(ISBLANK('Raw counts'!G19),"",'3'!G80-'5'!G18)</f>
        <v>4.6080850256215697</v>
      </c>
      <c r="H18" s="19">
        <f>IF(ISBLANK('Raw counts'!H19),"",'3'!H80-'5'!H18)</f>
        <v>0.12393243499715823</v>
      </c>
      <c r="I18" s="19">
        <f>IF(ISBLANK('Raw counts'!I19),"",'3'!I80-'5'!I18)</f>
        <v>1.9705826532548869</v>
      </c>
      <c r="J18" s="19">
        <f>IF(ISBLANK('Raw counts'!J19),"",'3'!J80-'5'!J18)</f>
        <v>1.376162459669767</v>
      </c>
      <c r="K18" s="19">
        <f>IF(ISBLANK('Raw counts'!K19),"",'3'!K80-'5'!K18)</f>
        <v>1.7010817992028855</v>
      </c>
      <c r="L18" s="19">
        <f>IF(ISBLANK('Raw counts'!L19),"",'3'!L80-'5'!L18)</f>
        <v>0.48092617194913601</v>
      </c>
      <c r="M18" s="19" t="str">
        <f>IF(ISBLANK('Raw counts'!M19),"",'3'!M80-'5'!M18)</f>
        <v/>
      </c>
      <c r="N18" s="19" t="str">
        <f>IF(ISBLANK('Raw counts'!N19),"",'3'!N80-'5'!N18)</f>
        <v/>
      </c>
      <c r="O18" s="19" t="str">
        <f>IF(ISBLANK('Raw counts'!O19),"",'3'!O80-'5'!O18)</f>
        <v/>
      </c>
      <c r="P18" s="19" t="str">
        <f>IF(ISBLANK('Raw counts'!P19),"",'3'!P80-'5'!P18)</f>
        <v/>
      </c>
      <c r="Q18" s="19" t="str">
        <f>IF(ISBLANK('Raw counts'!Q19),"",'3'!Q80-'5'!Q18)</f>
        <v/>
      </c>
      <c r="R18" s="19" t="str">
        <f>IF(ISBLANK('Raw counts'!R19),"",'3'!R80-'5'!R18)</f>
        <v/>
      </c>
      <c r="S18" s="19" t="str">
        <f>IF(ISBLANK('Raw counts'!S19),"",'3'!S80-'5'!S18)</f>
        <v/>
      </c>
      <c r="T18" s="19" t="str">
        <f>IF(ISBLANK('Raw counts'!T19),"",'3'!T80-'5'!T18)</f>
        <v/>
      </c>
      <c r="U18" s="19" t="str">
        <f>IF(ISBLANK('Raw counts'!U19),"",'3'!U80-'5'!U18)</f>
        <v/>
      </c>
    </row>
    <row r="19" spans="1:21" ht="25.5" x14ac:dyDescent="0.15">
      <c r="A19" s="18" t="str">
        <f>IF(ISBLANK('Raw counts'!A20),"",'Raw counts'!A20)</f>
        <v xml:space="preserve">Researched online while shopping and found negative reviews of the product  </v>
      </c>
      <c r="B19" s="19">
        <f>IF(ISBLANK('Raw counts'!B20),"",'3'!B81-'5'!B19)</f>
        <v>0.67640918580375953</v>
      </c>
      <c r="C19" s="19">
        <f>IF(ISBLANK('Raw counts'!C20),"",'3'!C81-'5'!C19)</f>
        <v>3.5581704308217823</v>
      </c>
      <c r="D19" s="19">
        <f>IF(ISBLANK('Raw counts'!D20),"",'3'!D81-'5'!D19)</f>
        <v>0.99506547732017303</v>
      </c>
      <c r="E19" s="19">
        <f>IF(ISBLANK('Raw counts'!E20),"",'3'!E81-'5'!E19)</f>
        <v>0.37483393433289081</v>
      </c>
      <c r="F19" s="19">
        <f>IF(ISBLANK('Raw counts'!F20),"",'3'!F81-'5'!F19)</f>
        <v>3.1038147656101716</v>
      </c>
      <c r="G19" s="19">
        <f>IF(ISBLANK('Raw counts'!G20),"",'3'!G81-'5'!G19)</f>
        <v>0.32567849686847694</v>
      </c>
      <c r="H19" s="19">
        <f>IF(ISBLANK('Raw counts'!H20),"",'3'!H81-'5'!H19)</f>
        <v>0</v>
      </c>
      <c r="I19" s="19">
        <f>IF(ISBLANK('Raw counts'!I20),"",'3'!I81-'5'!I19)</f>
        <v>1.3076485101537285</v>
      </c>
      <c r="J19" s="19">
        <f>IF(ISBLANK('Raw counts'!J20),"",'3'!J81-'5'!J19)</f>
        <v>0.99032074397418945</v>
      </c>
      <c r="K19" s="19">
        <f>IF(ISBLANK('Raw counts'!K20),"",'3'!K81-'5'!K19)</f>
        <v>0.6003036629341425</v>
      </c>
      <c r="L19" s="19">
        <f>IF(ISBLANK('Raw counts'!L20),"",'3'!L81-'5'!L19)</f>
        <v>0.11747959764661342</v>
      </c>
      <c r="M19" s="19" t="str">
        <f>IF(ISBLANK('Raw counts'!M20),"",'3'!M81-'5'!M19)</f>
        <v/>
      </c>
      <c r="N19" s="19" t="str">
        <f>IF(ISBLANK('Raw counts'!N20),"",'3'!N81-'5'!N19)</f>
        <v/>
      </c>
      <c r="O19" s="19" t="str">
        <f>IF(ISBLANK('Raw counts'!O20),"",'3'!O81-'5'!O19)</f>
        <v/>
      </c>
      <c r="P19" s="19" t="str">
        <f>IF(ISBLANK('Raw counts'!P20),"",'3'!P81-'5'!P19)</f>
        <v/>
      </c>
      <c r="Q19" s="19" t="str">
        <f>IF(ISBLANK('Raw counts'!Q20),"",'3'!Q81-'5'!Q19)</f>
        <v/>
      </c>
      <c r="R19" s="19" t="str">
        <f>IF(ISBLANK('Raw counts'!R20),"",'3'!R81-'5'!R19)</f>
        <v/>
      </c>
      <c r="S19" s="19" t="str">
        <f>IF(ISBLANK('Raw counts'!S20),"",'3'!S81-'5'!S19)</f>
        <v/>
      </c>
      <c r="T19" s="19" t="str">
        <f>IF(ISBLANK('Raw counts'!T20),"",'3'!T81-'5'!T19)</f>
        <v/>
      </c>
      <c r="U19" s="19" t="str">
        <f>IF(ISBLANK('Raw counts'!U20),"",'3'!U81-'5'!U19)</f>
        <v/>
      </c>
    </row>
    <row r="20" spans="1:21" ht="25.5" x14ac:dyDescent="0.15">
      <c r="A20" s="18" t="str">
        <f>IF(ISBLANK('Raw counts'!A21),"",'Raw counts'!A21)</f>
        <v xml:space="preserve">Dentist recommended another brand                                           </v>
      </c>
      <c r="B20" s="19">
        <f>IF(ISBLANK('Raw counts'!B21),"",'3'!B82-'5'!B20)</f>
        <v>2.168532928449423</v>
      </c>
      <c r="C20" s="19">
        <f>IF(ISBLANK('Raw counts'!C21),"",'3'!C82-'5'!C20)</f>
        <v>2.6667299297779454</v>
      </c>
      <c r="D20" s="19">
        <f>IF(ISBLANK('Raw counts'!D21),"",'3'!D82-'5'!D20)</f>
        <v>0.62383754033023031</v>
      </c>
      <c r="E20" s="19">
        <f>IF(ISBLANK('Raw counts'!E21),"",'3'!E82-'5'!E20)</f>
        <v>0.37768077434048664</v>
      </c>
      <c r="F20" s="19">
        <f>IF(ISBLANK('Raw counts'!F21),"",'3'!F82-'5'!F20)</f>
        <v>3.2199658379199043</v>
      </c>
      <c r="G20" s="19">
        <f>IF(ISBLANK('Raw counts'!G21),"",'3'!G82-'5'!G20)</f>
        <v>0</v>
      </c>
      <c r="H20" s="19">
        <f>IF(ISBLANK('Raw counts'!H21),"",'3'!H82-'5'!H20)</f>
        <v>4.8206490795223544E-2</v>
      </c>
      <c r="I20" s="19">
        <f>IF(ISBLANK('Raw counts'!I21),"",'3'!I82-'5'!I20)</f>
        <v>1.998861263996961</v>
      </c>
      <c r="J20" s="19">
        <f>IF(ISBLANK('Raw counts'!J21),"",'3'!J82-'5'!J20)</f>
        <v>2.2573543366862792</v>
      </c>
      <c r="K20" s="19">
        <f>IF(ISBLANK('Raw counts'!K21),"",'3'!K82-'5'!K20)</f>
        <v>2.4103245397610884E-2</v>
      </c>
      <c r="L20" s="19">
        <f>IF(ISBLANK('Raw counts'!L21),"",'3'!L82-'5'!L20)</f>
        <v>1.3579426836211805</v>
      </c>
      <c r="M20" s="19" t="str">
        <f>IF(ISBLANK('Raw counts'!M21),"",'3'!M82-'5'!M20)</f>
        <v/>
      </c>
      <c r="N20" s="19" t="str">
        <f>IF(ISBLANK('Raw counts'!N21),"",'3'!N82-'5'!N20)</f>
        <v/>
      </c>
      <c r="O20" s="19" t="str">
        <f>IF(ISBLANK('Raw counts'!O21),"",'3'!O82-'5'!O20)</f>
        <v/>
      </c>
      <c r="P20" s="19" t="str">
        <f>IF(ISBLANK('Raw counts'!P21),"",'3'!P82-'5'!P20)</f>
        <v/>
      </c>
      <c r="Q20" s="19" t="str">
        <f>IF(ISBLANK('Raw counts'!Q21),"",'3'!Q82-'5'!Q20)</f>
        <v/>
      </c>
      <c r="R20" s="19" t="str">
        <f>IF(ISBLANK('Raw counts'!R21),"",'3'!R82-'5'!R20)</f>
        <v/>
      </c>
      <c r="S20" s="19" t="str">
        <f>IF(ISBLANK('Raw counts'!S21),"",'3'!S82-'5'!S20)</f>
        <v/>
      </c>
      <c r="T20" s="19" t="str">
        <f>IF(ISBLANK('Raw counts'!T21),"",'3'!T82-'5'!T20)</f>
        <v/>
      </c>
      <c r="U20" s="19" t="str">
        <f>IF(ISBLANK('Raw counts'!U21),"",'3'!U82-'5'!U20)</f>
        <v/>
      </c>
    </row>
    <row r="21" spans="1:21" ht="25.5" x14ac:dyDescent="0.15">
      <c r="A21" s="18" t="str">
        <f>IF(ISBLANK('Raw counts'!A22),"",'Raw counts'!A22)</f>
        <v xml:space="preserve">Some other reason                                                           </v>
      </c>
      <c r="B21" s="19">
        <f>IF(ISBLANK('Raw counts'!B22),"",'3'!B83-'5'!B21)</f>
        <v>0.65989751375972716</v>
      </c>
      <c r="C21" s="19">
        <f>IF(ISBLANK('Raw counts'!C22),"",'3'!C83-'5'!C21)</f>
        <v>0.65211615107230925</v>
      </c>
      <c r="D21" s="19">
        <f>IF(ISBLANK('Raw counts'!D22),"",'3'!D83-'5'!D21)</f>
        <v>0.12374264566331328</v>
      </c>
      <c r="E21" s="19">
        <f>IF(ISBLANK('Raw counts'!E22),"",'3'!E83-'5'!E21)</f>
        <v>9.4704877585879421E-2</v>
      </c>
      <c r="F21" s="19">
        <f>IF(ISBLANK('Raw counts'!F22),"",'3'!F83-'5'!F21)</f>
        <v>2.6039096602770924</v>
      </c>
      <c r="G21" s="19">
        <f>IF(ISBLANK('Raw counts'!G22),"",'3'!G83-'5'!G21)</f>
        <v>7.2879104194344846E-2</v>
      </c>
      <c r="H21" s="19">
        <f>IF(ISBLANK('Raw counts'!H22),"",'3'!H83-'5'!H21)</f>
        <v>0</v>
      </c>
      <c r="I21" s="19">
        <f>IF(ISBLANK('Raw counts'!I22),"",'3'!I83-'5'!I21)</f>
        <v>4.2512810780034105E-2</v>
      </c>
      <c r="J21" s="19">
        <f>IF(ISBLANK('Raw counts'!J22),"",'3'!J83-'5'!J21)</f>
        <v>0.20440311254507537</v>
      </c>
      <c r="K21" s="19">
        <f>IF(ISBLANK('Raw counts'!K22),"",'3'!K83-'5'!K21)</f>
        <v>0.45511482254697277</v>
      </c>
      <c r="L21" s="19">
        <f>IF(ISBLANK('Raw counts'!L22),"",'3'!L83-'5'!L21)</f>
        <v>3.7198709432529897E-2</v>
      </c>
      <c r="M21" s="19" t="str">
        <f>IF(ISBLANK('Raw counts'!M22),"",'3'!M83-'5'!M21)</f>
        <v/>
      </c>
      <c r="N21" s="19" t="str">
        <f>IF(ISBLANK('Raw counts'!N22),"",'3'!N83-'5'!N21)</f>
        <v/>
      </c>
      <c r="O21" s="19" t="str">
        <f>IF(ISBLANK('Raw counts'!O22),"",'3'!O83-'5'!O21)</f>
        <v/>
      </c>
      <c r="P21" s="19" t="str">
        <f>IF(ISBLANK('Raw counts'!P22),"",'3'!P83-'5'!P21)</f>
        <v/>
      </c>
      <c r="Q21" s="19" t="str">
        <f>IF(ISBLANK('Raw counts'!Q22),"",'3'!Q83-'5'!Q21)</f>
        <v/>
      </c>
      <c r="R21" s="19" t="str">
        <f>IF(ISBLANK('Raw counts'!R22),"",'3'!R83-'5'!R21)</f>
        <v/>
      </c>
      <c r="S21" s="19" t="str">
        <f>IF(ISBLANK('Raw counts'!S22),"",'3'!S83-'5'!S21)</f>
        <v/>
      </c>
      <c r="T21" s="19" t="str">
        <f>IF(ISBLANK('Raw counts'!T22),"",'3'!T83-'5'!T21)</f>
        <v/>
      </c>
      <c r="U21" s="19" t="str">
        <f>IF(ISBLANK('Raw counts'!U22),"",'3'!U83-'5'!U21)</f>
        <v/>
      </c>
    </row>
    <row r="22" spans="1:21" ht="25.5" x14ac:dyDescent="0.15">
      <c r="A22" s="18" t="str">
        <f>IF(ISBLANK('Raw counts'!A23),"",'Raw counts'!A23)</f>
        <v/>
      </c>
      <c r="B22" s="19" t="str">
        <f>IF(ISBLANK('Raw counts'!B23),"",'3'!B84-'5'!B22)</f>
        <v/>
      </c>
      <c r="C22" s="19" t="str">
        <f>IF(ISBLANK('Raw counts'!C23),"",'3'!C84-'5'!C22)</f>
        <v/>
      </c>
      <c r="D22" s="19" t="str">
        <f>IF(ISBLANK('Raw counts'!D23),"",'3'!D84-'5'!D22)</f>
        <v/>
      </c>
      <c r="E22" s="19" t="str">
        <f>IF(ISBLANK('Raw counts'!E23),"",'3'!E84-'5'!E22)</f>
        <v/>
      </c>
      <c r="F22" s="19" t="str">
        <f>IF(ISBLANK('Raw counts'!F23),"",'3'!F84-'5'!F22)</f>
        <v/>
      </c>
      <c r="G22" s="19" t="str">
        <f>IF(ISBLANK('Raw counts'!G23),"",'3'!G84-'5'!G22)</f>
        <v/>
      </c>
      <c r="H22" s="19" t="str">
        <f>IF(ISBLANK('Raw counts'!H23),"",'3'!H84-'5'!H22)</f>
        <v/>
      </c>
      <c r="I22" s="19" t="str">
        <f>IF(ISBLANK('Raw counts'!I23),"",'3'!I84-'5'!I22)</f>
        <v/>
      </c>
      <c r="J22" s="19" t="str">
        <f>IF(ISBLANK('Raw counts'!J23),"",'3'!J84-'5'!J22)</f>
        <v/>
      </c>
      <c r="K22" s="19" t="str">
        <f>IF(ISBLANK('Raw counts'!K23),"",'3'!K84-'5'!K22)</f>
        <v/>
      </c>
      <c r="L22" s="19" t="str">
        <f>IF(ISBLANK('Raw counts'!L23),"",'3'!L84-'5'!L22)</f>
        <v/>
      </c>
      <c r="M22" s="19" t="str">
        <f>IF(ISBLANK('Raw counts'!M23),"",'3'!M84-'5'!M22)</f>
        <v/>
      </c>
      <c r="N22" s="19" t="str">
        <f>IF(ISBLANK('Raw counts'!N23),"",'3'!N84-'5'!N22)</f>
        <v/>
      </c>
      <c r="O22" s="19" t="str">
        <f>IF(ISBLANK('Raw counts'!O23),"",'3'!O84-'5'!O22)</f>
        <v/>
      </c>
      <c r="P22" s="19" t="str">
        <f>IF(ISBLANK('Raw counts'!P23),"",'3'!P84-'5'!P22)</f>
        <v/>
      </c>
      <c r="Q22" s="19" t="str">
        <f>IF(ISBLANK('Raw counts'!Q23),"",'3'!Q84-'5'!Q22)</f>
        <v/>
      </c>
      <c r="R22" s="19" t="str">
        <f>IF(ISBLANK('Raw counts'!R23),"",'3'!R84-'5'!R22)</f>
        <v/>
      </c>
      <c r="S22" s="19" t="str">
        <f>IF(ISBLANK('Raw counts'!S23),"",'3'!S84-'5'!S22)</f>
        <v/>
      </c>
      <c r="T22" s="19" t="str">
        <f>IF(ISBLANK('Raw counts'!T23),"",'3'!T84-'5'!T22)</f>
        <v/>
      </c>
      <c r="U22" s="19" t="str">
        <f>IF(ISBLANK('Raw counts'!U23),"",'3'!U84-'5'!U22)</f>
        <v/>
      </c>
    </row>
    <row r="23" spans="1:21" x14ac:dyDescent="0.15">
      <c r="A23" s="18" t="str">
        <f>IF(ISBLANK('Raw counts'!A24),"",'Raw counts'!A24)</f>
        <v/>
      </c>
      <c r="B23" s="19" t="str">
        <f>IF(ISBLANK('Raw counts'!B24),"",'3'!B85-'5'!B23)</f>
        <v/>
      </c>
      <c r="C23" s="19" t="str">
        <f>IF(ISBLANK('Raw counts'!C24),"",'3'!C85-'5'!C23)</f>
        <v/>
      </c>
      <c r="D23" s="19" t="str">
        <f>IF(ISBLANK('Raw counts'!D24),"",'3'!D85-'5'!D23)</f>
        <v/>
      </c>
      <c r="E23" s="19" t="str">
        <f>IF(ISBLANK('Raw counts'!E24),"",'3'!E85-'5'!E23)</f>
        <v/>
      </c>
      <c r="F23" s="19" t="str">
        <f>IF(ISBLANK('Raw counts'!F24),"",'3'!F85-'5'!F23)</f>
        <v/>
      </c>
      <c r="G23" s="19" t="str">
        <f>IF(ISBLANK('Raw counts'!G24),"",'3'!G85-'5'!G23)</f>
        <v/>
      </c>
      <c r="H23" s="19" t="str">
        <f>IF(ISBLANK('Raw counts'!H24),"",'3'!H85-'5'!H23)</f>
        <v/>
      </c>
      <c r="I23" s="19" t="str">
        <f>IF(ISBLANK('Raw counts'!I24),"",'3'!I85-'5'!I23)</f>
        <v/>
      </c>
      <c r="J23" s="19" t="str">
        <f>IF(ISBLANK('Raw counts'!J24),"",'3'!J85-'5'!J23)</f>
        <v/>
      </c>
      <c r="K23" s="19" t="str">
        <f>IF(ISBLANK('Raw counts'!K24),"",'3'!K85-'5'!K23)</f>
        <v/>
      </c>
      <c r="L23" s="19" t="str">
        <f>IF(ISBLANK('Raw counts'!L24),"",'3'!L85-'5'!L23)</f>
        <v/>
      </c>
      <c r="M23" s="19" t="str">
        <f>IF(ISBLANK('Raw counts'!M24),"",'3'!M85-'5'!M23)</f>
        <v/>
      </c>
      <c r="N23" s="19" t="str">
        <f>IF(ISBLANK('Raw counts'!N24),"",'3'!N85-'5'!N23)</f>
        <v/>
      </c>
      <c r="O23" s="19" t="str">
        <f>IF(ISBLANK('Raw counts'!O24),"",'3'!O85-'5'!O23)</f>
        <v/>
      </c>
      <c r="P23" s="19" t="str">
        <f>IF(ISBLANK('Raw counts'!P24),"",'3'!P85-'5'!P23)</f>
        <v/>
      </c>
      <c r="Q23" s="19" t="str">
        <f>IF(ISBLANK('Raw counts'!Q24),"",'3'!Q85-'5'!Q23)</f>
        <v/>
      </c>
      <c r="R23" s="19" t="str">
        <f>IF(ISBLANK('Raw counts'!R24),"",'3'!R85-'5'!R23)</f>
        <v/>
      </c>
      <c r="S23" s="19" t="str">
        <f>IF(ISBLANK('Raw counts'!S24),"",'3'!S85-'5'!S23)</f>
        <v/>
      </c>
      <c r="T23" s="19" t="str">
        <f>IF(ISBLANK('Raw counts'!T24),"",'3'!T85-'5'!T23)</f>
        <v/>
      </c>
      <c r="U23" s="19" t="str">
        <f>IF(ISBLANK('Raw counts'!U24),"",'3'!U85-'5'!U23)</f>
        <v/>
      </c>
    </row>
    <row r="24" spans="1:21" x14ac:dyDescent="0.15">
      <c r="A24" s="18" t="str">
        <f>IF(ISBLANK('Raw counts'!A25),"",'Raw counts'!A25)</f>
        <v/>
      </c>
      <c r="B24" s="19" t="str">
        <f>IF(ISBLANK('Raw counts'!B25),"",'3'!B86-'5'!B24)</f>
        <v/>
      </c>
      <c r="C24" s="19" t="str">
        <f>IF(ISBLANK('Raw counts'!C25),"",'3'!C86-'5'!C24)</f>
        <v/>
      </c>
      <c r="D24" s="19" t="str">
        <f>IF(ISBLANK('Raw counts'!D25),"",'3'!D86-'5'!D24)</f>
        <v/>
      </c>
      <c r="E24" s="19" t="str">
        <f>IF(ISBLANK('Raw counts'!E25),"",'3'!E86-'5'!E24)</f>
        <v/>
      </c>
      <c r="F24" s="19" t="str">
        <f>IF(ISBLANK('Raw counts'!F25),"",'3'!F86-'5'!F24)</f>
        <v/>
      </c>
      <c r="G24" s="19" t="str">
        <f>IF(ISBLANK('Raw counts'!G25),"",'3'!G86-'5'!G24)</f>
        <v/>
      </c>
      <c r="H24" s="19" t="str">
        <f>IF(ISBLANK('Raw counts'!H25),"",'3'!H86-'5'!H24)</f>
        <v/>
      </c>
      <c r="I24" s="19" t="str">
        <f>IF(ISBLANK('Raw counts'!I25),"",'3'!I86-'5'!I24)</f>
        <v/>
      </c>
      <c r="J24" s="19" t="str">
        <f>IF(ISBLANK('Raw counts'!J25),"",'3'!J86-'5'!J24)</f>
        <v/>
      </c>
      <c r="K24" s="19" t="str">
        <f>IF(ISBLANK('Raw counts'!K25),"",'3'!K86-'5'!K24)</f>
        <v/>
      </c>
      <c r="L24" s="19" t="str">
        <f>IF(ISBLANK('Raw counts'!L25),"",'3'!L86-'5'!L24)</f>
        <v/>
      </c>
      <c r="M24" s="19" t="str">
        <f>IF(ISBLANK('Raw counts'!M25),"",'3'!M86-'5'!M24)</f>
        <v/>
      </c>
      <c r="N24" s="19" t="str">
        <f>IF(ISBLANK('Raw counts'!N25),"",'3'!N86-'5'!N24)</f>
        <v/>
      </c>
      <c r="O24" s="19" t="str">
        <f>IF(ISBLANK('Raw counts'!O25),"",'3'!O86-'5'!O24)</f>
        <v/>
      </c>
      <c r="P24" s="19" t="str">
        <f>IF(ISBLANK('Raw counts'!P25),"",'3'!P86-'5'!P24)</f>
        <v/>
      </c>
      <c r="Q24" s="19" t="str">
        <f>IF(ISBLANK('Raw counts'!Q25),"",'3'!Q86-'5'!Q24)</f>
        <v/>
      </c>
      <c r="R24" s="19" t="str">
        <f>IF(ISBLANK('Raw counts'!R25),"",'3'!R86-'5'!R24)</f>
        <v/>
      </c>
      <c r="S24" s="19" t="str">
        <f>IF(ISBLANK('Raw counts'!S25),"",'3'!S86-'5'!S24)</f>
        <v/>
      </c>
      <c r="T24" s="19" t="str">
        <f>IF(ISBLANK('Raw counts'!T25),"",'3'!T86-'5'!T24)</f>
        <v/>
      </c>
      <c r="U24" s="19" t="str">
        <f>IF(ISBLANK('Raw counts'!U25),"",'3'!U86-'5'!U24)</f>
        <v/>
      </c>
    </row>
    <row r="25" spans="1:21" x14ac:dyDescent="0.15">
      <c r="A25" s="18" t="str">
        <f>IF(ISBLANK('Raw counts'!A26),"",'Raw counts'!A26)</f>
        <v/>
      </c>
      <c r="B25" s="19" t="str">
        <f>IF(ISBLANK('Raw counts'!B26),"",'3'!B87-'5'!B25)</f>
        <v/>
      </c>
      <c r="C25" s="19" t="str">
        <f>IF(ISBLANK('Raw counts'!C26),"",'3'!C87-'5'!C25)</f>
        <v/>
      </c>
      <c r="D25" s="19" t="str">
        <f>IF(ISBLANK('Raw counts'!D26),"",'3'!D87-'5'!D25)</f>
        <v/>
      </c>
      <c r="E25" s="19" t="str">
        <f>IF(ISBLANK('Raw counts'!E26),"",'3'!E87-'5'!E25)</f>
        <v/>
      </c>
      <c r="F25" s="19" t="str">
        <f>IF(ISBLANK('Raw counts'!F26),"",'3'!F87-'5'!F25)</f>
        <v/>
      </c>
      <c r="G25" s="19" t="str">
        <f>IF(ISBLANK('Raw counts'!G26),"",'3'!G87-'5'!G25)</f>
        <v/>
      </c>
      <c r="H25" s="19" t="str">
        <f>IF(ISBLANK('Raw counts'!H26),"",'3'!H87-'5'!H25)</f>
        <v/>
      </c>
      <c r="I25" s="19" t="str">
        <f>IF(ISBLANK('Raw counts'!I26),"",'3'!I87-'5'!I25)</f>
        <v/>
      </c>
      <c r="J25" s="19" t="str">
        <f>IF(ISBLANK('Raw counts'!J26),"",'3'!J87-'5'!J25)</f>
        <v/>
      </c>
      <c r="K25" s="19" t="str">
        <f>IF(ISBLANK('Raw counts'!K26),"",'3'!K87-'5'!K25)</f>
        <v/>
      </c>
      <c r="L25" s="19" t="str">
        <f>IF(ISBLANK('Raw counts'!L26),"",'3'!L87-'5'!L25)</f>
        <v/>
      </c>
      <c r="M25" s="19" t="str">
        <f>IF(ISBLANK('Raw counts'!M26),"",'3'!M87-'5'!M25)</f>
        <v/>
      </c>
      <c r="N25" s="19" t="str">
        <f>IF(ISBLANK('Raw counts'!N26),"",'3'!N87-'5'!N25)</f>
        <v/>
      </c>
      <c r="O25" s="19" t="str">
        <f>IF(ISBLANK('Raw counts'!O26),"",'3'!O87-'5'!O25)</f>
        <v/>
      </c>
      <c r="P25" s="19" t="str">
        <f>IF(ISBLANK('Raw counts'!P26),"",'3'!P87-'5'!P25)</f>
        <v/>
      </c>
      <c r="Q25" s="19" t="str">
        <f>IF(ISBLANK('Raw counts'!Q26),"",'3'!Q87-'5'!Q25)</f>
        <v/>
      </c>
      <c r="R25" s="19" t="str">
        <f>IF(ISBLANK('Raw counts'!R26),"",'3'!R87-'5'!R25)</f>
        <v/>
      </c>
      <c r="S25" s="19" t="str">
        <f>IF(ISBLANK('Raw counts'!S26),"",'3'!S87-'5'!S25)</f>
        <v/>
      </c>
      <c r="T25" s="19" t="str">
        <f>IF(ISBLANK('Raw counts'!T26),"",'3'!T87-'5'!T25)</f>
        <v/>
      </c>
      <c r="U25" s="19" t="str">
        <f>IF(ISBLANK('Raw counts'!U26),"",'3'!U87-'5'!U25)</f>
        <v/>
      </c>
    </row>
    <row r="26" spans="1:21" x14ac:dyDescent="0.15">
      <c r="A26" s="18" t="str">
        <f>IF(ISBLANK('Raw counts'!A27),"",'Raw counts'!A27)</f>
        <v/>
      </c>
      <c r="B26" s="19" t="str">
        <f>IF(ISBLANK('Raw counts'!B27),"",'3'!B88-'5'!B26)</f>
        <v/>
      </c>
      <c r="C26" s="19" t="str">
        <f>IF(ISBLANK('Raw counts'!C27),"",'3'!C88-'5'!C26)</f>
        <v/>
      </c>
      <c r="D26" s="19" t="str">
        <f>IF(ISBLANK('Raw counts'!D27),"",'3'!D88-'5'!D26)</f>
        <v/>
      </c>
      <c r="E26" s="19" t="str">
        <f>IF(ISBLANK('Raw counts'!E27),"",'3'!E88-'5'!E26)</f>
        <v/>
      </c>
      <c r="F26" s="19" t="str">
        <f>IF(ISBLANK('Raw counts'!F27),"",'3'!F88-'5'!F26)</f>
        <v/>
      </c>
      <c r="G26" s="19" t="str">
        <f>IF(ISBLANK('Raw counts'!G27),"",'3'!G88-'5'!G26)</f>
        <v/>
      </c>
      <c r="H26" s="19" t="str">
        <f>IF(ISBLANK('Raw counts'!H27),"",'3'!H88-'5'!H26)</f>
        <v/>
      </c>
      <c r="I26" s="19" t="str">
        <f>IF(ISBLANK('Raw counts'!I27),"",'3'!I88-'5'!I26)</f>
        <v/>
      </c>
      <c r="J26" s="19" t="str">
        <f>IF(ISBLANK('Raw counts'!J27),"",'3'!J88-'5'!J26)</f>
        <v/>
      </c>
      <c r="K26" s="19" t="str">
        <f>IF(ISBLANK('Raw counts'!K27),"",'3'!K88-'5'!K26)</f>
        <v/>
      </c>
      <c r="L26" s="19" t="str">
        <f>IF(ISBLANK('Raw counts'!L27),"",'3'!L88-'5'!L26)</f>
        <v/>
      </c>
      <c r="M26" s="19" t="str">
        <f>IF(ISBLANK('Raw counts'!M27),"",'3'!M88-'5'!M26)</f>
        <v/>
      </c>
      <c r="N26" s="19" t="str">
        <f>IF(ISBLANK('Raw counts'!N27),"",'3'!N88-'5'!N26)</f>
        <v/>
      </c>
      <c r="O26" s="19" t="str">
        <f>IF(ISBLANK('Raw counts'!O27),"",'3'!O88-'5'!O26)</f>
        <v/>
      </c>
      <c r="P26" s="19" t="str">
        <f>IF(ISBLANK('Raw counts'!P27),"",'3'!P88-'5'!P26)</f>
        <v/>
      </c>
      <c r="Q26" s="19" t="str">
        <f>IF(ISBLANK('Raw counts'!Q27),"",'3'!Q88-'5'!Q26)</f>
        <v/>
      </c>
      <c r="R26" s="19" t="str">
        <f>IF(ISBLANK('Raw counts'!R27),"",'3'!R88-'5'!R26)</f>
        <v/>
      </c>
      <c r="S26" s="19" t="str">
        <f>IF(ISBLANK('Raw counts'!S27),"",'3'!S88-'5'!S26)</f>
        <v/>
      </c>
      <c r="T26" s="19" t="str">
        <f>IF(ISBLANK('Raw counts'!T27),"",'3'!T88-'5'!T26)</f>
        <v/>
      </c>
      <c r="U26" s="19" t="str">
        <f>IF(ISBLANK('Raw counts'!U27),"",'3'!U88-'5'!U26)</f>
        <v/>
      </c>
    </row>
    <row r="27" spans="1:21" x14ac:dyDescent="0.15">
      <c r="A27" s="18" t="str">
        <f>IF(ISBLANK('Raw counts'!A28),"",'Raw counts'!A28)</f>
        <v>Attr24</v>
      </c>
      <c r="B27" s="19" t="str">
        <f>IF(ISBLANK('Raw counts'!B28),"",'3'!B89-'5'!B27)</f>
        <v/>
      </c>
      <c r="C27" s="19" t="str">
        <f>IF(ISBLANK('Raw counts'!C28),"",'3'!C89-'5'!C27)</f>
        <v/>
      </c>
      <c r="D27" s="19" t="str">
        <f>IF(ISBLANK('Raw counts'!D28),"",'3'!D89-'5'!D27)</f>
        <v/>
      </c>
      <c r="E27" s="19" t="str">
        <f>IF(ISBLANK('Raw counts'!E28),"",'3'!E89-'5'!E27)</f>
        <v/>
      </c>
      <c r="F27" s="19" t="str">
        <f>IF(ISBLANK('Raw counts'!F28),"",'3'!F89-'5'!F27)</f>
        <v/>
      </c>
      <c r="G27" s="19" t="str">
        <f>IF(ISBLANK('Raw counts'!G28),"",'3'!G89-'5'!G27)</f>
        <v/>
      </c>
      <c r="H27" s="19" t="str">
        <f>IF(ISBLANK('Raw counts'!H28),"",'3'!H89-'5'!H27)</f>
        <v/>
      </c>
      <c r="I27" s="19" t="str">
        <f>IF(ISBLANK('Raw counts'!I28),"",'3'!I89-'5'!I27)</f>
        <v/>
      </c>
      <c r="J27" s="19" t="str">
        <f>IF(ISBLANK('Raw counts'!J28),"",'3'!J89-'5'!J27)</f>
        <v/>
      </c>
      <c r="K27" s="19" t="str">
        <f>IF(ISBLANK('Raw counts'!K28),"",'3'!K89-'5'!K27)</f>
        <v/>
      </c>
      <c r="L27" s="19" t="str">
        <f>IF(ISBLANK('Raw counts'!L28),"",'3'!L89-'5'!L27)</f>
        <v/>
      </c>
      <c r="M27" s="19" t="str">
        <f>IF(ISBLANK('Raw counts'!M28),"",'3'!M89-'5'!M27)</f>
        <v/>
      </c>
      <c r="N27" s="19" t="str">
        <f>IF(ISBLANK('Raw counts'!N28),"",'3'!N89-'5'!N27)</f>
        <v/>
      </c>
      <c r="O27" s="19" t="str">
        <f>IF(ISBLANK('Raw counts'!O28),"",'3'!O89-'5'!O27)</f>
        <v/>
      </c>
      <c r="P27" s="19" t="str">
        <f>IF(ISBLANK('Raw counts'!P28),"",'3'!P89-'5'!P27)</f>
        <v/>
      </c>
      <c r="Q27" s="19" t="str">
        <f>IF(ISBLANK('Raw counts'!Q28),"",'3'!Q89-'5'!Q27)</f>
        <v/>
      </c>
      <c r="R27" s="19" t="str">
        <f>IF(ISBLANK('Raw counts'!R28),"",'3'!R89-'5'!R27)</f>
        <v/>
      </c>
      <c r="S27" s="19" t="str">
        <f>IF(ISBLANK('Raw counts'!S28),"",'3'!S89-'5'!S27)</f>
        <v/>
      </c>
      <c r="T27" s="19" t="str">
        <f>IF(ISBLANK('Raw counts'!T28),"",'3'!T89-'5'!T27)</f>
        <v/>
      </c>
      <c r="U27" s="19" t="str">
        <f>IF(ISBLANK('Raw counts'!U28),"",'3'!U89-'5'!U27)</f>
        <v/>
      </c>
    </row>
    <row r="28" spans="1:21" x14ac:dyDescent="0.15">
      <c r="A28" s="18" t="str">
        <f>IF(ISBLANK('Raw counts'!A29),"",'Raw counts'!A29)</f>
        <v>Attr25</v>
      </c>
      <c r="B28" s="19" t="str">
        <f>IF(ISBLANK('Raw counts'!B29),"",'3'!B90-'5'!B28)</f>
        <v/>
      </c>
      <c r="C28" s="19" t="str">
        <f>IF(ISBLANK('Raw counts'!C29),"",'3'!C90-'5'!C28)</f>
        <v/>
      </c>
      <c r="D28" s="19" t="str">
        <f>IF(ISBLANK('Raw counts'!D29),"",'3'!D90-'5'!D28)</f>
        <v/>
      </c>
      <c r="E28" s="19" t="str">
        <f>IF(ISBLANK('Raw counts'!E29),"",'3'!E90-'5'!E28)</f>
        <v/>
      </c>
      <c r="F28" s="19" t="str">
        <f>IF(ISBLANK('Raw counts'!F29),"",'3'!F90-'5'!F28)</f>
        <v/>
      </c>
      <c r="G28" s="19" t="str">
        <f>IF(ISBLANK('Raw counts'!G29),"",'3'!G90-'5'!G28)</f>
        <v/>
      </c>
      <c r="H28" s="19" t="str">
        <f>IF(ISBLANK('Raw counts'!H29),"",'3'!H90-'5'!H28)</f>
        <v/>
      </c>
      <c r="I28" s="19" t="str">
        <f>IF(ISBLANK('Raw counts'!I29),"",'3'!I90-'5'!I28)</f>
        <v/>
      </c>
      <c r="J28" s="19" t="str">
        <f>IF(ISBLANK('Raw counts'!J29),"",'3'!J90-'5'!J28)</f>
        <v/>
      </c>
      <c r="K28" s="19" t="str">
        <f>IF(ISBLANK('Raw counts'!K29),"",'3'!K90-'5'!K28)</f>
        <v/>
      </c>
      <c r="L28" s="19" t="str">
        <f>IF(ISBLANK('Raw counts'!L29),"",'3'!L90-'5'!L28)</f>
        <v/>
      </c>
      <c r="M28" s="19" t="str">
        <f>IF(ISBLANK('Raw counts'!M29),"",'3'!M90-'5'!M28)</f>
        <v/>
      </c>
      <c r="N28" s="19" t="str">
        <f>IF(ISBLANK('Raw counts'!N29),"",'3'!N90-'5'!N28)</f>
        <v/>
      </c>
      <c r="O28" s="19" t="str">
        <f>IF(ISBLANK('Raw counts'!O29),"",'3'!O90-'5'!O28)</f>
        <v/>
      </c>
      <c r="P28" s="19" t="str">
        <f>IF(ISBLANK('Raw counts'!P29),"",'3'!P90-'5'!P28)</f>
        <v/>
      </c>
      <c r="Q28" s="19" t="str">
        <f>IF(ISBLANK('Raw counts'!Q29),"",'3'!Q90-'5'!Q28)</f>
        <v/>
      </c>
      <c r="R28" s="19" t="str">
        <f>IF(ISBLANK('Raw counts'!R29),"",'3'!R90-'5'!R28)</f>
        <v/>
      </c>
      <c r="S28" s="19" t="str">
        <f>IF(ISBLANK('Raw counts'!S29),"",'3'!S90-'5'!S28)</f>
        <v/>
      </c>
      <c r="T28" s="19" t="str">
        <f>IF(ISBLANK('Raw counts'!T29),"",'3'!T90-'5'!T28)</f>
        <v/>
      </c>
      <c r="U28" s="19" t="str">
        <f>IF(ISBLANK('Raw counts'!U29),"",'3'!U90-'5'!U28)</f>
        <v/>
      </c>
    </row>
    <row r="29" spans="1:21" x14ac:dyDescent="0.15">
      <c r="A29" s="18" t="str">
        <f>IF(ISBLANK('Raw counts'!A30),"",'Raw counts'!A30)</f>
        <v>Attr26</v>
      </c>
      <c r="B29" s="19" t="str">
        <f>IF(ISBLANK('Raw counts'!B30),"",'3'!B91-'5'!B29)</f>
        <v/>
      </c>
      <c r="C29" s="19" t="str">
        <f>IF(ISBLANK('Raw counts'!C30),"",'3'!C91-'5'!C29)</f>
        <v/>
      </c>
      <c r="D29" s="19" t="str">
        <f>IF(ISBLANK('Raw counts'!D30),"",'3'!D91-'5'!D29)</f>
        <v/>
      </c>
      <c r="E29" s="19" t="str">
        <f>IF(ISBLANK('Raw counts'!E30),"",'3'!E91-'5'!E29)</f>
        <v/>
      </c>
      <c r="F29" s="19" t="str">
        <f>IF(ISBLANK('Raw counts'!F30),"",'3'!F91-'5'!F29)</f>
        <v/>
      </c>
      <c r="G29" s="19" t="str">
        <f>IF(ISBLANK('Raw counts'!G30),"",'3'!G91-'5'!G29)</f>
        <v/>
      </c>
      <c r="H29" s="19" t="str">
        <f>IF(ISBLANK('Raw counts'!H30),"",'3'!H91-'5'!H29)</f>
        <v/>
      </c>
      <c r="I29" s="19" t="str">
        <f>IF(ISBLANK('Raw counts'!I30),"",'3'!I91-'5'!I29)</f>
        <v/>
      </c>
      <c r="J29" s="19" t="str">
        <f>IF(ISBLANK('Raw counts'!J30),"",'3'!J91-'5'!J29)</f>
        <v/>
      </c>
      <c r="K29" s="19" t="str">
        <f>IF(ISBLANK('Raw counts'!K30),"",'3'!K91-'5'!K29)</f>
        <v/>
      </c>
      <c r="L29" s="19" t="str">
        <f>IF(ISBLANK('Raw counts'!L30),"",'3'!L91-'5'!L29)</f>
        <v/>
      </c>
      <c r="M29" s="19" t="str">
        <f>IF(ISBLANK('Raw counts'!M30),"",'3'!M91-'5'!M29)</f>
        <v/>
      </c>
      <c r="N29" s="19" t="str">
        <f>IF(ISBLANK('Raw counts'!N30),"",'3'!N91-'5'!N29)</f>
        <v/>
      </c>
      <c r="O29" s="19" t="str">
        <f>IF(ISBLANK('Raw counts'!O30),"",'3'!O91-'5'!O29)</f>
        <v/>
      </c>
      <c r="P29" s="19" t="str">
        <f>IF(ISBLANK('Raw counts'!P30),"",'3'!P91-'5'!P29)</f>
        <v/>
      </c>
      <c r="Q29" s="19" t="str">
        <f>IF(ISBLANK('Raw counts'!Q30),"",'3'!Q91-'5'!Q29)</f>
        <v/>
      </c>
      <c r="R29" s="19" t="str">
        <f>IF(ISBLANK('Raw counts'!R30),"",'3'!R91-'5'!R29)</f>
        <v/>
      </c>
      <c r="S29" s="19" t="str">
        <f>IF(ISBLANK('Raw counts'!S30),"",'3'!S91-'5'!S29)</f>
        <v/>
      </c>
      <c r="T29" s="19" t="str">
        <f>IF(ISBLANK('Raw counts'!T30),"",'3'!T91-'5'!T29)</f>
        <v/>
      </c>
      <c r="U29" s="19" t="str">
        <f>IF(ISBLANK('Raw counts'!U30),"",'3'!U91-'5'!U29)</f>
        <v/>
      </c>
    </row>
    <row r="30" spans="1:21" x14ac:dyDescent="0.15">
      <c r="A30" s="18" t="str">
        <f>IF(ISBLANK('Raw counts'!A31),"",'Raw counts'!A31)</f>
        <v>Attr27</v>
      </c>
      <c r="B30" s="19" t="str">
        <f>IF(ISBLANK('Raw counts'!B31),"",'3'!B92-'5'!B30)</f>
        <v/>
      </c>
      <c r="C30" s="19" t="str">
        <f>IF(ISBLANK('Raw counts'!C31),"",'3'!C92-'5'!C30)</f>
        <v/>
      </c>
      <c r="D30" s="19" t="str">
        <f>IF(ISBLANK('Raw counts'!D31),"",'3'!D92-'5'!D30)</f>
        <v/>
      </c>
      <c r="E30" s="19" t="str">
        <f>IF(ISBLANK('Raw counts'!E31),"",'3'!E92-'5'!E30)</f>
        <v/>
      </c>
      <c r="F30" s="19" t="str">
        <f>IF(ISBLANK('Raw counts'!F31),"",'3'!F92-'5'!F30)</f>
        <v/>
      </c>
      <c r="G30" s="19" t="str">
        <f>IF(ISBLANK('Raw counts'!G31),"",'3'!G92-'5'!G30)</f>
        <v/>
      </c>
      <c r="H30" s="19" t="str">
        <f>IF(ISBLANK('Raw counts'!H31),"",'3'!H92-'5'!H30)</f>
        <v/>
      </c>
      <c r="I30" s="19" t="str">
        <f>IF(ISBLANK('Raw counts'!I31),"",'3'!I92-'5'!I30)</f>
        <v/>
      </c>
      <c r="J30" s="19" t="str">
        <f>IF(ISBLANK('Raw counts'!J31),"",'3'!J92-'5'!J30)</f>
        <v/>
      </c>
      <c r="K30" s="19" t="str">
        <f>IF(ISBLANK('Raw counts'!K31),"",'3'!K92-'5'!K30)</f>
        <v/>
      </c>
      <c r="L30" s="19" t="str">
        <f>IF(ISBLANK('Raw counts'!L31),"",'3'!L92-'5'!L30)</f>
        <v/>
      </c>
      <c r="M30" s="19" t="str">
        <f>IF(ISBLANK('Raw counts'!M31),"",'3'!M92-'5'!M30)</f>
        <v/>
      </c>
      <c r="N30" s="19" t="str">
        <f>IF(ISBLANK('Raw counts'!N31),"",'3'!N92-'5'!N30)</f>
        <v/>
      </c>
      <c r="O30" s="19" t="str">
        <f>IF(ISBLANK('Raw counts'!O31),"",'3'!O92-'5'!O30)</f>
        <v/>
      </c>
      <c r="P30" s="19" t="str">
        <f>IF(ISBLANK('Raw counts'!P31),"",'3'!P92-'5'!P30)</f>
        <v/>
      </c>
      <c r="Q30" s="19" t="str">
        <f>IF(ISBLANK('Raw counts'!Q31),"",'3'!Q92-'5'!Q30)</f>
        <v/>
      </c>
      <c r="R30" s="19" t="str">
        <f>IF(ISBLANK('Raw counts'!R31),"",'3'!R92-'5'!R30)</f>
        <v/>
      </c>
      <c r="S30" s="19" t="str">
        <f>IF(ISBLANK('Raw counts'!S31),"",'3'!S92-'5'!S30)</f>
        <v/>
      </c>
      <c r="T30" s="19" t="str">
        <f>IF(ISBLANK('Raw counts'!T31),"",'3'!T92-'5'!T30)</f>
        <v/>
      </c>
      <c r="U30" s="19" t="str">
        <f>IF(ISBLANK('Raw counts'!U31),"",'3'!U92-'5'!U30)</f>
        <v/>
      </c>
    </row>
    <row r="31" spans="1:21" x14ac:dyDescent="0.15">
      <c r="A31" s="18" t="str">
        <f>IF(ISBLANK('Raw counts'!A32),"",'Raw counts'!A32)</f>
        <v>Attr28</v>
      </c>
      <c r="B31" s="19" t="str">
        <f>IF(ISBLANK('Raw counts'!B32),"",'3'!B93-'5'!B31)</f>
        <v/>
      </c>
      <c r="C31" s="19" t="str">
        <f>IF(ISBLANK('Raw counts'!C32),"",'3'!C93-'5'!C31)</f>
        <v/>
      </c>
      <c r="D31" s="19" t="str">
        <f>IF(ISBLANK('Raw counts'!D32),"",'3'!D93-'5'!D31)</f>
        <v/>
      </c>
      <c r="E31" s="19" t="str">
        <f>IF(ISBLANK('Raw counts'!E32),"",'3'!E93-'5'!E31)</f>
        <v/>
      </c>
      <c r="F31" s="19" t="str">
        <f>IF(ISBLANK('Raw counts'!F32),"",'3'!F93-'5'!F31)</f>
        <v/>
      </c>
      <c r="G31" s="19" t="str">
        <f>IF(ISBLANK('Raw counts'!G32),"",'3'!G93-'5'!G31)</f>
        <v/>
      </c>
      <c r="H31" s="19" t="str">
        <f>IF(ISBLANK('Raw counts'!H32),"",'3'!H93-'5'!H31)</f>
        <v/>
      </c>
      <c r="I31" s="19" t="str">
        <f>IF(ISBLANK('Raw counts'!I32),"",'3'!I93-'5'!I31)</f>
        <v/>
      </c>
      <c r="J31" s="19" t="str">
        <f>IF(ISBLANK('Raw counts'!J32),"",'3'!J93-'5'!J31)</f>
        <v/>
      </c>
      <c r="K31" s="19" t="str">
        <f>IF(ISBLANK('Raw counts'!K32),"",'3'!K93-'5'!K31)</f>
        <v/>
      </c>
      <c r="L31" s="19" t="str">
        <f>IF(ISBLANK('Raw counts'!L32),"",'3'!L93-'5'!L31)</f>
        <v/>
      </c>
      <c r="M31" s="19" t="str">
        <f>IF(ISBLANK('Raw counts'!M32),"",'3'!M93-'5'!M31)</f>
        <v/>
      </c>
      <c r="N31" s="19" t="str">
        <f>IF(ISBLANK('Raw counts'!N32),"",'3'!N93-'5'!N31)</f>
        <v/>
      </c>
      <c r="O31" s="19" t="str">
        <f>IF(ISBLANK('Raw counts'!O32),"",'3'!O93-'5'!O31)</f>
        <v/>
      </c>
      <c r="P31" s="19" t="str">
        <f>IF(ISBLANK('Raw counts'!P32),"",'3'!P93-'5'!P31)</f>
        <v/>
      </c>
      <c r="Q31" s="19" t="str">
        <f>IF(ISBLANK('Raw counts'!Q32),"",'3'!Q93-'5'!Q31)</f>
        <v/>
      </c>
      <c r="R31" s="19" t="str">
        <f>IF(ISBLANK('Raw counts'!R32),"",'3'!R93-'5'!R31)</f>
        <v/>
      </c>
      <c r="S31" s="19" t="str">
        <f>IF(ISBLANK('Raw counts'!S32),"",'3'!S93-'5'!S31)</f>
        <v/>
      </c>
      <c r="T31" s="19" t="str">
        <f>IF(ISBLANK('Raw counts'!T32),"",'3'!T93-'5'!T31)</f>
        <v/>
      </c>
      <c r="U31" s="19" t="str">
        <f>IF(ISBLANK('Raw counts'!U32),"",'3'!U93-'5'!U31)</f>
        <v/>
      </c>
    </row>
    <row r="32" spans="1:21" x14ac:dyDescent="0.15">
      <c r="A32" s="18" t="str">
        <f>IF(ISBLANK('Raw counts'!A33),"",'Raw counts'!A33)</f>
        <v>Attr29</v>
      </c>
      <c r="B32" s="19" t="str">
        <f>IF(ISBLANK('Raw counts'!B33),"",'3'!B94-'5'!B32)</f>
        <v/>
      </c>
      <c r="C32" s="19" t="str">
        <f>IF(ISBLANK('Raw counts'!C33),"",'3'!C94-'5'!C32)</f>
        <v/>
      </c>
      <c r="D32" s="19" t="str">
        <f>IF(ISBLANK('Raw counts'!D33),"",'3'!D94-'5'!D32)</f>
        <v/>
      </c>
      <c r="E32" s="19" t="str">
        <f>IF(ISBLANK('Raw counts'!E33),"",'3'!E94-'5'!E32)</f>
        <v/>
      </c>
      <c r="F32" s="19" t="str">
        <f>IF(ISBLANK('Raw counts'!F33),"",'3'!F94-'5'!F32)</f>
        <v/>
      </c>
      <c r="G32" s="19" t="str">
        <f>IF(ISBLANK('Raw counts'!G33),"",'3'!G94-'5'!G32)</f>
        <v/>
      </c>
      <c r="H32" s="19" t="str">
        <f>IF(ISBLANK('Raw counts'!H33),"",'3'!H94-'5'!H32)</f>
        <v/>
      </c>
      <c r="I32" s="19" t="str">
        <f>IF(ISBLANK('Raw counts'!I33),"",'3'!I94-'5'!I32)</f>
        <v/>
      </c>
      <c r="J32" s="19" t="str">
        <f>IF(ISBLANK('Raw counts'!J33),"",'3'!J94-'5'!J32)</f>
        <v/>
      </c>
      <c r="K32" s="19" t="str">
        <f>IF(ISBLANK('Raw counts'!K33),"",'3'!K94-'5'!K32)</f>
        <v/>
      </c>
      <c r="L32" s="19" t="str">
        <f>IF(ISBLANK('Raw counts'!L33),"",'3'!L94-'5'!L32)</f>
        <v/>
      </c>
      <c r="M32" s="19" t="str">
        <f>IF(ISBLANK('Raw counts'!M33),"",'3'!M94-'5'!M32)</f>
        <v/>
      </c>
      <c r="N32" s="19" t="str">
        <f>IF(ISBLANK('Raw counts'!N33),"",'3'!N94-'5'!N32)</f>
        <v/>
      </c>
      <c r="O32" s="19" t="str">
        <f>IF(ISBLANK('Raw counts'!O33),"",'3'!O94-'5'!O32)</f>
        <v/>
      </c>
      <c r="P32" s="19" t="str">
        <f>IF(ISBLANK('Raw counts'!P33),"",'3'!P94-'5'!P32)</f>
        <v/>
      </c>
      <c r="Q32" s="19" t="str">
        <f>IF(ISBLANK('Raw counts'!Q33),"",'3'!Q94-'5'!Q32)</f>
        <v/>
      </c>
      <c r="R32" s="19" t="str">
        <f>IF(ISBLANK('Raw counts'!R33),"",'3'!R94-'5'!R32)</f>
        <v/>
      </c>
      <c r="S32" s="19" t="str">
        <f>IF(ISBLANK('Raw counts'!S33),"",'3'!S94-'5'!S32)</f>
        <v/>
      </c>
      <c r="T32" s="19" t="str">
        <f>IF(ISBLANK('Raw counts'!T33),"",'3'!T94-'5'!T32)</f>
        <v/>
      </c>
      <c r="U32" s="19" t="str">
        <f>IF(ISBLANK('Raw counts'!U33),"",'3'!U94-'5'!U32)</f>
        <v/>
      </c>
    </row>
    <row r="33" spans="1:21" x14ac:dyDescent="0.15">
      <c r="A33" s="18" t="str">
        <f>IF(ISBLANK('Raw counts'!A34),"",'Raw counts'!A34)</f>
        <v>Attr30</v>
      </c>
      <c r="B33" s="19" t="str">
        <f>IF(ISBLANK('Raw counts'!B34),"",'3'!B95-'5'!B33)</f>
        <v/>
      </c>
      <c r="C33" s="19" t="str">
        <f>IF(ISBLANK('Raw counts'!C34),"",'3'!C95-'5'!C33)</f>
        <v/>
      </c>
      <c r="D33" s="19" t="str">
        <f>IF(ISBLANK('Raw counts'!D34),"",'3'!D95-'5'!D33)</f>
        <v/>
      </c>
      <c r="E33" s="19" t="str">
        <f>IF(ISBLANK('Raw counts'!E34),"",'3'!E95-'5'!E33)</f>
        <v/>
      </c>
      <c r="F33" s="19" t="str">
        <f>IF(ISBLANK('Raw counts'!F34),"",'3'!F95-'5'!F33)</f>
        <v/>
      </c>
      <c r="G33" s="19" t="str">
        <f>IF(ISBLANK('Raw counts'!G34),"",'3'!G95-'5'!G33)</f>
        <v/>
      </c>
      <c r="H33" s="19" t="str">
        <f>IF(ISBLANK('Raw counts'!H34),"",'3'!H95-'5'!H33)</f>
        <v/>
      </c>
      <c r="I33" s="19" t="str">
        <f>IF(ISBLANK('Raw counts'!I34),"",'3'!I95-'5'!I33)</f>
        <v/>
      </c>
      <c r="J33" s="19" t="str">
        <f>IF(ISBLANK('Raw counts'!J34),"",'3'!J95-'5'!J33)</f>
        <v/>
      </c>
      <c r="K33" s="19" t="str">
        <f>IF(ISBLANK('Raw counts'!K34),"",'3'!K95-'5'!K33)</f>
        <v/>
      </c>
      <c r="L33" s="19" t="str">
        <f>IF(ISBLANK('Raw counts'!L34),"",'3'!L95-'5'!L33)</f>
        <v/>
      </c>
      <c r="M33" s="19" t="str">
        <f>IF(ISBLANK('Raw counts'!M34),"",'3'!M95-'5'!M33)</f>
        <v/>
      </c>
      <c r="N33" s="19" t="str">
        <f>IF(ISBLANK('Raw counts'!N34),"",'3'!N95-'5'!N33)</f>
        <v/>
      </c>
      <c r="O33" s="19" t="str">
        <f>IF(ISBLANK('Raw counts'!O34),"",'3'!O95-'5'!O33)</f>
        <v/>
      </c>
      <c r="P33" s="19" t="str">
        <f>IF(ISBLANK('Raw counts'!P34),"",'3'!P95-'5'!P33)</f>
        <v/>
      </c>
      <c r="Q33" s="19" t="str">
        <f>IF(ISBLANK('Raw counts'!Q34),"",'3'!Q95-'5'!Q33)</f>
        <v/>
      </c>
      <c r="R33" s="19" t="str">
        <f>IF(ISBLANK('Raw counts'!R34),"",'3'!R95-'5'!R33)</f>
        <v/>
      </c>
      <c r="S33" s="19" t="str">
        <f>IF(ISBLANK('Raw counts'!S34),"",'3'!S95-'5'!S33)</f>
        <v/>
      </c>
      <c r="T33" s="19" t="str">
        <f>IF(ISBLANK('Raw counts'!T34),"",'3'!T95-'5'!T33)</f>
        <v/>
      </c>
      <c r="U33" s="19" t="str">
        <f>IF(ISBLANK('Raw counts'!U34),"",'3'!U95-'5'!U33)</f>
        <v/>
      </c>
    </row>
    <row r="34" spans="1:21" x14ac:dyDescent="0.15">
      <c r="A34" s="18" t="str">
        <f>IF(ISBLANK('Raw counts'!A35),"",'Raw counts'!A35)</f>
        <v>Attr31</v>
      </c>
      <c r="B34" s="19" t="str">
        <f>IF(ISBLANK('Raw counts'!B35),"",'3'!B96-'5'!B34)</f>
        <v/>
      </c>
      <c r="C34" s="19" t="str">
        <f>IF(ISBLANK('Raw counts'!C35),"",'3'!C96-'5'!C34)</f>
        <v/>
      </c>
      <c r="D34" s="19" t="str">
        <f>IF(ISBLANK('Raw counts'!D35),"",'3'!D96-'5'!D34)</f>
        <v/>
      </c>
      <c r="E34" s="19" t="str">
        <f>IF(ISBLANK('Raw counts'!E35),"",'3'!E96-'5'!E34)</f>
        <v/>
      </c>
      <c r="F34" s="19" t="str">
        <f>IF(ISBLANK('Raw counts'!F35),"",'3'!F96-'5'!F34)</f>
        <v/>
      </c>
      <c r="G34" s="19" t="str">
        <f>IF(ISBLANK('Raw counts'!G35),"",'3'!G96-'5'!G34)</f>
        <v/>
      </c>
      <c r="H34" s="19" t="str">
        <f>IF(ISBLANK('Raw counts'!H35),"",'3'!H96-'5'!H34)</f>
        <v/>
      </c>
      <c r="I34" s="19" t="str">
        <f>IF(ISBLANK('Raw counts'!I35),"",'3'!I96-'5'!I34)</f>
        <v/>
      </c>
      <c r="J34" s="19" t="str">
        <f>IF(ISBLANK('Raw counts'!J35),"",'3'!J96-'5'!J34)</f>
        <v/>
      </c>
      <c r="K34" s="19" t="str">
        <f>IF(ISBLANK('Raw counts'!K35),"",'3'!K96-'5'!K34)</f>
        <v/>
      </c>
      <c r="L34" s="19" t="str">
        <f>IF(ISBLANK('Raw counts'!L35),"",'3'!L96-'5'!L34)</f>
        <v/>
      </c>
      <c r="M34" s="19" t="str">
        <f>IF(ISBLANK('Raw counts'!M35),"",'3'!M96-'5'!M34)</f>
        <v/>
      </c>
      <c r="N34" s="19" t="str">
        <f>IF(ISBLANK('Raw counts'!N35),"",'3'!N96-'5'!N34)</f>
        <v/>
      </c>
      <c r="O34" s="19" t="str">
        <f>IF(ISBLANK('Raw counts'!O35),"",'3'!O96-'5'!O34)</f>
        <v/>
      </c>
      <c r="P34" s="19" t="str">
        <f>IF(ISBLANK('Raw counts'!P35),"",'3'!P96-'5'!P34)</f>
        <v/>
      </c>
      <c r="Q34" s="19" t="str">
        <f>IF(ISBLANK('Raw counts'!Q35),"",'3'!Q96-'5'!Q34)</f>
        <v/>
      </c>
      <c r="R34" s="19" t="str">
        <f>IF(ISBLANK('Raw counts'!R35),"",'3'!R96-'5'!R34)</f>
        <v/>
      </c>
      <c r="S34" s="19" t="str">
        <f>IF(ISBLANK('Raw counts'!S35),"",'3'!S96-'5'!S34)</f>
        <v/>
      </c>
      <c r="T34" s="19" t="str">
        <f>IF(ISBLANK('Raw counts'!T35),"",'3'!T96-'5'!T34)</f>
        <v/>
      </c>
      <c r="U34" s="19" t="str">
        <f>IF(ISBLANK('Raw counts'!U35),"",'3'!U96-'5'!U34)</f>
        <v/>
      </c>
    </row>
    <row r="35" spans="1:21" x14ac:dyDescent="0.15">
      <c r="A35" s="18" t="str">
        <f>IF(ISBLANK('Raw counts'!A36),"",'Raw counts'!A36)</f>
        <v>Attr32</v>
      </c>
      <c r="B35" s="19" t="str">
        <f>IF(ISBLANK('Raw counts'!B36),"",'3'!B97-'5'!B35)</f>
        <v/>
      </c>
      <c r="C35" s="19" t="str">
        <f>IF(ISBLANK('Raw counts'!C36),"",'3'!C97-'5'!C35)</f>
        <v/>
      </c>
      <c r="D35" s="19" t="str">
        <f>IF(ISBLANK('Raw counts'!D36),"",'3'!D97-'5'!D35)</f>
        <v/>
      </c>
      <c r="E35" s="19" t="str">
        <f>IF(ISBLANK('Raw counts'!E36),"",'3'!E97-'5'!E35)</f>
        <v/>
      </c>
      <c r="F35" s="19" t="str">
        <f>IF(ISBLANK('Raw counts'!F36),"",'3'!F97-'5'!F35)</f>
        <v/>
      </c>
      <c r="G35" s="19" t="str">
        <f>IF(ISBLANK('Raw counts'!G36),"",'3'!G97-'5'!G35)</f>
        <v/>
      </c>
      <c r="H35" s="19" t="str">
        <f>IF(ISBLANK('Raw counts'!H36),"",'3'!H97-'5'!H35)</f>
        <v/>
      </c>
      <c r="I35" s="19" t="str">
        <f>IF(ISBLANK('Raw counts'!I36),"",'3'!I97-'5'!I35)</f>
        <v/>
      </c>
      <c r="J35" s="19" t="str">
        <f>IF(ISBLANK('Raw counts'!J36),"",'3'!J97-'5'!J35)</f>
        <v/>
      </c>
      <c r="K35" s="19" t="str">
        <f>IF(ISBLANK('Raw counts'!K36),"",'3'!K97-'5'!K35)</f>
        <v/>
      </c>
      <c r="L35" s="19" t="str">
        <f>IF(ISBLANK('Raw counts'!L36),"",'3'!L97-'5'!L35)</f>
        <v/>
      </c>
      <c r="M35" s="19" t="str">
        <f>IF(ISBLANK('Raw counts'!M36),"",'3'!M97-'5'!M35)</f>
        <v/>
      </c>
      <c r="N35" s="19" t="str">
        <f>IF(ISBLANK('Raw counts'!N36),"",'3'!N97-'5'!N35)</f>
        <v/>
      </c>
      <c r="O35" s="19" t="str">
        <f>IF(ISBLANK('Raw counts'!O36),"",'3'!O97-'5'!O35)</f>
        <v/>
      </c>
      <c r="P35" s="19" t="str">
        <f>IF(ISBLANK('Raw counts'!P36),"",'3'!P97-'5'!P35)</f>
        <v/>
      </c>
      <c r="Q35" s="19" t="str">
        <f>IF(ISBLANK('Raw counts'!Q36),"",'3'!Q97-'5'!Q35)</f>
        <v/>
      </c>
      <c r="R35" s="19" t="str">
        <f>IF(ISBLANK('Raw counts'!R36),"",'3'!R97-'5'!R35)</f>
        <v/>
      </c>
      <c r="S35" s="19" t="str">
        <f>IF(ISBLANK('Raw counts'!S36),"",'3'!S97-'5'!S35)</f>
        <v/>
      </c>
      <c r="T35" s="19" t="str">
        <f>IF(ISBLANK('Raw counts'!T36),"",'3'!T97-'5'!T35)</f>
        <v/>
      </c>
      <c r="U35" s="19" t="str">
        <f>IF(ISBLANK('Raw counts'!U36),"",'3'!U97-'5'!U35)</f>
        <v/>
      </c>
    </row>
    <row r="36" spans="1:21" x14ac:dyDescent="0.15">
      <c r="A36" s="18" t="str">
        <f>IF(ISBLANK('Raw counts'!A37),"",'Raw counts'!A37)</f>
        <v>Attr33</v>
      </c>
      <c r="B36" s="19" t="str">
        <f>IF(ISBLANK('Raw counts'!B37),"",'3'!B98-'5'!B36)</f>
        <v/>
      </c>
      <c r="C36" s="19" t="str">
        <f>IF(ISBLANK('Raw counts'!C37),"",'3'!C98-'5'!C36)</f>
        <v/>
      </c>
      <c r="D36" s="19" t="str">
        <f>IF(ISBLANK('Raw counts'!D37),"",'3'!D98-'5'!D36)</f>
        <v/>
      </c>
      <c r="E36" s="19" t="str">
        <f>IF(ISBLANK('Raw counts'!E37),"",'3'!E98-'5'!E36)</f>
        <v/>
      </c>
      <c r="F36" s="19" t="str">
        <f>IF(ISBLANK('Raw counts'!F37),"",'3'!F98-'5'!F36)</f>
        <v/>
      </c>
      <c r="G36" s="19" t="str">
        <f>IF(ISBLANK('Raw counts'!G37),"",'3'!G98-'5'!G36)</f>
        <v/>
      </c>
      <c r="H36" s="19" t="str">
        <f>IF(ISBLANK('Raw counts'!H37),"",'3'!H98-'5'!H36)</f>
        <v/>
      </c>
      <c r="I36" s="19" t="str">
        <f>IF(ISBLANK('Raw counts'!I37),"",'3'!I98-'5'!I36)</f>
        <v/>
      </c>
      <c r="J36" s="19" t="str">
        <f>IF(ISBLANK('Raw counts'!J37),"",'3'!J98-'5'!J36)</f>
        <v/>
      </c>
      <c r="K36" s="19" t="str">
        <f>IF(ISBLANK('Raw counts'!K37),"",'3'!K98-'5'!K36)</f>
        <v/>
      </c>
      <c r="L36" s="19" t="str">
        <f>IF(ISBLANK('Raw counts'!L37),"",'3'!L98-'5'!L36)</f>
        <v/>
      </c>
      <c r="M36" s="19" t="str">
        <f>IF(ISBLANK('Raw counts'!M37),"",'3'!M98-'5'!M36)</f>
        <v/>
      </c>
      <c r="N36" s="19" t="str">
        <f>IF(ISBLANK('Raw counts'!N37),"",'3'!N98-'5'!N36)</f>
        <v/>
      </c>
      <c r="O36" s="19" t="str">
        <f>IF(ISBLANK('Raw counts'!O37),"",'3'!O98-'5'!O36)</f>
        <v/>
      </c>
      <c r="P36" s="19" t="str">
        <f>IF(ISBLANK('Raw counts'!P37),"",'3'!P98-'5'!P36)</f>
        <v/>
      </c>
      <c r="Q36" s="19" t="str">
        <f>IF(ISBLANK('Raw counts'!Q37),"",'3'!Q98-'5'!Q36)</f>
        <v/>
      </c>
      <c r="R36" s="19" t="str">
        <f>IF(ISBLANK('Raw counts'!R37),"",'3'!R98-'5'!R36)</f>
        <v/>
      </c>
      <c r="S36" s="19" t="str">
        <f>IF(ISBLANK('Raw counts'!S37),"",'3'!S98-'5'!S36)</f>
        <v/>
      </c>
      <c r="T36" s="19" t="str">
        <f>IF(ISBLANK('Raw counts'!T37),"",'3'!T98-'5'!T36)</f>
        <v/>
      </c>
      <c r="U36" s="19" t="str">
        <f>IF(ISBLANK('Raw counts'!U37),"",'3'!U98-'5'!U36)</f>
        <v/>
      </c>
    </row>
    <row r="37" spans="1:21" x14ac:dyDescent="0.15">
      <c r="A37" s="18" t="str">
        <f>IF(ISBLANK('Raw counts'!A38),"",'Raw counts'!A38)</f>
        <v>Attr34</v>
      </c>
      <c r="B37" s="19" t="str">
        <f>IF(ISBLANK('Raw counts'!B38),"",'3'!B99-'5'!B37)</f>
        <v/>
      </c>
      <c r="C37" s="19" t="str">
        <f>IF(ISBLANK('Raw counts'!C38),"",'3'!C99-'5'!C37)</f>
        <v/>
      </c>
      <c r="D37" s="19" t="str">
        <f>IF(ISBLANK('Raw counts'!D38),"",'3'!D99-'5'!D37)</f>
        <v/>
      </c>
      <c r="E37" s="19" t="str">
        <f>IF(ISBLANK('Raw counts'!E38),"",'3'!E99-'5'!E37)</f>
        <v/>
      </c>
      <c r="F37" s="19" t="str">
        <f>IF(ISBLANK('Raw counts'!F38),"",'3'!F99-'5'!F37)</f>
        <v/>
      </c>
      <c r="G37" s="19" t="str">
        <f>IF(ISBLANK('Raw counts'!G38),"",'3'!G99-'5'!G37)</f>
        <v/>
      </c>
      <c r="H37" s="19" t="str">
        <f>IF(ISBLANK('Raw counts'!H38),"",'3'!H99-'5'!H37)</f>
        <v/>
      </c>
      <c r="I37" s="19" t="str">
        <f>IF(ISBLANK('Raw counts'!I38),"",'3'!I99-'5'!I37)</f>
        <v/>
      </c>
      <c r="J37" s="19" t="str">
        <f>IF(ISBLANK('Raw counts'!J38),"",'3'!J99-'5'!J37)</f>
        <v/>
      </c>
      <c r="K37" s="19" t="str">
        <f>IF(ISBLANK('Raw counts'!K38),"",'3'!K99-'5'!K37)</f>
        <v/>
      </c>
      <c r="L37" s="19" t="str">
        <f>IF(ISBLANK('Raw counts'!L38),"",'3'!L99-'5'!L37)</f>
        <v/>
      </c>
      <c r="M37" s="19" t="str">
        <f>IF(ISBLANK('Raw counts'!M38),"",'3'!M99-'5'!M37)</f>
        <v/>
      </c>
      <c r="N37" s="19" t="str">
        <f>IF(ISBLANK('Raw counts'!N38),"",'3'!N99-'5'!N37)</f>
        <v/>
      </c>
      <c r="O37" s="19" t="str">
        <f>IF(ISBLANK('Raw counts'!O38),"",'3'!O99-'5'!O37)</f>
        <v/>
      </c>
      <c r="P37" s="19" t="str">
        <f>IF(ISBLANK('Raw counts'!P38),"",'3'!P99-'5'!P37)</f>
        <v/>
      </c>
      <c r="Q37" s="19" t="str">
        <f>IF(ISBLANK('Raw counts'!Q38),"",'3'!Q99-'5'!Q37)</f>
        <v/>
      </c>
      <c r="R37" s="19" t="str">
        <f>IF(ISBLANK('Raw counts'!R38),"",'3'!R99-'5'!R37)</f>
        <v/>
      </c>
      <c r="S37" s="19" t="str">
        <f>IF(ISBLANK('Raw counts'!S38),"",'3'!S99-'5'!S37)</f>
        <v/>
      </c>
      <c r="T37" s="19" t="str">
        <f>IF(ISBLANK('Raw counts'!T38),"",'3'!T99-'5'!T37)</f>
        <v/>
      </c>
      <c r="U37" s="19" t="str">
        <f>IF(ISBLANK('Raw counts'!U38),"",'3'!U99-'5'!U37)</f>
        <v/>
      </c>
    </row>
    <row r="38" spans="1:21" x14ac:dyDescent="0.15">
      <c r="A38" s="18" t="str">
        <f>IF(ISBLANK('Raw counts'!A39),"",'Raw counts'!A39)</f>
        <v>Attr35</v>
      </c>
      <c r="B38" s="19" t="str">
        <f>IF(ISBLANK('Raw counts'!B39),"",'3'!B100-'5'!B38)</f>
        <v/>
      </c>
      <c r="C38" s="19" t="str">
        <f>IF(ISBLANK('Raw counts'!C39),"",'3'!C100-'5'!C38)</f>
        <v/>
      </c>
      <c r="D38" s="19" t="str">
        <f>IF(ISBLANK('Raw counts'!D39),"",'3'!D100-'5'!D38)</f>
        <v/>
      </c>
      <c r="E38" s="19" t="str">
        <f>IF(ISBLANK('Raw counts'!E39),"",'3'!E100-'5'!E38)</f>
        <v/>
      </c>
      <c r="F38" s="19" t="str">
        <f>IF(ISBLANK('Raw counts'!F39),"",'3'!F100-'5'!F38)</f>
        <v/>
      </c>
      <c r="G38" s="19" t="str">
        <f>IF(ISBLANK('Raw counts'!G39),"",'3'!G100-'5'!G38)</f>
        <v/>
      </c>
      <c r="H38" s="19" t="str">
        <f>IF(ISBLANK('Raw counts'!H39),"",'3'!H100-'5'!H38)</f>
        <v/>
      </c>
      <c r="I38" s="19" t="str">
        <f>IF(ISBLANK('Raw counts'!I39),"",'3'!I100-'5'!I38)</f>
        <v/>
      </c>
      <c r="J38" s="19" t="str">
        <f>IF(ISBLANK('Raw counts'!J39),"",'3'!J100-'5'!J38)</f>
        <v/>
      </c>
      <c r="K38" s="19" t="str">
        <f>IF(ISBLANK('Raw counts'!K39),"",'3'!K100-'5'!K38)</f>
        <v/>
      </c>
      <c r="L38" s="19" t="str">
        <f>IF(ISBLANK('Raw counts'!L39),"",'3'!L100-'5'!L38)</f>
        <v/>
      </c>
      <c r="M38" s="19" t="str">
        <f>IF(ISBLANK('Raw counts'!M39),"",'3'!M100-'5'!M38)</f>
        <v/>
      </c>
      <c r="N38" s="19" t="str">
        <f>IF(ISBLANK('Raw counts'!N39),"",'3'!N100-'5'!N38)</f>
        <v/>
      </c>
      <c r="O38" s="19" t="str">
        <f>IF(ISBLANK('Raw counts'!O39),"",'3'!O100-'5'!O38)</f>
        <v/>
      </c>
      <c r="P38" s="19" t="str">
        <f>IF(ISBLANK('Raw counts'!P39),"",'3'!P100-'5'!P38)</f>
        <v/>
      </c>
      <c r="Q38" s="19" t="str">
        <f>IF(ISBLANK('Raw counts'!Q39),"",'3'!Q100-'5'!Q38)</f>
        <v/>
      </c>
      <c r="R38" s="19" t="str">
        <f>IF(ISBLANK('Raw counts'!R39),"",'3'!R100-'5'!R38)</f>
        <v/>
      </c>
      <c r="S38" s="19" t="str">
        <f>IF(ISBLANK('Raw counts'!S39),"",'3'!S100-'5'!S38)</f>
        <v/>
      </c>
      <c r="T38" s="19" t="str">
        <f>IF(ISBLANK('Raw counts'!T39),"",'3'!T100-'5'!T38)</f>
        <v/>
      </c>
      <c r="U38" s="19" t="str">
        <f>IF(ISBLANK('Raw counts'!U39),"",'3'!U100-'5'!U38)</f>
        <v/>
      </c>
    </row>
    <row r="39" spans="1:21" x14ac:dyDescent="0.15">
      <c r="A39" s="18" t="str">
        <f>IF(ISBLANK('Raw counts'!A40),"",'Raw counts'!A40)</f>
        <v>Attr36</v>
      </c>
      <c r="B39" s="19" t="str">
        <f>IF(ISBLANK('Raw counts'!B40),"",'3'!B101-'5'!B39)</f>
        <v/>
      </c>
      <c r="C39" s="19" t="str">
        <f>IF(ISBLANK('Raw counts'!C40),"",'3'!C101-'5'!C39)</f>
        <v/>
      </c>
      <c r="D39" s="19" t="str">
        <f>IF(ISBLANK('Raw counts'!D40),"",'3'!D101-'5'!D39)</f>
        <v/>
      </c>
      <c r="E39" s="19" t="str">
        <f>IF(ISBLANK('Raw counts'!E40),"",'3'!E101-'5'!E39)</f>
        <v/>
      </c>
      <c r="F39" s="19" t="str">
        <f>IF(ISBLANK('Raw counts'!F40),"",'3'!F101-'5'!F39)</f>
        <v/>
      </c>
      <c r="G39" s="19" t="str">
        <f>IF(ISBLANK('Raw counts'!G40),"",'3'!G101-'5'!G39)</f>
        <v/>
      </c>
      <c r="H39" s="19" t="str">
        <f>IF(ISBLANK('Raw counts'!H40),"",'3'!H101-'5'!H39)</f>
        <v/>
      </c>
      <c r="I39" s="19" t="str">
        <f>IF(ISBLANK('Raw counts'!I40),"",'3'!I101-'5'!I39)</f>
        <v/>
      </c>
      <c r="J39" s="19" t="str">
        <f>IF(ISBLANK('Raw counts'!J40),"",'3'!J101-'5'!J39)</f>
        <v/>
      </c>
      <c r="K39" s="19" t="str">
        <f>IF(ISBLANK('Raw counts'!K40),"",'3'!K101-'5'!K39)</f>
        <v/>
      </c>
      <c r="L39" s="19" t="str">
        <f>IF(ISBLANK('Raw counts'!L40),"",'3'!L101-'5'!L39)</f>
        <v/>
      </c>
      <c r="M39" s="19" t="str">
        <f>IF(ISBLANK('Raw counts'!M40),"",'3'!M101-'5'!M39)</f>
        <v/>
      </c>
      <c r="N39" s="19" t="str">
        <f>IF(ISBLANK('Raw counts'!N40),"",'3'!N101-'5'!N39)</f>
        <v/>
      </c>
      <c r="O39" s="19" t="str">
        <f>IF(ISBLANK('Raw counts'!O40),"",'3'!O101-'5'!O39)</f>
        <v/>
      </c>
      <c r="P39" s="19" t="str">
        <f>IF(ISBLANK('Raw counts'!P40),"",'3'!P101-'5'!P39)</f>
        <v/>
      </c>
      <c r="Q39" s="19" t="str">
        <f>IF(ISBLANK('Raw counts'!Q40),"",'3'!Q101-'5'!Q39)</f>
        <v/>
      </c>
      <c r="R39" s="19" t="str">
        <f>IF(ISBLANK('Raw counts'!R40),"",'3'!R101-'5'!R39)</f>
        <v/>
      </c>
      <c r="S39" s="19" t="str">
        <f>IF(ISBLANK('Raw counts'!S40),"",'3'!S101-'5'!S39)</f>
        <v/>
      </c>
      <c r="T39" s="19" t="str">
        <f>IF(ISBLANK('Raw counts'!T40),"",'3'!T101-'5'!T39)</f>
        <v/>
      </c>
      <c r="U39" s="19" t="str">
        <f>IF(ISBLANK('Raw counts'!U40),"",'3'!U101-'5'!U39)</f>
        <v/>
      </c>
    </row>
    <row r="40" spans="1:21" x14ac:dyDescent="0.15">
      <c r="A40" s="18" t="str">
        <f>IF(ISBLANK('Raw counts'!A41),"",'Raw counts'!A41)</f>
        <v>Attr37</v>
      </c>
      <c r="B40" s="19" t="str">
        <f>IF(ISBLANK('Raw counts'!B41),"",'3'!B102-'5'!B40)</f>
        <v/>
      </c>
      <c r="C40" s="19" t="str">
        <f>IF(ISBLANK('Raw counts'!C41),"",'3'!C102-'5'!C40)</f>
        <v/>
      </c>
      <c r="D40" s="19" t="str">
        <f>IF(ISBLANK('Raw counts'!D41),"",'3'!D102-'5'!D40)</f>
        <v/>
      </c>
      <c r="E40" s="19" t="str">
        <f>IF(ISBLANK('Raw counts'!E41),"",'3'!E102-'5'!E40)</f>
        <v/>
      </c>
      <c r="F40" s="19" t="str">
        <f>IF(ISBLANK('Raw counts'!F41),"",'3'!F102-'5'!F40)</f>
        <v/>
      </c>
      <c r="G40" s="19" t="str">
        <f>IF(ISBLANK('Raw counts'!G41),"",'3'!G102-'5'!G40)</f>
        <v/>
      </c>
      <c r="H40" s="19" t="str">
        <f>IF(ISBLANK('Raw counts'!H41),"",'3'!H102-'5'!H40)</f>
        <v/>
      </c>
      <c r="I40" s="19" t="str">
        <f>IF(ISBLANK('Raw counts'!I41),"",'3'!I102-'5'!I40)</f>
        <v/>
      </c>
      <c r="J40" s="19" t="str">
        <f>IF(ISBLANK('Raw counts'!J41),"",'3'!J102-'5'!J40)</f>
        <v/>
      </c>
      <c r="K40" s="19" t="str">
        <f>IF(ISBLANK('Raw counts'!K41),"",'3'!K102-'5'!K40)</f>
        <v/>
      </c>
      <c r="L40" s="19" t="str">
        <f>IF(ISBLANK('Raw counts'!L41),"",'3'!L102-'5'!L40)</f>
        <v/>
      </c>
      <c r="M40" s="19" t="str">
        <f>IF(ISBLANK('Raw counts'!M41),"",'3'!M102-'5'!M40)</f>
        <v/>
      </c>
      <c r="N40" s="19" t="str">
        <f>IF(ISBLANK('Raw counts'!N41),"",'3'!N102-'5'!N40)</f>
        <v/>
      </c>
      <c r="O40" s="19" t="str">
        <f>IF(ISBLANK('Raw counts'!O41),"",'3'!O102-'5'!O40)</f>
        <v/>
      </c>
      <c r="P40" s="19" t="str">
        <f>IF(ISBLANK('Raw counts'!P41),"",'3'!P102-'5'!P40)</f>
        <v/>
      </c>
      <c r="Q40" s="19" t="str">
        <f>IF(ISBLANK('Raw counts'!Q41),"",'3'!Q102-'5'!Q40)</f>
        <v/>
      </c>
      <c r="R40" s="19" t="str">
        <f>IF(ISBLANK('Raw counts'!R41),"",'3'!R102-'5'!R40)</f>
        <v/>
      </c>
      <c r="S40" s="19" t="str">
        <f>IF(ISBLANK('Raw counts'!S41),"",'3'!S102-'5'!S40)</f>
        <v/>
      </c>
      <c r="T40" s="19" t="str">
        <f>IF(ISBLANK('Raw counts'!T41),"",'3'!T102-'5'!T40)</f>
        <v/>
      </c>
      <c r="U40" s="19" t="str">
        <f>IF(ISBLANK('Raw counts'!U41),"",'3'!U102-'5'!U40)</f>
        <v/>
      </c>
    </row>
    <row r="41" spans="1:21" x14ac:dyDescent="0.15">
      <c r="A41" s="18" t="str">
        <f>IF(ISBLANK('Raw counts'!A42),"",'Raw counts'!A42)</f>
        <v>Attr38</v>
      </c>
      <c r="B41" s="19" t="str">
        <f>IF(ISBLANK('Raw counts'!B42),"",'3'!B103-'5'!B41)</f>
        <v/>
      </c>
      <c r="C41" s="19" t="str">
        <f>IF(ISBLANK('Raw counts'!C42),"",'3'!C103-'5'!C41)</f>
        <v/>
      </c>
      <c r="D41" s="19" t="str">
        <f>IF(ISBLANK('Raw counts'!D42),"",'3'!D103-'5'!D41)</f>
        <v/>
      </c>
      <c r="E41" s="19" t="str">
        <f>IF(ISBLANK('Raw counts'!E42),"",'3'!E103-'5'!E41)</f>
        <v/>
      </c>
      <c r="F41" s="19" t="str">
        <f>IF(ISBLANK('Raw counts'!F42),"",'3'!F103-'5'!F41)</f>
        <v/>
      </c>
      <c r="G41" s="19" t="str">
        <f>IF(ISBLANK('Raw counts'!G42),"",'3'!G103-'5'!G41)</f>
        <v/>
      </c>
      <c r="H41" s="19" t="str">
        <f>IF(ISBLANK('Raw counts'!H42),"",'3'!H103-'5'!H41)</f>
        <v/>
      </c>
      <c r="I41" s="19" t="str">
        <f>IF(ISBLANK('Raw counts'!I42),"",'3'!I103-'5'!I41)</f>
        <v/>
      </c>
      <c r="J41" s="19" t="str">
        <f>IF(ISBLANK('Raw counts'!J42),"",'3'!J103-'5'!J41)</f>
        <v/>
      </c>
      <c r="K41" s="19" t="str">
        <f>IF(ISBLANK('Raw counts'!K42),"",'3'!K103-'5'!K41)</f>
        <v/>
      </c>
      <c r="L41" s="19" t="str">
        <f>IF(ISBLANK('Raw counts'!L42),"",'3'!L103-'5'!L41)</f>
        <v/>
      </c>
      <c r="M41" s="19" t="str">
        <f>IF(ISBLANK('Raw counts'!M42),"",'3'!M103-'5'!M41)</f>
        <v/>
      </c>
      <c r="N41" s="19" t="str">
        <f>IF(ISBLANK('Raw counts'!N42),"",'3'!N103-'5'!N41)</f>
        <v/>
      </c>
      <c r="O41" s="19" t="str">
        <f>IF(ISBLANK('Raw counts'!O42),"",'3'!O103-'5'!O41)</f>
        <v/>
      </c>
      <c r="P41" s="19" t="str">
        <f>IF(ISBLANK('Raw counts'!P42),"",'3'!P103-'5'!P41)</f>
        <v/>
      </c>
      <c r="Q41" s="19" t="str">
        <f>IF(ISBLANK('Raw counts'!Q42),"",'3'!Q103-'5'!Q41)</f>
        <v/>
      </c>
      <c r="R41" s="19" t="str">
        <f>IF(ISBLANK('Raw counts'!R42),"",'3'!R103-'5'!R41)</f>
        <v/>
      </c>
      <c r="S41" s="19" t="str">
        <f>IF(ISBLANK('Raw counts'!S42),"",'3'!S103-'5'!S41)</f>
        <v/>
      </c>
      <c r="T41" s="19" t="str">
        <f>IF(ISBLANK('Raw counts'!T42),"",'3'!T103-'5'!T41)</f>
        <v/>
      </c>
      <c r="U41" s="19" t="str">
        <f>IF(ISBLANK('Raw counts'!U42),"",'3'!U103-'5'!U41)</f>
        <v/>
      </c>
    </row>
    <row r="42" spans="1:21" x14ac:dyDescent="0.15">
      <c r="A42" s="18" t="str">
        <f>IF(ISBLANK('Raw counts'!A43),"",'Raw counts'!A43)</f>
        <v>Attr39</v>
      </c>
      <c r="B42" s="19" t="str">
        <f>IF(ISBLANK('Raw counts'!B43),"",'3'!B104-'5'!B42)</f>
        <v/>
      </c>
      <c r="C42" s="19" t="str">
        <f>IF(ISBLANK('Raw counts'!C43),"",'3'!C104-'5'!C42)</f>
        <v/>
      </c>
      <c r="D42" s="19" t="str">
        <f>IF(ISBLANK('Raw counts'!D43),"",'3'!D104-'5'!D42)</f>
        <v/>
      </c>
      <c r="E42" s="19" t="str">
        <f>IF(ISBLANK('Raw counts'!E43),"",'3'!E104-'5'!E42)</f>
        <v/>
      </c>
      <c r="F42" s="19" t="str">
        <f>IF(ISBLANK('Raw counts'!F43),"",'3'!F104-'5'!F42)</f>
        <v/>
      </c>
      <c r="G42" s="19" t="str">
        <f>IF(ISBLANK('Raw counts'!G43),"",'3'!G104-'5'!G42)</f>
        <v/>
      </c>
      <c r="H42" s="19" t="str">
        <f>IF(ISBLANK('Raw counts'!H43),"",'3'!H104-'5'!H42)</f>
        <v/>
      </c>
      <c r="I42" s="19" t="str">
        <f>IF(ISBLANK('Raw counts'!I43),"",'3'!I104-'5'!I42)</f>
        <v/>
      </c>
      <c r="J42" s="19" t="str">
        <f>IF(ISBLANK('Raw counts'!J43),"",'3'!J104-'5'!J42)</f>
        <v/>
      </c>
      <c r="K42" s="19" t="str">
        <f>IF(ISBLANK('Raw counts'!K43),"",'3'!K104-'5'!K42)</f>
        <v/>
      </c>
      <c r="L42" s="19" t="str">
        <f>IF(ISBLANK('Raw counts'!L43),"",'3'!L104-'5'!L42)</f>
        <v/>
      </c>
      <c r="M42" s="19" t="str">
        <f>IF(ISBLANK('Raw counts'!M43),"",'3'!M104-'5'!M42)</f>
        <v/>
      </c>
      <c r="N42" s="19" t="str">
        <f>IF(ISBLANK('Raw counts'!N43),"",'3'!N104-'5'!N42)</f>
        <v/>
      </c>
      <c r="O42" s="19" t="str">
        <f>IF(ISBLANK('Raw counts'!O43),"",'3'!O104-'5'!O42)</f>
        <v/>
      </c>
      <c r="P42" s="19" t="str">
        <f>IF(ISBLANK('Raw counts'!P43),"",'3'!P104-'5'!P42)</f>
        <v/>
      </c>
      <c r="Q42" s="19" t="str">
        <f>IF(ISBLANK('Raw counts'!Q43),"",'3'!Q104-'5'!Q42)</f>
        <v/>
      </c>
      <c r="R42" s="19" t="str">
        <f>IF(ISBLANK('Raw counts'!R43),"",'3'!R104-'5'!R42)</f>
        <v/>
      </c>
      <c r="S42" s="19" t="str">
        <f>IF(ISBLANK('Raw counts'!S43),"",'3'!S104-'5'!S42)</f>
        <v/>
      </c>
      <c r="T42" s="19" t="str">
        <f>IF(ISBLANK('Raw counts'!T43),"",'3'!T104-'5'!T42)</f>
        <v/>
      </c>
      <c r="U42" s="19" t="str">
        <f>IF(ISBLANK('Raw counts'!U43),"",'3'!U104-'5'!U42)</f>
        <v/>
      </c>
    </row>
    <row r="43" spans="1:21" x14ac:dyDescent="0.15">
      <c r="A43" s="18" t="str">
        <f>IF(ISBLANK('Raw counts'!A44),"",'Raw counts'!A44)</f>
        <v>Attr40</v>
      </c>
      <c r="B43" s="19" t="str">
        <f>IF(ISBLANK('Raw counts'!B44),"",'3'!B105-'5'!B43)</f>
        <v/>
      </c>
      <c r="C43" s="19" t="str">
        <f>IF(ISBLANK('Raw counts'!C44),"",'3'!C105-'5'!C43)</f>
        <v/>
      </c>
      <c r="D43" s="19" t="str">
        <f>IF(ISBLANK('Raw counts'!D44),"",'3'!D105-'5'!D43)</f>
        <v/>
      </c>
      <c r="E43" s="19" t="str">
        <f>IF(ISBLANK('Raw counts'!E44),"",'3'!E105-'5'!E43)</f>
        <v/>
      </c>
      <c r="F43" s="19" t="str">
        <f>IF(ISBLANK('Raw counts'!F44),"",'3'!F105-'5'!F43)</f>
        <v/>
      </c>
      <c r="G43" s="19" t="str">
        <f>IF(ISBLANK('Raw counts'!G44),"",'3'!G105-'5'!G43)</f>
        <v/>
      </c>
      <c r="H43" s="19" t="str">
        <f>IF(ISBLANK('Raw counts'!H44),"",'3'!H105-'5'!H43)</f>
        <v/>
      </c>
      <c r="I43" s="19" t="str">
        <f>IF(ISBLANK('Raw counts'!I44),"",'3'!I105-'5'!I43)</f>
        <v/>
      </c>
      <c r="J43" s="19" t="str">
        <f>IF(ISBLANK('Raw counts'!J44),"",'3'!J105-'5'!J43)</f>
        <v/>
      </c>
      <c r="K43" s="19" t="str">
        <f>IF(ISBLANK('Raw counts'!K44),"",'3'!K105-'5'!K43)</f>
        <v/>
      </c>
      <c r="L43" s="19" t="str">
        <f>IF(ISBLANK('Raw counts'!L44),"",'3'!L105-'5'!L43)</f>
        <v/>
      </c>
      <c r="M43" s="19" t="str">
        <f>IF(ISBLANK('Raw counts'!M44),"",'3'!M105-'5'!M43)</f>
        <v/>
      </c>
      <c r="N43" s="19" t="str">
        <f>IF(ISBLANK('Raw counts'!N44),"",'3'!N105-'5'!N43)</f>
        <v/>
      </c>
      <c r="O43" s="19" t="str">
        <f>IF(ISBLANK('Raw counts'!O44),"",'3'!O105-'5'!O43)</f>
        <v/>
      </c>
      <c r="P43" s="19" t="str">
        <f>IF(ISBLANK('Raw counts'!P44),"",'3'!P105-'5'!P43)</f>
        <v/>
      </c>
      <c r="Q43" s="19" t="str">
        <f>IF(ISBLANK('Raw counts'!Q44),"",'3'!Q105-'5'!Q43)</f>
        <v/>
      </c>
      <c r="R43" s="19" t="str">
        <f>IF(ISBLANK('Raw counts'!R44),"",'3'!R105-'5'!R43)</f>
        <v/>
      </c>
      <c r="S43" s="19" t="str">
        <f>IF(ISBLANK('Raw counts'!S44),"",'3'!S105-'5'!S43)</f>
        <v/>
      </c>
      <c r="T43" s="19" t="str">
        <f>IF(ISBLANK('Raw counts'!T44),"",'3'!T105-'5'!T43)</f>
        <v/>
      </c>
      <c r="U43" s="19" t="str">
        <f>IF(ISBLANK('Raw counts'!U44),"",'3'!U105-'5'!U43)</f>
        <v/>
      </c>
    </row>
    <row r="44" spans="1:21" x14ac:dyDescent="0.15">
      <c r="A44" s="18" t="str">
        <f>IF(ISBLANK('Raw counts'!A45),"",'Raw counts'!A45)</f>
        <v>Attr41</v>
      </c>
      <c r="B44" s="19" t="str">
        <f>IF(ISBLANK('Raw counts'!B45),"",'3'!B106-'5'!B44)</f>
        <v/>
      </c>
      <c r="C44" s="19" t="str">
        <f>IF(ISBLANK('Raw counts'!C45),"",'3'!C106-'5'!C44)</f>
        <v/>
      </c>
      <c r="D44" s="19" t="str">
        <f>IF(ISBLANK('Raw counts'!D45),"",'3'!D106-'5'!D44)</f>
        <v/>
      </c>
      <c r="E44" s="19" t="str">
        <f>IF(ISBLANK('Raw counts'!E45),"",'3'!E106-'5'!E44)</f>
        <v/>
      </c>
      <c r="F44" s="19" t="str">
        <f>IF(ISBLANK('Raw counts'!F45),"",'3'!F106-'5'!F44)</f>
        <v/>
      </c>
      <c r="G44" s="19" t="str">
        <f>IF(ISBLANK('Raw counts'!G45),"",'3'!G106-'5'!G44)</f>
        <v/>
      </c>
      <c r="H44" s="19" t="str">
        <f>IF(ISBLANK('Raw counts'!H45),"",'3'!H106-'5'!H44)</f>
        <v/>
      </c>
      <c r="I44" s="19" t="str">
        <f>IF(ISBLANK('Raw counts'!I45),"",'3'!I106-'5'!I44)</f>
        <v/>
      </c>
      <c r="J44" s="19" t="str">
        <f>IF(ISBLANK('Raw counts'!J45),"",'3'!J106-'5'!J44)</f>
        <v/>
      </c>
      <c r="K44" s="19" t="str">
        <f>IF(ISBLANK('Raw counts'!K45),"",'3'!K106-'5'!K44)</f>
        <v/>
      </c>
      <c r="L44" s="19" t="str">
        <f>IF(ISBLANK('Raw counts'!L45),"",'3'!L106-'5'!L44)</f>
        <v/>
      </c>
      <c r="M44" s="19" t="str">
        <f>IF(ISBLANK('Raw counts'!M45),"",'3'!M106-'5'!M44)</f>
        <v/>
      </c>
      <c r="N44" s="19" t="str">
        <f>IF(ISBLANK('Raw counts'!N45),"",'3'!N106-'5'!N44)</f>
        <v/>
      </c>
      <c r="O44" s="19" t="str">
        <f>IF(ISBLANK('Raw counts'!O45),"",'3'!O106-'5'!O44)</f>
        <v/>
      </c>
      <c r="P44" s="19" t="str">
        <f>IF(ISBLANK('Raw counts'!P45),"",'3'!P106-'5'!P44)</f>
        <v/>
      </c>
      <c r="Q44" s="19" t="str">
        <f>IF(ISBLANK('Raw counts'!Q45),"",'3'!Q106-'5'!Q44)</f>
        <v/>
      </c>
      <c r="R44" s="19" t="str">
        <f>IF(ISBLANK('Raw counts'!R45),"",'3'!R106-'5'!R44)</f>
        <v/>
      </c>
      <c r="S44" s="19" t="str">
        <f>IF(ISBLANK('Raw counts'!S45),"",'3'!S106-'5'!S44)</f>
        <v/>
      </c>
      <c r="T44" s="19" t="str">
        <f>IF(ISBLANK('Raw counts'!T45),"",'3'!T106-'5'!T44)</f>
        <v/>
      </c>
      <c r="U44" s="19" t="str">
        <f>IF(ISBLANK('Raw counts'!U45),"",'3'!U106-'5'!U44)</f>
        <v/>
      </c>
    </row>
    <row r="45" spans="1:21" x14ac:dyDescent="0.15">
      <c r="A45" s="18" t="str">
        <f>IF(ISBLANK('Raw counts'!A46),"",'Raw counts'!A46)</f>
        <v>Attr42</v>
      </c>
      <c r="B45" s="19" t="str">
        <f>IF(ISBLANK('Raw counts'!B46),"",'3'!B107-'5'!B45)</f>
        <v/>
      </c>
      <c r="C45" s="19" t="str">
        <f>IF(ISBLANK('Raw counts'!C46),"",'3'!C107-'5'!C45)</f>
        <v/>
      </c>
      <c r="D45" s="19" t="str">
        <f>IF(ISBLANK('Raw counts'!D46),"",'3'!D107-'5'!D45)</f>
        <v/>
      </c>
      <c r="E45" s="19" t="str">
        <f>IF(ISBLANK('Raw counts'!E46),"",'3'!E107-'5'!E45)</f>
        <v/>
      </c>
      <c r="F45" s="19" t="str">
        <f>IF(ISBLANK('Raw counts'!F46),"",'3'!F107-'5'!F45)</f>
        <v/>
      </c>
      <c r="G45" s="19" t="str">
        <f>IF(ISBLANK('Raw counts'!G46),"",'3'!G107-'5'!G45)</f>
        <v/>
      </c>
      <c r="H45" s="19" t="str">
        <f>IF(ISBLANK('Raw counts'!H46),"",'3'!H107-'5'!H45)</f>
        <v/>
      </c>
      <c r="I45" s="19" t="str">
        <f>IF(ISBLANK('Raw counts'!I46),"",'3'!I107-'5'!I45)</f>
        <v/>
      </c>
      <c r="J45" s="19" t="str">
        <f>IF(ISBLANK('Raw counts'!J46),"",'3'!J107-'5'!J45)</f>
        <v/>
      </c>
      <c r="K45" s="19" t="str">
        <f>IF(ISBLANK('Raw counts'!K46),"",'3'!K107-'5'!K45)</f>
        <v/>
      </c>
      <c r="L45" s="19" t="str">
        <f>IF(ISBLANK('Raw counts'!L46),"",'3'!L107-'5'!L45)</f>
        <v/>
      </c>
      <c r="M45" s="19" t="str">
        <f>IF(ISBLANK('Raw counts'!M46),"",'3'!M107-'5'!M45)</f>
        <v/>
      </c>
      <c r="N45" s="19" t="str">
        <f>IF(ISBLANK('Raw counts'!N46),"",'3'!N107-'5'!N45)</f>
        <v/>
      </c>
      <c r="O45" s="19" t="str">
        <f>IF(ISBLANK('Raw counts'!O46),"",'3'!O107-'5'!O45)</f>
        <v/>
      </c>
      <c r="P45" s="19" t="str">
        <f>IF(ISBLANK('Raw counts'!P46),"",'3'!P107-'5'!P45)</f>
        <v/>
      </c>
      <c r="Q45" s="19" t="str">
        <f>IF(ISBLANK('Raw counts'!Q46),"",'3'!Q107-'5'!Q45)</f>
        <v/>
      </c>
      <c r="R45" s="19" t="str">
        <f>IF(ISBLANK('Raw counts'!R46),"",'3'!R107-'5'!R45)</f>
        <v/>
      </c>
      <c r="S45" s="19" t="str">
        <f>IF(ISBLANK('Raw counts'!S46),"",'3'!S107-'5'!S45)</f>
        <v/>
      </c>
      <c r="T45" s="19" t="str">
        <f>IF(ISBLANK('Raw counts'!T46),"",'3'!T107-'5'!T45)</f>
        <v/>
      </c>
      <c r="U45" s="19" t="str">
        <f>IF(ISBLANK('Raw counts'!U46),"",'3'!U107-'5'!U45)</f>
        <v/>
      </c>
    </row>
    <row r="46" spans="1:21" x14ac:dyDescent="0.15">
      <c r="A46" s="18" t="str">
        <f>IF(ISBLANK('Raw counts'!A47),"",'Raw counts'!A47)</f>
        <v>Attr43</v>
      </c>
      <c r="B46" s="19" t="str">
        <f>IF(ISBLANK('Raw counts'!B47),"",'3'!B108-'5'!B46)</f>
        <v/>
      </c>
      <c r="C46" s="19" t="str">
        <f>IF(ISBLANK('Raw counts'!C47),"",'3'!C108-'5'!C46)</f>
        <v/>
      </c>
      <c r="D46" s="19" t="str">
        <f>IF(ISBLANK('Raw counts'!D47),"",'3'!D108-'5'!D46)</f>
        <v/>
      </c>
      <c r="E46" s="19" t="str">
        <f>IF(ISBLANK('Raw counts'!E47),"",'3'!E108-'5'!E46)</f>
        <v/>
      </c>
      <c r="F46" s="19" t="str">
        <f>IF(ISBLANK('Raw counts'!F47),"",'3'!F108-'5'!F46)</f>
        <v/>
      </c>
      <c r="G46" s="19" t="str">
        <f>IF(ISBLANK('Raw counts'!G47),"",'3'!G108-'5'!G46)</f>
        <v/>
      </c>
      <c r="H46" s="19" t="str">
        <f>IF(ISBLANK('Raw counts'!H47),"",'3'!H108-'5'!H46)</f>
        <v/>
      </c>
      <c r="I46" s="19" t="str">
        <f>IF(ISBLANK('Raw counts'!I47),"",'3'!I108-'5'!I46)</f>
        <v/>
      </c>
      <c r="J46" s="19" t="str">
        <f>IF(ISBLANK('Raw counts'!J47),"",'3'!J108-'5'!J46)</f>
        <v/>
      </c>
      <c r="K46" s="19" t="str">
        <f>IF(ISBLANK('Raw counts'!K47),"",'3'!K108-'5'!K46)</f>
        <v/>
      </c>
      <c r="L46" s="19" t="str">
        <f>IF(ISBLANK('Raw counts'!L47),"",'3'!L108-'5'!L46)</f>
        <v/>
      </c>
      <c r="M46" s="19" t="str">
        <f>IF(ISBLANK('Raw counts'!M47),"",'3'!M108-'5'!M46)</f>
        <v/>
      </c>
      <c r="N46" s="19" t="str">
        <f>IF(ISBLANK('Raw counts'!N47),"",'3'!N108-'5'!N46)</f>
        <v/>
      </c>
      <c r="O46" s="19" t="str">
        <f>IF(ISBLANK('Raw counts'!O47),"",'3'!O108-'5'!O46)</f>
        <v/>
      </c>
      <c r="P46" s="19" t="str">
        <f>IF(ISBLANK('Raw counts'!P47),"",'3'!P108-'5'!P46)</f>
        <v/>
      </c>
      <c r="Q46" s="19" t="str">
        <f>IF(ISBLANK('Raw counts'!Q47),"",'3'!Q108-'5'!Q46)</f>
        <v/>
      </c>
      <c r="R46" s="19" t="str">
        <f>IF(ISBLANK('Raw counts'!R47),"",'3'!R108-'5'!R46)</f>
        <v/>
      </c>
      <c r="S46" s="19" t="str">
        <f>IF(ISBLANK('Raw counts'!S47),"",'3'!S108-'5'!S46)</f>
        <v/>
      </c>
      <c r="T46" s="19" t="str">
        <f>IF(ISBLANK('Raw counts'!T47),"",'3'!T108-'5'!T46)</f>
        <v/>
      </c>
      <c r="U46" s="19" t="str">
        <f>IF(ISBLANK('Raw counts'!U47),"",'3'!U108-'5'!U46)</f>
        <v/>
      </c>
    </row>
    <row r="47" spans="1:21" x14ac:dyDescent="0.15">
      <c r="A47" s="18" t="str">
        <f>IF(ISBLANK('Raw counts'!A48),"",'Raw counts'!A48)</f>
        <v>Attr44</v>
      </c>
      <c r="B47" s="19" t="str">
        <f>IF(ISBLANK('Raw counts'!B48),"",'3'!B109-'5'!B47)</f>
        <v/>
      </c>
      <c r="C47" s="19" t="str">
        <f>IF(ISBLANK('Raw counts'!C48),"",'3'!C109-'5'!C47)</f>
        <v/>
      </c>
      <c r="D47" s="19" t="str">
        <f>IF(ISBLANK('Raw counts'!D48),"",'3'!D109-'5'!D47)</f>
        <v/>
      </c>
      <c r="E47" s="19" t="str">
        <f>IF(ISBLANK('Raw counts'!E48),"",'3'!E109-'5'!E47)</f>
        <v/>
      </c>
      <c r="F47" s="19" t="str">
        <f>IF(ISBLANK('Raw counts'!F48),"",'3'!F109-'5'!F47)</f>
        <v/>
      </c>
      <c r="G47" s="19" t="str">
        <f>IF(ISBLANK('Raw counts'!G48),"",'3'!G109-'5'!G47)</f>
        <v/>
      </c>
      <c r="H47" s="19" t="str">
        <f>IF(ISBLANK('Raw counts'!H48),"",'3'!H109-'5'!H47)</f>
        <v/>
      </c>
      <c r="I47" s="19" t="str">
        <f>IF(ISBLANK('Raw counts'!I48),"",'3'!I109-'5'!I47)</f>
        <v/>
      </c>
      <c r="J47" s="19" t="str">
        <f>IF(ISBLANK('Raw counts'!J48),"",'3'!J109-'5'!J47)</f>
        <v/>
      </c>
      <c r="K47" s="19" t="str">
        <f>IF(ISBLANK('Raw counts'!K48),"",'3'!K109-'5'!K47)</f>
        <v/>
      </c>
      <c r="L47" s="19" t="str">
        <f>IF(ISBLANK('Raw counts'!L48),"",'3'!L109-'5'!L47)</f>
        <v/>
      </c>
      <c r="M47" s="19" t="str">
        <f>IF(ISBLANK('Raw counts'!M48),"",'3'!M109-'5'!M47)</f>
        <v/>
      </c>
      <c r="N47" s="19" t="str">
        <f>IF(ISBLANK('Raw counts'!N48),"",'3'!N109-'5'!N47)</f>
        <v/>
      </c>
      <c r="O47" s="19" t="str">
        <f>IF(ISBLANK('Raw counts'!O48),"",'3'!O109-'5'!O47)</f>
        <v/>
      </c>
      <c r="P47" s="19" t="str">
        <f>IF(ISBLANK('Raw counts'!P48),"",'3'!P109-'5'!P47)</f>
        <v/>
      </c>
      <c r="Q47" s="19" t="str">
        <f>IF(ISBLANK('Raw counts'!Q48),"",'3'!Q109-'5'!Q47)</f>
        <v/>
      </c>
      <c r="R47" s="19" t="str">
        <f>IF(ISBLANK('Raw counts'!R48),"",'3'!R109-'5'!R47)</f>
        <v/>
      </c>
      <c r="S47" s="19" t="str">
        <f>IF(ISBLANK('Raw counts'!S48),"",'3'!S109-'5'!S47)</f>
        <v/>
      </c>
      <c r="T47" s="19" t="str">
        <f>IF(ISBLANK('Raw counts'!T48),"",'3'!T109-'5'!T47)</f>
        <v/>
      </c>
      <c r="U47" s="19" t="str">
        <f>IF(ISBLANK('Raw counts'!U48),"",'3'!U109-'5'!U47)</f>
        <v/>
      </c>
    </row>
    <row r="48" spans="1:21" x14ac:dyDescent="0.15">
      <c r="A48" s="18" t="str">
        <f>IF(ISBLANK('Raw counts'!A49),"",'Raw counts'!A49)</f>
        <v>Attr45</v>
      </c>
      <c r="B48" s="19" t="str">
        <f>IF(ISBLANK('Raw counts'!B49),"",'3'!B110-'5'!B48)</f>
        <v/>
      </c>
      <c r="C48" s="19" t="str">
        <f>IF(ISBLANK('Raw counts'!C49),"",'3'!C110-'5'!C48)</f>
        <v/>
      </c>
      <c r="D48" s="19" t="str">
        <f>IF(ISBLANK('Raw counts'!D49),"",'3'!D110-'5'!D48)</f>
        <v/>
      </c>
      <c r="E48" s="19" t="str">
        <f>IF(ISBLANK('Raw counts'!E49),"",'3'!E110-'5'!E48)</f>
        <v/>
      </c>
      <c r="F48" s="19" t="str">
        <f>IF(ISBLANK('Raw counts'!F49),"",'3'!F110-'5'!F48)</f>
        <v/>
      </c>
      <c r="G48" s="19" t="str">
        <f>IF(ISBLANK('Raw counts'!G49),"",'3'!G110-'5'!G48)</f>
        <v/>
      </c>
      <c r="H48" s="19" t="str">
        <f>IF(ISBLANK('Raw counts'!H49),"",'3'!H110-'5'!H48)</f>
        <v/>
      </c>
      <c r="I48" s="19" t="str">
        <f>IF(ISBLANK('Raw counts'!I49),"",'3'!I110-'5'!I48)</f>
        <v/>
      </c>
      <c r="J48" s="19" t="str">
        <f>IF(ISBLANK('Raw counts'!J49),"",'3'!J110-'5'!J48)</f>
        <v/>
      </c>
      <c r="K48" s="19" t="str">
        <f>IF(ISBLANK('Raw counts'!K49),"",'3'!K110-'5'!K48)</f>
        <v/>
      </c>
      <c r="L48" s="19" t="str">
        <f>IF(ISBLANK('Raw counts'!L49),"",'3'!L110-'5'!L48)</f>
        <v/>
      </c>
      <c r="M48" s="19" t="str">
        <f>IF(ISBLANK('Raw counts'!M49),"",'3'!M110-'5'!M48)</f>
        <v/>
      </c>
      <c r="N48" s="19" t="str">
        <f>IF(ISBLANK('Raw counts'!N49),"",'3'!N110-'5'!N48)</f>
        <v/>
      </c>
      <c r="O48" s="19" t="str">
        <f>IF(ISBLANK('Raw counts'!O49),"",'3'!O110-'5'!O48)</f>
        <v/>
      </c>
      <c r="P48" s="19" t="str">
        <f>IF(ISBLANK('Raw counts'!P49),"",'3'!P110-'5'!P48)</f>
        <v/>
      </c>
      <c r="Q48" s="19" t="str">
        <f>IF(ISBLANK('Raw counts'!Q49),"",'3'!Q110-'5'!Q48)</f>
        <v/>
      </c>
      <c r="R48" s="19" t="str">
        <f>IF(ISBLANK('Raw counts'!R49),"",'3'!R110-'5'!R48)</f>
        <v/>
      </c>
      <c r="S48" s="19" t="str">
        <f>IF(ISBLANK('Raw counts'!S49),"",'3'!S110-'5'!S48)</f>
        <v/>
      </c>
      <c r="T48" s="19" t="str">
        <f>IF(ISBLANK('Raw counts'!T49),"",'3'!T110-'5'!T48)</f>
        <v/>
      </c>
      <c r="U48" s="19" t="str">
        <f>IF(ISBLANK('Raw counts'!U49),"",'3'!U110-'5'!U48)</f>
        <v/>
      </c>
    </row>
    <row r="49" spans="1:21" x14ac:dyDescent="0.15">
      <c r="A49" s="18" t="str">
        <f>IF(ISBLANK('Raw counts'!A50),"",'Raw counts'!A50)</f>
        <v>Attr46</v>
      </c>
      <c r="B49" s="19" t="str">
        <f>IF(ISBLANK('Raw counts'!B50),"",'3'!B111-'5'!B49)</f>
        <v/>
      </c>
      <c r="C49" s="19" t="str">
        <f>IF(ISBLANK('Raw counts'!C50),"",'3'!C111-'5'!C49)</f>
        <v/>
      </c>
      <c r="D49" s="19" t="str">
        <f>IF(ISBLANK('Raw counts'!D50),"",'3'!D111-'5'!D49)</f>
        <v/>
      </c>
      <c r="E49" s="19" t="str">
        <f>IF(ISBLANK('Raw counts'!E50),"",'3'!E111-'5'!E49)</f>
        <v/>
      </c>
      <c r="F49" s="19" t="str">
        <f>IF(ISBLANK('Raw counts'!F50),"",'3'!F111-'5'!F49)</f>
        <v/>
      </c>
      <c r="G49" s="19" t="str">
        <f>IF(ISBLANK('Raw counts'!G50),"",'3'!G111-'5'!G49)</f>
        <v/>
      </c>
      <c r="H49" s="19" t="str">
        <f>IF(ISBLANK('Raw counts'!H50),"",'3'!H111-'5'!H49)</f>
        <v/>
      </c>
      <c r="I49" s="19" t="str">
        <f>IF(ISBLANK('Raw counts'!I50),"",'3'!I111-'5'!I49)</f>
        <v/>
      </c>
      <c r="J49" s="19" t="str">
        <f>IF(ISBLANK('Raw counts'!J50),"",'3'!J111-'5'!J49)</f>
        <v/>
      </c>
      <c r="K49" s="19" t="str">
        <f>IF(ISBLANK('Raw counts'!K50),"",'3'!K111-'5'!K49)</f>
        <v/>
      </c>
      <c r="L49" s="19" t="str">
        <f>IF(ISBLANK('Raw counts'!L50),"",'3'!L111-'5'!L49)</f>
        <v/>
      </c>
      <c r="M49" s="19" t="str">
        <f>IF(ISBLANK('Raw counts'!M50),"",'3'!M111-'5'!M49)</f>
        <v/>
      </c>
      <c r="N49" s="19" t="str">
        <f>IF(ISBLANK('Raw counts'!N50),"",'3'!N111-'5'!N49)</f>
        <v/>
      </c>
      <c r="O49" s="19" t="str">
        <f>IF(ISBLANK('Raw counts'!O50),"",'3'!O111-'5'!O49)</f>
        <v/>
      </c>
      <c r="P49" s="19" t="str">
        <f>IF(ISBLANK('Raw counts'!P50),"",'3'!P111-'5'!P49)</f>
        <v/>
      </c>
      <c r="Q49" s="19" t="str">
        <f>IF(ISBLANK('Raw counts'!Q50),"",'3'!Q111-'5'!Q49)</f>
        <v/>
      </c>
      <c r="R49" s="19" t="str">
        <f>IF(ISBLANK('Raw counts'!R50),"",'3'!R111-'5'!R49)</f>
        <v/>
      </c>
      <c r="S49" s="19" t="str">
        <f>IF(ISBLANK('Raw counts'!S50),"",'3'!S111-'5'!S49)</f>
        <v/>
      </c>
      <c r="T49" s="19" t="str">
        <f>IF(ISBLANK('Raw counts'!T50),"",'3'!T111-'5'!T49)</f>
        <v/>
      </c>
      <c r="U49" s="19" t="str">
        <f>IF(ISBLANK('Raw counts'!U50),"",'3'!U111-'5'!U49)</f>
        <v/>
      </c>
    </row>
    <row r="50" spans="1:21" x14ac:dyDescent="0.15">
      <c r="A50" s="18" t="str">
        <f>IF(ISBLANK('Raw counts'!A51),"",'Raw counts'!A51)</f>
        <v>Attr47</v>
      </c>
      <c r="B50" s="19" t="str">
        <f>IF(ISBLANK('Raw counts'!B51),"",'3'!B112-'5'!B50)</f>
        <v/>
      </c>
      <c r="C50" s="19" t="str">
        <f>IF(ISBLANK('Raw counts'!C51),"",'3'!C112-'5'!C50)</f>
        <v/>
      </c>
      <c r="D50" s="19" t="str">
        <f>IF(ISBLANK('Raw counts'!D51),"",'3'!D112-'5'!D50)</f>
        <v/>
      </c>
      <c r="E50" s="19" t="str">
        <f>IF(ISBLANK('Raw counts'!E51),"",'3'!E112-'5'!E50)</f>
        <v/>
      </c>
      <c r="F50" s="19" t="str">
        <f>IF(ISBLANK('Raw counts'!F51),"",'3'!F112-'5'!F50)</f>
        <v/>
      </c>
      <c r="G50" s="19" t="str">
        <f>IF(ISBLANK('Raw counts'!G51),"",'3'!G112-'5'!G50)</f>
        <v/>
      </c>
      <c r="H50" s="19" t="str">
        <f>IF(ISBLANK('Raw counts'!H51),"",'3'!H112-'5'!H50)</f>
        <v/>
      </c>
      <c r="I50" s="19" t="str">
        <f>IF(ISBLANK('Raw counts'!I51),"",'3'!I112-'5'!I50)</f>
        <v/>
      </c>
      <c r="J50" s="19" t="str">
        <f>IF(ISBLANK('Raw counts'!J51),"",'3'!J112-'5'!J50)</f>
        <v/>
      </c>
      <c r="K50" s="19" t="str">
        <f>IF(ISBLANK('Raw counts'!K51),"",'3'!K112-'5'!K50)</f>
        <v/>
      </c>
      <c r="L50" s="19" t="str">
        <f>IF(ISBLANK('Raw counts'!L51),"",'3'!L112-'5'!L50)</f>
        <v/>
      </c>
      <c r="M50" s="19" t="str">
        <f>IF(ISBLANK('Raw counts'!M51),"",'3'!M112-'5'!M50)</f>
        <v/>
      </c>
      <c r="N50" s="19" t="str">
        <f>IF(ISBLANK('Raw counts'!N51),"",'3'!N112-'5'!N50)</f>
        <v/>
      </c>
      <c r="O50" s="19" t="str">
        <f>IF(ISBLANK('Raw counts'!O51),"",'3'!O112-'5'!O50)</f>
        <v/>
      </c>
      <c r="P50" s="19" t="str">
        <f>IF(ISBLANK('Raw counts'!P51),"",'3'!P112-'5'!P50)</f>
        <v/>
      </c>
      <c r="Q50" s="19" t="str">
        <f>IF(ISBLANK('Raw counts'!Q51),"",'3'!Q112-'5'!Q50)</f>
        <v/>
      </c>
      <c r="R50" s="19" t="str">
        <f>IF(ISBLANK('Raw counts'!R51),"",'3'!R112-'5'!R50)</f>
        <v/>
      </c>
      <c r="S50" s="19" t="str">
        <f>IF(ISBLANK('Raw counts'!S51),"",'3'!S112-'5'!S50)</f>
        <v/>
      </c>
      <c r="T50" s="19" t="str">
        <f>IF(ISBLANK('Raw counts'!T51),"",'3'!T112-'5'!T50)</f>
        <v/>
      </c>
      <c r="U50" s="19" t="str">
        <f>IF(ISBLANK('Raw counts'!U51),"",'3'!U112-'5'!U50)</f>
        <v/>
      </c>
    </row>
    <row r="51" spans="1:21" x14ac:dyDescent="0.15">
      <c r="A51" s="18" t="str">
        <f>IF(ISBLANK('Raw counts'!A52),"",'Raw counts'!A52)</f>
        <v>Attr48</v>
      </c>
      <c r="B51" s="19" t="str">
        <f>IF(ISBLANK('Raw counts'!B52),"",'3'!B113-'5'!B51)</f>
        <v/>
      </c>
      <c r="C51" s="19" t="str">
        <f>IF(ISBLANK('Raw counts'!C52),"",'3'!C113-'5'!C51)</f>
        <v/>
      </c>
      <c r="D51" s="19" t="str">
        <f>IF(ISBLANK('Raw counts'!D52),"",'3'!D113-'5'!D51)</f>
        <v/>
      </c>
      <c r="E51" s="19" t="str">
        <f>IF(ISBLANK('Raw counts'!E52),"",'3'!E113-'5'!E51)</f>
        <v/>
      </c>
      <c r="F51" s="19" t="str">
        <f>IF(ISBLANK('Raw counts'!F52),"",'3'!F113-'5'!F51)</f>
        <v/>
      </c>
      <c r="G51" s="19" t="str">
        <f>IF(ISBLANK('Raw counts'!G52),"",'3'!G113-'5'!G51)</f>
        <v/>
      </c>
      <c r="H51" s="19" t="str">
        <f>IF(ISBLANK('Raw counts'!H52),"",'3'!H113-'5'!H51)</f>
        <v/>
      </c>
      <c r="I51" s="19" t="str">
        <f>IF(ISBLANK('Raw counts'!I52),"",'3'!I113-'5'!I51)</f>
        <v/>
      </c>
      <c r="J51" s="19" t="str">
        <f>IF(ISBLANK('Raw counts'!J52),"",'3'!J113-'5'!J51)</f>
        <v/>
      </c>
      <c r="K51" s="19" t="str">
        <f>IF(ISBLANK('Raw counts'!K52),"",'3'!K113-'5'!K51)</f>
        <v/>
      </c>
      <c r="L51" s="19" t="str">
        <f>IF(ISBLANK('Raw counts'!L52),"",'3'!L113-'5'!L51)</f>
        <v/>
      </c>
      <c r="M51" s="19" t="str">
        <f>IF(ISBLANK('Raw counts'!M52),"",'3'!M113-'5'!M51)</f>
        <v/>
      </c>
      <c r="N51" s="19" t="str">
        <f>IF(ISBLANK('Raw counts'!N52),"",'3'!N113-'5'!N51)</f>
        <v/>
      </c>
      <c r="O51" s="19" t="str">
        <f>IF(ISBLANK('Raw counts'!O52),"",'3'!O113-'5'!O51)</f>
        <v/>
      </c>
      <c r="P51" s="19" t="str">
        <f>IF(ISBLANK('Raw counts'!P52),"",'3'!P113-'5'!P51)</f>
        <v/>
      </c>
      <c r="Q51" s="19" t="str">
        <f>IF(ISBLANK('Raw counts'!Q52),"",'3'!Q113-'5'!Q51)</f>
        <v/>
      </c>
      <c r="R51" s="19" t="str">
        <f>IF(ISBLANK('Raw counts'!R52),"",'3'!R113-'5'!R51)</f>
        <v/>
      </c>
      <c r="S51" s="19" t="str">
        <f>IF(ISBLANK('Raw counts'!S52),"",'3'!S113-'5'!S51)</f>
        <v/>
      </c>
      <c r="T51" s="19" t="str">
        <f>IF(ISBLANK('Raw counts'!T52),"",'3'!T113-'5'!T51)</f>
        <v/>
      </c>
      <c r="U51" s="19" t="str">
        <f>IF(ISBLANK('Raw counts'!U52),"",'3'!U113-'5'!U51)</f>
        <v/>
      </c>
    </row>
    <row r="52" spans="1:21" x14ac:dyDescent="0.15">
      <c r="A52" s="18" t="str">
        <f>IF(ISBLANK('Raw counts'!A53),"",'Raw counts'!A53)</f>
        <v>Attr49</v>
      </c>
      <c r="B52" s="19" t="str">
        <f>IF(ISBLANK('Raw counts'!B53),"",'3'!B114-'5'!B52)</f>
        <v/>
      </c>
      <c r="C52" s="19" t="str">
        <f>IF(ISBLANK('Raw counts'!C53),"",'3'!C114-'5'!C52)</f>
        <v/>
      </c>
      <c r="D52" s="19" t="str">
        <f>IF(ISBLANK('Raw counts'!D53),"",'3'!D114-'5'!D52)</f>
        <v/>
      </c>
      <c r="E52" s="19" t="str">
        <f>IF(ISBLANK('Raw counts'!E53),"",'3'!E114-'5'!E52)</f>
        <v/>
      </c>
      <c r="F52" s="19" t="str">
        <f>IF(ISBLANK('Raw counts'!F53),"",'3'!F114-'5'!F52)</f>
        <v/>
      </c>
      <c r="G52" s="19" t="str">
        <f>IF(ISBLANK('Raw counts'!G53),"",'3'!G114-'5'!G52)</f>
        <v/>
      </c>
      <c r="H52" s="19" t="str">
        <f>IF(ISBLANK('Raw counts'!H53),"",'3'!H114-'5'!H52)</f>
        <v/>
      </c>
      <c r="I52" s="19" t="str">
        <f>IF(ISBLANK('Raw counts'!I53),"",'3'!I114-'5'!I52)</f>
        <v/>
      </c>
      <c r="J52" s="19" t="str">
        <f>IF(ISBLANK('Raw counts'!J53),"",'3'!J114-'5'!J52)</f>
        <v/>
      </c>
      <c r="K52" s="19" t="str">
        <f>IF(ISBLANK('Raw counts'!K53),"",'3'!K114-'5'!K52)</f>
        <v/>
      </c>
      <c r="L52" s="19" t="str">
        <f>IF(ISBLANK('Raw counts'!L53),"",'3'!L114-'5'!L52)</f>
        <v/>
      </c>
      <c r="M52" s="19" t="str">
        <f>IF(ISBLANK('Raw counts'!M53),"",'3'!M114-'5'!M52)</f>
        <v/>
      </c>
      <c r="N52" s="19" t="str">
        <f>IF(ISBLANK('Raw counts'!N53),"",'3'!N114-'5'!N52)</f>
        <v/>
      </c>
      <c r="O52" s="19" t="str">
        <f>IF(ISBLANK('Raw counts'!O53),"",'3'!O114-'5'!O52)</f>
        <v/>
      </c>
      <c r="P52" s="19" t="str">
        <f>IF(ISBLANK('Raw counts'!P53),"",'3'!P114-'5'!P52)</f>
        <v/>
      </c>
      <c r="Q52" s="19" t="str">
        <f>IF(ISBLANK('Raw counts'!Q53),"",'3'!Q114-'5'!Q52)</f>
        <v/>
      </c>
      <c r="R52" s="19" t="str">
        <f>IF(ISBLANK('Raw counts'!R53),"",'3'!R114-'5'!R52)</f>
        <v/>
      </c>
      <c r="S52" s="19" t="str">
        <f>IF(ISBLANK('Raw counts'!S53),"",'3'!S114-'5'!S52)</f>
        <v/>
      </c>
      <c r="T52" s="19" t="str">
        <f>IF(ISBLANK('Raw counts'!T53),"",'3'!T114-'5'!T52)</f>
        <v/>
      </c>
      <c r="U52" s="19" t="str">
        <f>IF(ISBLANK('Raw counts'!U53),"",'3'!U114-'5'!U52)</f>
        <v/>
      </c>
    </row>
    <row r="53" spans="1:21" x14ac:dyDescent="0.15">
      <c r="A53" s="18" t="str">
        <f>IF(ISBLANK('Raw counts'!A54),"",'Raw counts'!A54)</f>
        <v>Attr50</v>
      </c>
      <c r="B53" s="19" t="str">
        <f>IF(ISBLANK('Raw counts'!B54),"",'3'!B115-'5'!B53)</f>
        <v/>
      </c>
      <c r="C53" s="19" t="str">
        <f>IF(ISBLANK('Raw counts'!C54),"",'3'!C115-'5'!C53)</f>
        <v/>
      </c>
      <c r="D53" s="19" t="str">
        <f>IF(ISBLANK('Raw counts'!D54),"",'3'!D115-'5'!D53)</f>
        <v/>
      </c>
      <c r="E53" s="19" t="str">
        <f>IF(ISBLANK('Raw counts'!E54),"",'3'!E115-'5'!E53)</f>
        <v/>
      </c>
      <c r="F53" s="19" t="str">
        <f>IF(ISBLANK('Raw counts'!F54),"",'3'!F115-'5'!F53)</f>
        <v/>
      </c>
      <c r="G53" s="19" t="str">
        <f>IF(ISBLANK('Raw counts'!G54),"",'3'!G115-'5'!G53)</f>
        <v/>
      </c>
      <c r="H53" s="19" t="str">
        <f>IF(ISBLANK('Raw counts'!H54),"",'3'!H115-'5'!H53)</f>
        <v/>
      </c>
      <c r="I53" s="19" t="str">
        <f>IF(ISBLANK('Raw counts'!I54),"",'3'!I115-'5'!I53)</f>
        <v/>
      </c>
      <c r="J53" s="19" t="str">
        <f>IF(ISBLANK('Raw counts'!J54),"",'3'!J115-'5'!J53)</f>
        <v/>
      </c>
      <c r="K53" s="19" t="str">
        <f>IF(ISBLANK('Raw counts'!K54),"",'3'!K115-'5'!K53)</f>
        <v/>
      </c>
      <c r="L53" s="19" t="str">
        <f>IF(ISBLANK('Raw counts'!L54),"",'3'!L115-'5'!L53)</f>
        <v/>
      </c>
      <c r="M53" s="19" t="str">
        <f>IF(ISBLANK('Raw counts'!M54),"",'3'!M115-'5'!M53)</f>
        <v/>
      </c>
      <c r="N53" s="19" t="str">
        <f>IF(ISBLANK('Raw counts'!N54),"",'3'!N115-'5'!N53)</f>
        <v/>
      </c>
      <c r="O53" s="19" t="str">
        <f>IF(ISBLANK('Raw counts'!O54),"",'3'!O115-'5'!O53)</f>
        <v/>
      </c>
      <c r="P53" s="19" t="str">
        <f>IF(ISBLANK('Raw counts'!P54),"",'3'!P115-'5'!P53)</f>
        <v/>
      </c>
      <c r="Q53" s="19" t="str">
        <f>IF(ISBLANK('Raw counts'!Q54),"",'3'!Q115-'5'!Q53)</f>
        <v/>
      </c>
      <c r="R53" s="19" t="str">
        <f>IF(ISBLANK('Raw counts'!R54),"",'3'!R115-'5'!R53)</f>
        <v/>
      </c>
      <c r="S53" s="19" t="str">
        <f>IF(ISBLANK('Raw counts'!S54),"",'3'!S115-'5'!S53)</f>
        <v/>
      </c>
      <c r="T53" s="19" t="str">
        <f>IF(ISBLANK('Raw counts'!T54),"",'3'!T115-'5'!T53)</f>
        <v/>
      </c>
      <c r="U53" s="19" t="str">
        <f>IF(ISBLANK('Raw counts'!U54),"",'3'!U115-'5'!U53)</f>
        <v/>
      </c>
    </row>
    <row r="54" spans="1:21" x14ac:dyDescent="0.15">
      <c r="A54" s="18" t="str">
        <f>IF(ISBLANK('Raw counts'!A55),"",'Raw counts'!A55)</f>
        <v>Attr51</v>
      </c>
      <c r="B54" s="19" t="str">
        <f>IF(ISBLANK('Raw counts'!B55),"",'3'!B116-'5'!B54)</f>
        <v/>
      </c>
      <c r="C54" s="19" t="str">
        <f>IF(ISBLANK('Raw counts'!C55),"",'3'!C116-'5'!C54)</f>
        <v/>
      </c>
      <c r="D54" s="19" t="str">
        <f>IF(ISBLANK('Raw counts'!D55),"",'3'!D116-'5'!D54)</f>
        <v/>
      </c>
      <c r="E54" s="19" t="str">
        <f>IF(ISBLANK('Raw counts'!E55),"",'3'!E116-'5'!E54)</f>
        <v/>
      </c>
      <c r="F54" s="19" t="str">
        <f>IF(ISBLANK('Raw counts'!F55),"",'3'!F116-'5'!F54)</f>
        <v/>
      </c>
      <c r="G54" s="19" t="str">
        <f>IF(ISBLANK('Raw counts'!G55),"",'3'!G116-'5'!G54)</f>
        <v/>
      </c>
      <c r="H54" s="19" t="str">
        <f>IF(ISBLANK('Raw counts'!H55),"",'3'!H116-'5'!H54)</f>
        <v/>
      </c>
      <c r="I54" s="19" t="str">
        <f>IF(ISBLANK('Raw counts'!I55),"",'3'!I116-'5'!I54)</f>
        <v/>
      </c>
      <c r="J54" s="19" t="str">
        <f>IF(ISBLANK('Raw counts'!J55),"",'3'!J116-'5'!J54)</f>
        <v/>
      </c>
      <c r="K54" s="19" t="str">
        <f>IF(ISBLANK('Raw counts'!K55),"",'3'!K116-'5'!K54)</f>
        <v/>
      </c>
      <c r="L54" s="19" t="str">
        <f>IF(ISBLANK('Raw counts'!L55),"",'3'!L116-'5'!L54)</f>
        <v/>
      </c>
      <c r="M54" s="19" t="str">
        <f>IF(ISBLANK('Raw counts'!M55),"",'3'!M116-'5'!M54)</f>
        <v/>
      </c>
      <c r="N54" s="19" t="str">
        <f>IF(ISBLANK('Raw counts'!N55),"",'3'!N116-'5'!N54)</f>
        <v/>
      </c>
      <c r="O54" s="19" t="str">
        <f>IF(ISBLANK('Raw counts'!O55),"",'3'!O116-'5'!O54)</f>
        <v/>
      </c>
      <c r="P54" s="19" t="str">
        <f>IF(ISBLANK('Raw counts'!P55),"",'3'!P116-'5'!P54)</f>
        <v/>
      </c>
      <c r="Q54" s="19" t="str">
        <f>IF(ISBLANK('Raw counts'!Q55),"",'3'!Q116-'5'!Q54)</f>
        <v/>
      </c>
      <c r="R54" s="19" t="str">
        <f>IF(ISBLANK('Raw counts'!R55),"",'3'!R116-'5'!R54)</f>
        <v/>
      </c>
      <c r="S54" s="19" t="str">
        <f>IF(ISBLANK('Raw counts'!S55),"",'3'!S116-'5'!S54)</f>
        <v/>
      </c>
      <c r="T54" s="19" t="str">
        <f>IF(ISBLANK('Raw counts'!T55),"",'3'!T116-'5'!T54)</f>
        <v/>
      </c>
      <c r="U54" s="19" t="str">
        <f>IF(ISBLANK('Raw counts'!U55),"",'3'!U116-'5'!U54)</f>
        <v/>
      </c>
    </row>
    <row r="55" spans="1:21" x14ac:dyDescent="0.15">
      <c r="A55" s="18" t="str">
        <f>IF(ISBLANK('Raw counts'!A56),"",'Raw counts'!A56)</f>
        <v>Attr52</v>
      </c>
      <c r="B55" s="19" t="str">
        <f>IF(ISBLANK('Raw counts'!B56),"",'3'!B117-'5'!B55)</f>
        <v/>
      </c>
      <c r="C55" s="19" t="str">
        <f>IF(ISBLANK('Raw counts'!C56),"",'3'!C117-'5'!C55)</f>
        <v/>
      </c>
      <c r="D55" s="19" t="str">
        <f>IF(ISBLANK('Raw counts'!D56),"",'3'!D117-'5'!D55)</f>
        <v/>
      </c>
      <c r="E55" s="19" t="str">
        <f>IF(ISBLANK('Raw counts'!E56),"",'3'!E117-'5'!E55)</f>
        <v/>
      </c>
      <c r="F55" s="19" t="str">
        <f>IF(ISBLANK('Raw counts'!F56),"",'3'!F117-'5'!F55)</f>
        <v/>
      </c>
      <c r="G55" s="19" t="str">
        <f>IF(ISBLANK('Raw counts'!G56),"",'3'!G117-'5'!G55)</f>
        <v/>
      </c>
      <c r="H55" s="19" t="str">
        <f>IF(ISBLANK('Raw counts'!H56),"",'3'!H117-'5'!H55)</f>
        <v/>
      </c>
      <c r="I55" s="19" t="str">
        <f>IF(ISBLANK('Raw counts'!I56),"",'3'!I117-'5'!I55)</f>
        <v/>
      </c>
      <c r="J55" s="19" t="str">
        <f>IF(ISBLANK('Raw counts'!J56),"",'3'!J117-'5'!J55)</f>
        <v/>
      </c>
      <c r="K55" s="19" t="str">
        <f>IF(ISBLANK('Raw counts'!K56),"",'3'!K117-'5'!K55)</f>
        <v/>
      </c>
      <c r="L55" s="19" t="str">
        <f>IF(ISBLANK('Raw counts'!L56),"",'3'!L117-'5'!L55)</f>
        <v/>
      </c>
      <c r="M55" s="19" t="str">
        <f>IF(ISBLANK('Raw counts'!M56),"",'3'!M117-'5'!M55)</f>
        <v/>
      </c>
      <c r="N55" s="19" t="str">
        <f>IF(ISBLANK('Raw counts'!N56),"",'3'!N117-'5'!N55)</f>
        <v/>
      </c>
      <c r="O55" s="19" t="str">
        <f>IF(ISBLANK('Raw counts'!O56),"",'3'!O117-'5'!O55)</f>
        <v/>
      </c>
      <c r="P55" s="19" t="str">
        <f>IF(ISBLANK('Raw counts'!P56),"",'3'!P117-'5'!P55)</f>
        <v/>
      </c>
      <c r="Q55" s="19" t="str">
        <f>IF(ISBLANK('Raw counts'!Q56),"",'3'!Q117-'5'!Q55)</f>
        <v/>
      </c>
      <c r="R55" s="19" t="str">
        <f>IF(ISBLANK('Raw counts'!R56),"",'3'!R117-'5'!R55)</f>
        <v/>
      </c>
      <c r="S55" s="19" t="str">
        <f>IF(ISBLANK('Raw counts'!S56),"",'3'!S117-'5'!S55)</f>
        <v/>
      </c>
      <c r="T55" s="19" t="str">
        <f>IF(ISBLANK('Raw counts'!T56),"",'3'!T117-'5'!T55)</f>
        <v/>
      </c>
      <c r="U55" s="19" t="str">
        <f>IF(ISBLANK('Raw counts'!U56),"",'3'!U117-'5'!U55)</f>
        <v/>
      </c>
    </row>
    <row r="56" spans="1:21" x14ac:dyDescent="0.15">
      <c r="A56" s="18" t="str">
        <f>IF(ISBLANK('Raw counts'!A57),"",'Raw counts'!A57)</f>
        <v>Attr53</v>
      </c>
      <c r="B56" s="19" t="str">
        <f>IF(ISBLANK('Raw counts'!B57),"",'3'!B118-'5'!B56)</f>
        <v/>
      </c>
      <c r="C56" s="19" t="str">
        <f>IF(ISBLANK('Raw counts'!C57),"",'3'!C118-'5'!C56)</f>
        <v/>
      </c>
      <c r="D56" s="19" t="str">
        <f>IF(ISBLANK('Raw counts'!D57),"",'3'!D118-'5'!D56)</f>
        <v/>
      </c>
      <c r="E56" s="19" t="str">
        <f>IF(ISBLANK('Raw counts'!E57),"",'3'!E118-'5'!E56)</f>
        <v/>
      </c>
      <c r="F56" s="19" t="str">
        <f>IF(ISBLANK('Raw counts'!F57),"",'3'!F118-'5'!F56)</f>
        <v/>
      </c>
      <c r="G56" s="19" t="str">
        <f>IF(ISBLANK('Raw counts'!G57),"",'3'!G118-'5'!G56)</f>
        <v/>
      </c>
      <c r="H56" s="19" t="str">
        <f>IF(ISBLANK('Raw counts'!H57),"",'3'!H118-'5'!H56)</f>
        <v/>
      </c>
      <c r="I56" s="19" t="str">
        <f>IF(ISBLANK('Raw counts'!I57),"",'3'!I118-'5'!I56)</f>
        <v/>
      </c>
      <c r="J56" s="19" t="str">
        <f>IF(ISBLANK('Raw counts'!J57),"",'3'!J118-'5'!J56)</f>
        <v/>
      </c>
      <c r="K56" s="19" t="str">
        <f>IF(ISBLANK('Raw counts'!K57),"",'3'!K118-'5'!K56)</f>
        <v/>
      </c>
      <c r="L56" s="19" t="str">
        <f>IF(ISBLANK('Raw counts'!L57),"",'3'!L118-'5'!L56)</f>
        <v/>
      </c>
      <c r="M56" s="19" t="str">
        <f>IF(ISBLANK('Raw counts'!M57),"",'3'!M118-'5'!M56)</f>
        <v/>
      </c>
      <c r="N56" s="19" t="str">
        <f>IF(ISBLANK('Raw counts'!N57),"",'3'!N118-'5'!N56)</f>
        <v/>
      </c>
      <c r="O56" s="19" t="str">
        <f>IF(ISBLANK('Raw counts'!O57),"",'3'!O118-'5'!O56)</f>
        <v/>
      </c>
      <c r="P56" s="19" t="str">
        <f>IF(ISBLANK('Raw counts'!P57),"",'3'!P118-'5'!P56)</f>
        <v/>
      </c>
      <c r="Q56" s="19" t="str">
        <f>IF(ISBLANK('Raw counts'!Q57),"",'3'!Q118-'5'!Q56)</f>
        <v/>
      </c>
      <c r="R56" s="19" t="str">
        <f>IF(ISBLANK('Raw counts'!R57),"",'3'!R118-'5'!R56)</f>
        <v/>
      </c>
      <c r="S56" s="19" t="str">
        <f>IF(ISBLANK('Raw counts'!S57),"",'3'!S118-'5'!S56)</f>
        <v/>
      </c>
      <c r="T56" s="19" t="str">
        <f>IF(ISBLANK('Raw counts'!T57),"",'3'!T118-'5'!T56)</f>
        <v/>
      </c>
      <c r="U56" s="19" t="str">
        <f>IF(ISBLANK('Raw counts'!U57),"",'3'!U118-'5'!U56)</f>
        <v/>
      </c>
    </row>
    <row r="57" spans="1:21" x14ac:dyDescent="0.15">
      <c r="A57" s="18" t="str">
        <f>IF(ISBLANK('Raw counts'!A58),"",'Raw counts'!A58)</f>
        <v>Attr54</v>
      </c>
      <c r="B57" s="19" t="str">
        <f>IF(ISBLANK('Raw counts'!B58),"",'3'!B119-'5'!B57)</f>
        <v/>
      </c>
      <c r="C57" s="19" t="str">
        <f>IF(ISBLANK('Raw counts'!C58),"",'3'!C119-'5'!C57)</f>
        <v/>
      </c>
      <c r="D57" s="19" t="str">
        <f>IF(ISBLANK('Raw counts'!D58),"",'3'!D119-'5'!D57)</f>
        <v/>
      </c>
      <c r="E57" s="19" t="str">
        <f>IF(ISBLANK('Raw counts'!E58),"",'3'!E119-'5'!E57)</f>
        <v/>
      </c>
      <c r="F57" s="19" t="str">
        <f>IF(ISBLANK('Raw counts'!F58),"",'3'!F119-'5'!F57)</f>
        <v/>
      </c>
      <c r="G57" s="19" t="str">
        <f>IF(ISBLANK('Raw counts'!G58),"",'3'!G119-'5'!G57)</f>
        <v/>
      </c>
      <c r="H57" s="19" t="str">
        <f>IF(ISBLANK('Raw counts'!H58),"",'3'!H119-'5'!H57)</f>
        <v/>
      </c>
      <c r="I57" s="19" t="str">
        <f>IF(ISBLANK('Raw counts'!I58),"",'3'!I119-'5'!I57)</f>
        <v/>
      </c>
      <c r="J57" s="19" t="str">
        <f>IF(ISBLANK('Raw counts'!J58),"",'3'!J119-'5'!J57)</f>
        <v/>
      </c>
      <c r="K57" s="19" t="str">
        <f>IF(ISBLANK('Raw counts'!K58),"",'3'!K119-'5'!K57)</f>
        <v/>
      </c>
      <c r="L57" s="19" t="str">
        <f>IF(ISBLANK('Raw counts'!L58),"",'3'!L119-'5'!L57)</f>
        <v/>
      </c>
      <c r="M57" s="19" t="str">
        <f>IF(ISBLANK('Raw counts'!M58),"",'3'!M119-'5'!M57)</f>
        <v/>
      </c>
      <c r="N57" s="19" t="str">
        <f>IF(ISBLANK('Raw counts'!N58),"",'3'!N119-'5'!N57)</f>
        <v/>
      </c>
      <c r="O57" s="19" t="str">
        <f>IF(ISBLANK('Raw counts'!O58),"",'3'!O119-'5'!O57)</f>
        <v/>
      </c>
      <c r="P57" s="19" t="str">
        <f>IF(ISBLANK('Raw counts'!P58),"",'3'!P119-'5'!P57)</f>
        <v/>
      </c>
      <c r="Q57" s="19" t="str">
        <f>IF(ISBLANK('Raw counts'!Q58),"",'3'!Q119-'5'!Q57)</f>
        <v/>
      </c>
      <c r="R57" s="19" t="str">
        <f>IF(ISBLANK('Raw counts'!R58),"",'3'!R119-'5'!R57)</f>
        <v/>
      </c>
      <c r="S57" s="19" t="str">
        <f>IF(ISBLANK('Raw counts'!S58),"",'3'!S119-'5'!S57)</f>
        <v/>
      </c>
      <c r="T57" s="19" t="str">
        <f>IF(ISBLANK('Raw counts'!T58),"",'3'!T119-'5'!T57)</f>
        <v/>
      </c>
      <c r="U57" s="19" t="str">
        <f>IF(ISBLANK('Raw counts'!U58),"",'3'!U119-'5'!U57)</f>
        <v/>
      </c>
    </row>
    <row r="58" spans="1:21" x14ac:dyDescent="0.15">
      <c r="A58" s="18" t="str">
        <f>IF(ISBLANK('Raw counts'!A59),"",'Raw counts'!A59)</f>
        <v>Attr55</v>
      </c>
      <c r="B58" s="19" t="str">
        <f>IF(ISBLANK('Raw counts'!B59),"",'3'!B120-'5'!B58)</f>
        <v/>
      </c>
      <c r="C58" s="19" t="str">
        <f>IF(ISBLANK('Raw counts'!C59),"",'3'!C120-'5'!C58)</f>
        <v/>
      </c>
      <c r="D58" s="19" t="str">
        <f>IF(ISBLANK('Raw counts'!D59),"",'3'!D120-'5'!D58)</f>
        <v/>
      </c>
      <c r="E58" s="19" t="str">
        <f>IF(ISBLANK('Raw counts'!E59),"",'3'!E120-'5'!E58)</f>
        <v/>
      </c>
      <c r="F58" s="19" t="str">
        <f>IF(ISBLANK('Raw counts'!F59),"",'3'!F120-'5'!F58)</f>
        <v/>
      </c>
      <c r="G58" s="19" t="str">
        <f>IF(ISBLANK('Raw counts'!G59),"",'3'!G120-'5'!G58)</f>
        <v/>
      </c>
      <c r="H58" s="19" t="str">
        <f>IF(ISBLANK('Raw counts'!H59),"",'3'!H120-'5'!H58)</f>
        <v/>
      </c>
      <c r="I58" s="19" t="str">
        <f>IF(ISBLANK('Raw counts'!I59),"",'3'!I120-'5'!I58)</f>
        <v/>
      </c>
      <c r="J58" s="19" t="str">
        <f>IF(ISBLANK('Raw counts'!J59),"",'3'!J120-'5'!J58)</f>
        <v/>
      </c>
      <c r="K58" s="19" t="str">
        <f>IF(ISBLANK('Raw counts'!K59),"",'3'!K120-'5'!K58)</f>
        <v/>
      </c>
      <c r="L58" s="19" t="str">
        <f>IF(ISBLANK('Raw counts'!L59),"",'3'!L120-'5'!L58)</f>
        <v/>
      </c>
      <c r="M58" s="19" t="str">
        <f>IF(ISBLANK('Raw counts'!M59),"",'3'!M120-'5'!M58)</f>
        <v/>
      </c>
      <c r="N58" s="19" t="str">
        <f>IF(ISBLANK('Raw counts'!N59),"",'3'!N120-'5'!N58)</f>
        <v/>
      </c>
      <c r="O58" s="19" t="str">
        <f>IF(ISBLANK('Raw counts'!O59),"",'3'!O120-'5'!O58)</f>
        <v/>
      </c>
      <c r="P58" s="19" t="str">
        <f>IF(ISBLANK('Raw counts'!P59),"",'3'!P120-'5'!P58)</f>
        <v/>
      </c>
      <c r="Q58" s="19" t="str">
        <f>IF(ISBLANK('Raw counts'!Q59),"",'3'!Q120-'5'!Q58)</f>
        <v/>
      </c>
      <c r="R58" s="19" t="str">
        <f>IF(ISBLANK('Raw counts'!R59),"",'3'!R120-'5'!R58)</f>
        <v/>
      </c>
      <c r="S58" s="19" t="str">
        <f>IF(ISBLANK('Raw counts'!S59),"",'3'!S120-'5'!S58)</f>
        <v/>
      </c>
      <c r="T58" s="19" t="str">
        <f>IF(ISBLANK('Raw counts'!T59),"",'3'!T120-'5'!T58)</f>
        <v/>
      </c>
      <c r="U58" s="19" t="str">
        <f>IF(ISBLANK('Raw counts'!U59),"",'3'!U120-'5'!U58)</f>
        <v/>
      </c>
    </row>
    <row r="59" spans="1:21" x14ac:dyDescent="0.15">
      <c r="A59" s="18" t="str">
        <f>IF(ISBLANK('Raw counts'!A60),"",'Raw counts'!A60)</f>
        <v>Attr56</v>
      </c>
      <c r="B59" s="19" t="str">
        <f>IF(ISBLANK('Raw counts'!B60),"",'3'!B121-'5'!B59)</f>
        <v/>
      </c>
      <c r="C59" s="19" t="str">
        <f>IF(ISBLANK('Raw counts'!C60),"",'3'!C121-'5'!C59)</f>
        <v/>
      </c>
      <c r="D59" s="19" t="str">
        <f>IF(ISBLANK('Raw counts'!D60),"",'3'!D121-'5'!D59)</f>
        <v/>
      </c>
      <c r="E59" s="19" t="str">
        <f>IF(ISBLANK('Raw counts'!E60),"",'3'!E121-'5'!E59)</f>
        <v/>
      </c>
      <c r="F59" s="19" t="str">
        <f>IF(ISBLANK('Raw counts'!F60),"",'3'!F121-'5'!F59)</f>
        <v/>
      </c>
      <c r="G59" s="19" t="str">
        <f>IF(ISBLANK('Raw counts'!G60),"",'3'!G121-'5'!G59)</f>
        <v/>
      </c>
      <c r="H59" s="19" t="str">
        <f>IF(ISBLANK('Raw counts'!H60),"",'3'!H121-'5'!H59)</f>
        <v/>
      </c>
      <c r="I59" s="19" t="str">
        <f>IF(ISBLANK('Raw counts'!I60),"",'3'!I121-'5'!I59)</f>
        <v/>
      </c>
      <c r="J59" s="19" t="str">
        <f>IF(ISBLANK('Raw counts'!J60),"",'3'!J121-'5'!J59)</f>
        <v/>
      </c>
      <c r="K59" s="19" t="str">
        <f>IF(ISBLANK('Raw counts'!K60),"",'3'!K121-'5'!K59)</f>
        <v/>
      </c>
      <c r="L59" s="19" t="str">
        <f>IF(ISBLANK('Raw counts'!L60),"",'3'!L121-'5'!L59)</f>
        <v/>
      </c>
      <c r="M59" s="19" t="str">
        <f>IF(ISBLANK('Raw counts'!M60),"",'3'!M121-'5'!M59)</f>
        <v/>
      </c>
      <c r="N59" s="19" t="str">
        <f>IF(ISBLANK('Raw counts'!N60),"",'3'!N121-'5'!N59)</f>
        <v/>
      </c>
      <c r="O59" s="19" t="str">
        <f>IF(ISBLANK('Raw counts'!O60),"",'3'!O121-'5'!O59)</f>
        <v/>
      </c>
      <c r="P59" s="19" t="str">
        <f>IF(ISBLANK('Raw counts'!P60),"",'3'!P121-'5'!P59)</f>
        <v/>
      </c>
      <c r="Q59" s="19" t="str">
        <f>IF(ISBLANK('Raw counts'!Q60),"",'3'!Q121-'5'!Q59)</f>
        <v/>
      </c>
      <c r="R59" s="19" t="str">
        <f>IF(ISBLANK('Raw counts'!R60),"",'3'!R121-'5'!R59)</f>
        <v/>
      </c>
      <c r="S59" s="19" t="str">
        <f>IF(ISBLANK('Raw counts'!S60),"",'3'!S121-'5'!S59)</f>
        <v/>
      </c>
      <c r="T59" s="19" t="str">
        <f>IF(ISBLANK('Raw counts'!T60),"",'3'!T121-'5'!T59)</f>
        <v/>
      </c>
      <c r="U59" s="19" t="str">
        <f>IF(ISBLANK('Raw counts'!U60),"",'3'!U121-'5'!U59)</f>
        <v/>
      </c>
    </row>
    <row r="60" spans="1:21" x14ac:dyDescent="0.15">
      <c r="A60" s="18" t="str">
        <f>IF(ISBLANK('Raw counts'!A61),"",'Raw counts'!A61)</f>
        <v>Attr57</v>
      </c>
      <c r="B60" s="19" t="str">
        <f>IF(ISBLANK('Raw counts'!B61),"",'3'!B122-'5'!B60)</f>
        <v/>
      </c>
      <c r="C60" s="19" t="str">
        <f>IF(ISBLANK('Raw counts'!C61),"",'3'!C122-'5'!C60)</f>
        <v/>
      </c>
      <c r="D60" s="19" t="str">
        <f>IF(ISBLANK('Raw counts'!D61),"",'3'!D122-'5'!D60)</f>
        <v/>
      </c>
      <c r="E60" s="19" t="str">
        <f>IF(ISBLANK('Raw counts'!E61),"",'3'!E122-'5'!E60)</f>
        <v/>
      </c>
      <c r="F60" s="19" t="str">
        <f>IF(ISBLANK('Raw counts'!F61),"",'3'!F122-'5'!F60)</f>
        <v/>
      </c>
      <c r="G60" s="19" t="str">
        <f>IF(ISBLANK('Raw counts'!G61),"",'3'!G122-'5'!G60)</f>
        <v/>
      </c>
      <c r="H60" s="19" t="str">
        <f>IF(ISBLANK('Raw counts'!H61),"",'3'!H122-'5'!H60)</f>
        <v/>
      </c>
      <c r="I60" s="19" t="str">
        <f>IF(ISBLANK('Raw counts'!I61),"",'3'!I122-'5'!I60)</f>
        <v/>
      </c>
      <c r="J60" s="19" t="str">
        <f>IF(ISBLANK('Raw counts'!J61),"",'3'!J122-'5'!J60)</f>
        <v/>
      </c>
      <c r="K60" s="19" t="str">
        <f>IF(ISBLANK('Raw counts'!K61),"",'3'!K122-'5'!K60)</f>
        <v/>
      </c>
      <c r="L60" s="19" t="str">
        <f>IF(ISBLANK('Raw counts'!L61),"",'3'!L122-'5'!L60)</f>
        <v/>
      </c>
      <c r="M60" s="19" t="str">
        <f>IF(ISBLANK('Raw counts'!M61),"",'3'!M122-'5'!M60)</f>
        <v/>
      </c>
      <c r="N60" s="19" t="str">
        <f>IF(ISBLANK('Raw counts'!N61),"",'3'!N122-'5'!N60)</f>
        <v/>
      </c>
      <c r="O60" s="19" t="str">
        <f>IF(ISBLANK('Raw counts'!O61),"",'3'!O122-'5'!O60)</f>
        <v/>
      </c>
      <c r="P60" s="19" t="str">
        <f>IF(ISBLANK('Raw counts'!P61),"",'3'!P122-'5'!P60)</f>
        <v/>
      </c>
      <c r="Q60" s="19" t="str">
        <f>IF(ISBLANK('Raw counts'!Q61),"",'3'!Q122-'5'!Q60)</f>
        <v/>
      </c>
      <c r="R60" s="19" t="str">
        <f>IF(ISBLANK('Raw counts'!R61),"",'3'!R122-'5'!R60)</f>
        <v/>
      </c>
      <c r="S60" s="19" t="str">
        <f>IF(ISBLANK('Raw counts'!S61),"",'3'!S122-'5'!S60)</f>
        <v/>
      </c>
      <c r="T60" s="19" t="str">
        <f>IF(ISBLANK('Raw counts'!T61),"",'3'!T122-'5'!T60)</f>
        <v/>
      </c>
      <c r="U60" s="19" t="str">
        <f>IF(ISBLANK('Raw counts'!U61),"",'3'!U122-'5'!U60)</f>
        <v/>
      </c>
    </row>
    <row r="61" spans="1:21" x14ac:dyDescent="0.15">
      <c r="A61" s="18" t="str">
        <f>IF(ISBLANK('Raw counts'!A62),"",'Raw counts'!A62)</f>
        <v>Attr58</v>
      </c>
      <c r="B61" s="19" t="str">
        <f>IF(ISBLANK('Raw counts'!B62),"",'3'!B123-'5'!B61)</f>
        <v/>
      </c>
      <c r="C61" s="19" t="str">
        <f>IF(ISBLANK('Raw counts'!C62),"",'3'!C123-'5'!C61)</f>
        <v/>
      </c>
      <c r="D61" s="19" t="str">
        <f>IF(ISBLANK('Raw counts'!D62),"",'3'!D123-'5'!D61)</f>
        <v/>
      </c>
      <c r="E61" s="19" t="str">
        <f>IF(ISBLANK('Raw counts'!E62),"",'3'!E123-'5'!E61)</f>
        <v/>
      </c>
      <c r="F61" s="19" t="str">
        <f>IF(ISBLANK('Raw counts'!F62),"",'3'!F123-'5'!F61)</f>
        <v/>
      </c>
      <c r="G61" s="19" t="str">
        <f>IF(ISBLANK('Raw counts'!G62),"",'3'!G123-'5'!G61)</f>
        <v/>
      </c>
      <c r="H61" s="19" t="str">
        <f>IF(ISBLANK('Raw counts'!H62),"",'3'!H123-'5'!H61)</f>
        <v/>
      </c>
      <c r="I61" s="19" t="str">
        <f>IF(ISBLANK('Raw counts'!I62),"",'3'!I123-'5'!I61)</f>
        <v/>
      </c>
      <c r="J61" s="19" t="str">
        <f>IF(ISBLANK('Raw counts'!J62),"",'3'!J123-'5'!J61)</f>
        <v/>
      </c>
      <c r="K61" s="19" t="str">
        <f>IF(ISBLANK('Raw counts'!K62),"",'3'!K123-'5'!K61)</f>
        <v/>
      </c>
      <c r="L61" s="19" t="str">
        <f>IF(ISBLANK('Raw counts'!L62),"",'3'!L123-'5'!L61)</f>
        <v/>
      </c>
      <c r="M61" s="19" t="str">
        <f>IF(ISBLANK('Raw counts'!M62),"",'3'!M123-'5'!M61)</f>
        <v/>
      </c>
      <c r="N61" s="19" t="str">
        <f>IF(ISBLANK('Raw counts'!N62),"",'3'!N123-'5'!N61)</f>
        <v/>
      </c>
      <c r="O61" s="19" t="str">
        <f>IF(ISBLANK('Raw counts'!O62),"",'3'!O123-'5'!O61)</f>
        <v/>
      </c>
      <c r="P61" s="19" t="str">
        <f>IF(ISBLANK('Raw counts'!P62),"",'3'!P123-'5'!P61)</f>
        <v/>
      </c>
      <c r="Q61" s="19" t="str">
        <f>IF(ISBLANK('Raw counts'!Q62),"",'3'!Q123-'5'!Q61)</f>
        <v/>
      </c>
      <c r="R61" s="19" t="str">
        <f>IF(ISBLANK('Raw counts'!R62),"",'3'!R123-'5'!R61)</f>
        <v/>
      </c>
      <c r="S61" s="19" t="str">
        <f>IF(ISBLANK('Raw counts'!S62),"",'3'!S123-'5'!S61)</f>
        <v/>
      </c>
      <c r="T61" s="19" t="str">
        <f>IF(ISBLANK('Raw counts'!T62),"",'3'!T123-'5'!T61)</f>
        <v/>
      </c>
      <c r="U61" s="19" t="str">
        <f>IF(ISBLANK('Raw counts'!U62),"",'3'!U123-'5'!U61)</f>
        <v/>
      </c>
    </row>
    <row r="62" spans="1:21" x14ac:dyDescent="0.15">
      <c r="A62" s="18" t="str">
        <f>IF(ISBLANK('Raw counts'!A63),"",'Raw counts'!A63)</f>
        <v>Attr59</v>
      </c>
      <c r="B62" s="19" t="str">
        <f>IF(ISBLANK('Raw counts'!B63),"",'3'!B124-'5'!B62)</f>
        <v/>
      </c>
      <c r="C62" s="19" t="str">
        <f>IF(ISBLANK('Raw counts'!C63),"",'3'!C124-'5'!C62)</f>
        <v/>
      </c>
      <c r="D62" s="19" t="str">
        <f>IF(ISBLANK('Raw counts'!D63),"",'3'!D124-'5'!D62)</f>
        <v/>
      </c>
      <c r="E62" s="19" t="str">
        <f>IF(ISBLANK('Raw counts'!E63),"",'3'!E124-'5'!E62)</f>
        <v/>
      </c>
      <c r="F62" s="19" t="str">
        <f>IF(ISBLANK('Raw counts'!F63),"",'3'!F124-'5'!F62)</f>
        <v/>
      </c>
      <c r="G62" s="19" t="str">
        <f>IF(ISBLANK('Raw counts'!G63),"",'3'!G124-'5'!G62)</f>
        <v/>
      </c>
      <c r="H62" s="19" t="str">
        <f>IF(ISBLANK('Raw counts'!H63),"",'3'!H124-'5'!H62)</f>
        <v/>
      </c>
      <c r="I62" s="19" t="str">
        <f>IF(ISBLANK('Raw counts'!I63),"",'3'!I124-'5'!I62)</f>
        <v/>
      </c>
      <c r="J62" s="19" t="str">
        <f>IF(ISBLANK('Raw counts'!J63),"",'3'!J124-'5'!J62)</f>
        <v/>
      </c>
      <c r="K62" s="19" t="str">
        <f>IF(ISBLANK('Raw counts'!K63),"",'3'!K124-'5'!K62)</f>
        <v/>
      </c>
      <c r="L62" s="19" t="str">
        <f>IF(ISBLANK('Raw counts'!L63),"",'3'!L124-'5'!L62)</f>
        <v/>
      </c>
      <c r="M62" s="19" t="str">
        <f>IF(ISBLANK('Raw counts'!M63),"",'3'!M124-'5'!M62)</f>
        <v/>
      </c>
      <c r="N62" s="19" t="str">
        <f>IF(ISBLANK('Raw counts'!N63),"",'3'!N124-'5'!N62)</f>
        <v/>
      </c>
      <c r="O62" s="19" t="str">
        <f>IF(ISBLANK('Raw counts'!O63),"",'3'!O124-'5'!O62)</f>
        <v/>
      </c>
      <c r="P62" s="19" t="str">
        <f>IF(ISBLANK('Raw counts'!P63),"",'3'!P124-'5'!P62)</f>
        <v/>
      </c>
      <c r="Q62" s="19" t="str">
        <f>IF(ISBLANK('Raw counts'!Q63),"",'3'!Q124-'5'!Q62)</f>
        <v/>
      </c>
      <c r="R62" s="19" t="str">
        <f>IF(ISBLANK('Raw counts'!R63),"",'3'!R124-'5'!R62)</f>
        <v/>
      </c>
      <c r="S62" s="19" t="str">
        <f>IF(ISBLANK('Raw counts'!S63),"",'3'!S124-'5'!S62)</f>
        <v/>
      </c>
      <c r="T62" s="19" t="str">
        <f>IF(ISBLANK('Raw counts'!T63),"",'3'!T124-'5'!T62)</f>
        <v/>
      </c>
      <c r="U62" s="19" t="str">
        <f>IF(ISBLANK('Raw counts'!U63),"",'3'!U124-'5'!U62)</f>
        <v/>
      </c>
    </row>
    <row r="63" spans="1:21" x14ac:dyDescent="0.15">
      <c r="A63" s="18" t="str">
        <f>IF(ISBLANK('Raw counts'!A64),"",'Raw counts'!A64)</f>
        <v>Attr60</v>
      </c>
      <c r="B63" s="19" t="str">
        <f>IF(ISBLANK('Raw counts'!B64),"",'3'!B125-'5'!B63)</f>
        <v/>
      </c>
      <c r="C63" s="19" t="str">
        <f>IF(ISBLANK('Raw counts'!C64),"",'3'!C125-'5'!C63)</f>
        <v/>
      </c>
      <c r="D63" s="19" t="str">
        <f>IF(ISBLANK('Raw counts'!D64),"",'3'!D125-'5'!D63)</f>
        <v/>
      </c>
      <c r="E63" s="19" t="str">
        <f>IF(ISBLANK('Raw counts'!E64),"",'3'!E125-'5'!E63)</f>
        <v/>
      </c>
      <c r="F63" s="19" t="str">
        <f>IF(ISBLANK('Raw counts'!F64),"",'3'!F125-'5'!F63)</f>
        <v/>
      </c>
      <c r="G63" s="19" t="str">
        <f>IF(ISBLANK('Raw counts'!G64),"",'3'!G125-'5'!G63)</f>
        <v/>
      </c>
      <c r="H63" s="19" t="str">
        <f>IF(ISBLANK('Raw counts'!H64),"",'3'!H125-'5'!H63)</f>
        <v/>
      </c>
      <c r="I63" s="19" t="str">
        <f>IF(ISBLANK('Raw counts'!I64),"",'3'!I125-'5'!I63)</f>
        <v/>
      </c>
      <c r="J63" s="19" t="str">
        <f>IF(ISBLANK('Raw counts'!J64),"",'3'!J125-'5'!J63)</f>
        <v/>
      </c>
      <c r="K63" s="19" t="str">
        <f>IF(ISBLANK('Raw counts'!K64),"",'3'!K125-'5'!K63)</f>
        <v/>
      </c>
      <c r="L63" s="19" t="str">
        <f>IF(ISBLANK('Raw counts'!L64),"",'3'!L125-'5'!L63)</f>
        <v/>
      </c>
      <c r="M63" s="19" t="str">
        <f>IF(ISBLANK('Raw counts'!M64),"",'3'!M125-'5'!M63)</f>
        <v/>
      </c>
      <c r="N63" s="19" t="str">
        <f>IF(ISBLANK('Raw counts'!N64),"",'3'!N125-'5'!N63)</f>
        <v/>
      </c>
      <c r="O63" s="19" t="str">
        <f>IF(ISBLANK('Raw counts'!O64),"",'3'!O125-'5'!O63)</f>
        <v/>
      </c>
      <c r="P63" s="19" t="str">
        <f>IF(ISBLANK('Raw counts'!P64),"",'3'!P125-'5'!P63)</f>
        <v/>
      </c>
      <c r="Q63" s="19" t="str">
        <f>IF(ISBLANK('Raw counts'!Q64),"",'3'!Q125-'5'!Q63)</f>
        <v/>
      </c>
      <c r="R63" s="19" t="str">
        <f>IF(ISBLANK('Raw counts'!R64),"",'3'!R125-'5'!R63)</f>
        <v/>
      </c>
      <c r="S63" s="19" t="str">
        <f>IF(ISBLANK('Raw counts'!S64),"",'3'!S125-'5'!S63)</f>
        <v/>
      </c>
      <c r="T63" s="19" t="str">
        <f>IF(ISBLANK('Raw counts'!T64),"",'3'!T125-'5'!T63)</f>
        <v/>
      </c>
      <c r="U63" s="19" t="str">
        <f>IF(ISBLANK('Raw counts'!U64),"",'3'!U125-'5'!U63)</f>
        <v/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63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22" width="12.5" style="2" hidden="1" customWidth="1"/>
    <col min="23" max="16384" width="9" style="1"/>
  </cols>
  <sheetData>
    <row r="1" spans="1:22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  <c r="V1" s="2" t="s">
        <v>50</v>
      </c>
    </row>
    <row r="2" spans="1:22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  <c r="V2" s="2" t="s">
        <v>53</v>
      </c>
    </row>
    <row r="3" spans="1:22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  <c r="V3" s="2" t="s">
        <v>54</v>
      </c>
    </row>
    <row r="4" spans="1:22" ht="38.25" x14ac:dyDescent="0.15">
      <c r="A4" s="18" t="str">
        <f>IF(ISBLANK('Raw counts'!A5),"",'Raw counts'!A5)</f>
        <v xml:space="preserve">Doesn't offer version I want                                                </v>
      </c>
      <c r="B4" s="19">
        <f>IF(ISBLANK('Raw counts'!B5),"",IF(IF('4'!B4="+1",IF('6'!B4&gt;='6'!$V$3,"adv",'4'!B4),'4'!B4)="adv",'3'!B4,0))</f>
        <v>0</v>
      </c>
      <c r="C4" s="19">
        <f>IF(ISBLANK('Raw counts'!C5),"",IF(IF('4'!C4="+1",IF('6'!C4&gt;='6'!$V$3,"adv",'4'!C4),'4'!C4)="adv",'3'!C4,0))</f>
        <v>0</v>
      </c>
      <c r="D4" s="19">
        <f>IF(ISBLANK('Raw counts'!D5),"",IF(IF('4'!D4="+1",IF('6'!D4&gt;='6'!$V$3,"adv",'4'!D4),'4'!D4)="adv",'3'!D4,0))</f>
        <v>0</v>
      </c>
      <c r="E4" s="19">
        <f>IF(ISBLANK('Raw counts'!E5),"",IF(IF('4'!E4="+1",IF('6'!E4&gt;='6'!$V$3,"adv",'4'!E4),'4'!E4)="adv",'3'!E4,0))</f>
        <v>0</v>
      </c>
      <c r="F4" s="19">
        <f>IF(ISBLANK('Raw counts'!F5),"",IF(IF('4'!F4="+1",IF('6'!F4&gt;='6'!$V$3,"adv",'4'!F4),'4'!F4)="adv",'3'!F4,0))</f>
        <v>0</v>
      </c>
      <c r="G4" s="19">
        <f>IF(ISBLANK('Raw counts'!G5),"",IF(IF('4'!G4="+1",IF('6'!G4&gt;='6'!$V$3,"adv",'4'!G4),'4'!G4)="adv",'3'!G4,0))</f>
        <v>0</v>
      </c>
      <c r="H4" s="19">
        <f>IF(ISBLANK('Raw counts'!H5),"",IF(IF('4'!H4="+1",IF('6'!H4&gt;='6'!$V$3,"adv",'4'!H4),'4'!H4)="adv",'3'!H4,0))</f>
        <v>0</v>
      </c>
      <c r="I4" s="19">
        <f>IF(ISBLANK('Raw counts'!I5),"",IF(IF('4'!I4="+1",IF('6'!I4&gt;='6'!$V$3,"adv",'4'!I4),'4'!I4)="adv",'3'!I4,0))</f>
        <v>0</v>
      </c>
      <c r="J4" s="19">
        <f>IF(ISBLANK('Raw counts'!J5),"",IF(IF('4'!J4="+1",IF('6'!J4&gt;='6'!$V$3,"adv",'4'!J4),'4'!J4)="adv",'3'!J4,0))</f>
        <v>0</v>
      </c>
      <c r="K4" s="19">
        <f>IF(ISBLANK('Raw counts'!K5),"",IF(IF('4'!K4="+1",IF('6'!K4&gt;='6'!$V$3,"adv",'4'!K4),'4'!K4)="adv",'3'!K4,0))</f>
        <v>0</v>
      </c>
      <c r="L4" s="19">
        <f>IF(ISBLANK('Raw counts'!L5),"",IF(IF('4'!L4="+1",IF('6'!L4&gt;='6'!$V$3,"adv",'4'!L4),'4'!L4)="adv",'3'!L4,0))</f>
        <v>0</v>
      </c>
      <c r="M4" s="19" t="str">
        <f>IF(ISBLANK('Raw counts'!M5),"",IF(IF('4'!M4="+1",IF('6'!M4&gt;='6'!$V$3,"adv",'4'!M4),'4'!M4)="adv",'3'!M4,0))</f>
        <v/>
      </c>
      <c r="N4" s="19" t="str">
        <f>IF(ISBLANK('Raw counts'!N5),"",IF(IF('4'!N4="+1",IF('6'!N4&gt;='6'!$V$3,"adv",'4'!N4),'4'!N4)="adv",'3'!N4,0))</f>
        <v/>
      </c>
      <c r="O4" s="19" t="str">
        <f>IF(ISBLANK('Raw counts'!O5),"",IF(IF('4'!O4="+1",IF('6'!O4&gt;='6'!$V$3,"adv",'4'!O4),'4'!O4)="adv",'3'!O4,0))</f>
        <v/>
      </c>
      <c r="P4" s="19" t="str">
        <f>IF(ISBLANK('Raw counts'!P5),"",IF(IF('4'!P4="+1",IF('6'!P4&gt;='6'!$V$3,"adv",'4'!P4),'4'!P4)="adv",'3'!P4,0))</f>
        <v/>
      </c>
      <c r="Q4" s="19" t="str">
        <f>IF(ISBLANK('Raw counts'!Q5),"",IF(IF('4'!Q4="+1",IF('6'!Q4&gt;='6'!$V$3,"adv",'4'!Q4),'4'!Q4)="adv",'3'!Q4,0))</f>
        <v/>
      </c>
      <c r="R4" s="19" t="str">
        <f>IF(ISBLANK('Raw counts'!R5),"",IF(IF('4'!R4="+1",IF('6'!R4&gt;='6'!$V$3,"adv",'4'!R4),'4'!R4)="adv",'3'!R4,0))</f>
        <v/>
      </c>
      <c r="S4" s="19" t="str">
        <f>IF(ISBLANK('Raw counts'!S5),"",IF(IF('4'!S4="+1",IF('6'!S4&gt;='6'!$V$3,"adv",'4'!S4),'4'!S4)="adv",'3'!S4,0))</f>
        <v/>
      </c>
      <c r="T4" s="19" t="str">
        <f>IF(ISBLANK('Raw counts'!T5),"",IF(IF('4'!T4="+1",IF('6'!T4&gt;='6'!$V$3,"adv",'4'!T4),'4'!T4)="adv",'3'!T4,0))</f>
        <v/>
      </c>
      <c r="U4" s="19" t="str">
        <f>IF(ISBLANK('Raw counts'!U5),"",IF(IF('4'!U4="+1",IF('6'!U4&gt;='6'!$V$3,"adv",'4'!U4),'4'!U4)="adv",'3'!U4,0))</f>
        <v/>
      </c>
      <c r="V4" s="3">
        <f>MAX(B4:U4)</f>
        <v>0</v>
      </c>
    </row>
    <row r="5" spans="1:22" ht="38.25" x14ac:dyDescent="0.15">
      <c r="A5" s="18" t="str">
        <f>IF(ISBLANK('Raw counts'!A6),"",'Raw counts'!A6)</f>
        <v xml:space="preserve">Doesn't offer enough variety or versions in the store/online                </v>
      </c>
      <c r="B5" s="19">
        <f>IF(ISBLANK('Raw counts'!B6),"",IF(IF('4'!B5="+1",IF('6'!B5&gt;='6'!$V$3,"adv",'4'!B5),'4'!B5)="adv",'3'!B5,0))</f>
        <v>0</v>
      </c>
      <c r="C5" s="19">
        <f>IF(ISBLANK('Raw counts'!C6),"",IF(IF('4'!C5="+1",IF('6'!C5&gt;='6'!$V$3,"adv",'4'!C5),'4'!C5)="adv",'3'!C5,0))</f>
        <v>0</v>
      </c>
      <c r="D5" s="19">
        <f>IF(ISBLANK('Raw counts'!D6),"",IF(IF('4'!D5="+1",IF('6'!D5&gt;='6'!$V$3,"adv",'4'!D5),'4'!D5)="adv",'3'!D5,0))</f>
        <v>0</v>
      </c>
      <c r="E5" s="19">
        <f>IF(ISBLANK('Raw counts'!E6),"",IF(IF('4'!E5="+1",IF('6'!E5&gt;='6'!$V$3,"adv",'4'!E5),'4'!E5)="adv",'3'!E5,0))</f>
        <v>0</v>
      </c>
      <c r="F5" s="19">
        <f>IF(ISBLANK('Raw counts'!F6),"",IF(IF('4'!F5="+1",IF('6'!F5&gt;='6'!$V$3,"adv",'4'!F5),'4'!F5)="adv",'3'!F5,0))</f>
        <v>0</v>
      </c>
      <c r="G5" s="19">
        <f>IF(ISBLANK('Raw counts'!G6),"",IF(IF('4'!G5="+1",IF('6'!G5&gt;='6'!$V$3,"adv",'4'!G5),'4'!G5)="adv",'3'!G5,0))</f>
        <v>1</v>
      </c>
      <c r="H5" s="19">
        <f>IF(ISBLANK('Raw counts'!H6),"",IF(IF('4'!H5="+1",IF('6'!H5&gt;='6'!$V$3,"adv",'4'!H5),'4'!H5)="adv",'3'!H5,0))</f>
        <v>0</v>
      </c>
      <c r="I5" s="19">
        <f>IF(ISBLANK('Raw counts'!I6),"",IF(IF('4'!I5="+1",IF('6'!I5&gt;='6'!$V$3,"adv",'4'!I5),'4'!I5)="adv",'3'!I5,0))</f>
        <v>0</v>
      </c>
      <c r="J5" s="19">
        <f>IF(ISBLANK('Raw counts'!J6),"",IF(IF('4'!J5="+1",IF('6'!J5&gt;='6'!$V$3,"adv",'4'!J5),'4'!J5)="adv",'3'!J5,0))</f>
        <v>0</v>
      </c>
      <c r="K5" s="19">
        <f>IF(ISBLANK('Raw counts'!K6),"",IF(IF('4'!K5="+1",IF('6'!K5&gt;='6'!$V$3,"adv",'4'!K5),'4'!K5)="adv",'3'!K5,0))</f>
        <v>0</v>
      </c>
      <c r="L5" s="19">
        <f>IF(ISBLANK('Raw counts'!L6),"",IF(IF('4'!L5="+1",IF('6'!L5&gt;='6'!$V$3,"adv",'4'!L5),'4'!L5)="adv",'3'!L5,0))</f>
        <v>0</v>
      </c>
      <c r="M5" s="19" t="str">
        <f>IF(ISBLANK('Raw counts'!M6),"",IF(IF('4'!M5="+1",IF('6'!M5&gt;='6'!$V$3,"adv",'4'!M5),'4'!M5)="adv",'3'!M5,0))</f>
        <v/>
      </c>
      <c r="N5" s="19" t="str">
        <f>IF(ISBLANK('Raw counts'!N6),"",IF(IF('4'!N5="+1",IF('6'!N5&gt;='6'!$V$3,"adv",'4'!N5),'4'!N5)="adv",'3'!N5,0))</f>
        <v/>
      </c>
      <c r="O5" s="19" t="str">
        <f>IF(ISBLANK('Raw counts'!O6),"",IF(IF('4'!O5="+1",IF('6'!O5&gt;='6'!$V$3,"adv",'4'!O5),'4'!O5)="adv",'3'!O5,0))</f>
        <v/>
      </c>
      <c r="P5" s="19" t="str">
        <f>IF(ISBLANK('Raw counts'!P6),"",IF(IF('4'!P5="+1",IF('6'!P5&gt;='6'!$V$3,"adv",'4'!P5),'4'!P5)="adv",'3'!P5,0))</f>
        <v/>
      </c>
      <c r="Q5" s="19" t="str">
        <f>IF(ISBLANK('Raw counts'!Q6),"",IF(IF('4'!Q5="+1",IF('6'!Q5&gt;='6'!$V$3,"adv",'4'!Q5),'4'!Q5)="adv",'3'!Q5,0))</f>
        <v/>
      </c>
      <c r="R5" s="19" t="str">
        <f>IF(ISBLANK('Raw counts'!R6),"",IF(IF('4'!R5="+1",IF('6'!R5&gt;='6'!$V$3,"adv",'4'!R5),'4'!R5)="adv",'3'!R5,0))</f>
        <v/>
      </c>
      <c r="S5" s="19" t="str">
        <f>IF(ISBLANK('Raw counts'!S6),"",IF(IF('4'!S5="+1",IF('6'!S5&gt;='6'!$V$3,"adv",'4'!S5),'4'!S5)="adv",'3'!S5,0))</f>
        <v/>
      </c>
      <c r="T5" s="19" t="str">
        <f>IF(ISBLANK('Raw counts'!T6),"",IF(IF('4'!T5="+1",IF('6'!T5&gt;='6'!$V$3,"adv",'4'!T5),'4'!T5)="adv",'3'!T5,0))</f>
        <v/>
      </c>
      <c r="U5" s="19" t="str">
        <f>IF(ISBLANK('Raw counts'!U6),"",IF(IF('4'!U5="+1",IF('6'!U5&gt;='6'!$V$3,"adv",'4'!U5),'4'!U5)="adv",'3'!U5,0))</f>
        <v/>
      </c>
      <c r="V5" s="3">
        <f t="shared" ref="V5:V63" si="0">MAX(B5:U5)</f>
        <v>1</v>
      </c>
    </row>
    <row r="6" spans="1:22" ht="25.5" x14ac:dyDescent="0.15">
      <c r="A6" s="18" t="str">
        <f>IF(ISBLANK('Raw counts'!A7),"",'Raw counts'!A7)</f>
        <v xml:space="preserve">Doesn't offer newest/latest products                                        </v>
      </c>
      <c r="B6" s="19">
        <f>IF(ISBLANK('Raw counts'!B7),"",IF(IF('4'!B6="+1",IF('6'!B6&gt;='6'!$V$3,"adv",'4'!B6),'4'!B6)="adv",'3'!B6,0))</f>
        <v>0</v>
      </c>
      <c r="C6" s="19">
        <f>IF(ISBLANK('Raw counts'!C7),"",IF(IF('4'!C6="+1",IF('6'!C6&gt;='6'!$V$3,"adv",'4'!C6),'4'!C6)="adv",'3'!C6,0))</f>
        <v>0</v>
      </c>
      <c r="D6" s="19">
        <f>IF(ISBLANK('Raw counts'!D7),"",IF(IF('4'!D6="+1",IF('6'!D6&gt;='6'!$V$3,"adv",'4'!D6),'4'!D6)="adv",'3'!D6,0))</f>
        <v>0</v>
      </c>
      <c r="E6" s="19">
        <f>IF(ISBLANK('Raw counts'!E7),"",IF(IF('4'!E6="+1",IF('6'!E6&gt;='6'!$V$3,"adv",'4'!E6),'4'!E6)="adv",'3'!E6,0))</f>
        <v>0</v>
      </c>
      <c r="F6" s="19">
        <f>IF(ISBLANK('Raw counts'!F7),"",IF(IF('4'!F6="+1",IF('6'!F6&gt;='6'!$V$3,"adv",'4'!F6),'4'!F6)="adv",'3'!F6,0))</f>
        <v>0</v>
      </c>
      <c r="G6" s="19">
        <f>IF(ISBLANK('Raw counts'!G7),"",IF(IF('4'!G6="+1",IF('6'!G6&gt;='6'!$V$3,"adv",'4'!G6),'4'!G6)="adv",'3'!G6,0))</f>
        <v>0</v>
      </c>
      <c r="H6" s="19">
        <f>IF(ISBLANK('Raw counts'!H7),"",IF(IF('4'!H6="+1",IF('6'!H6&gt;='6'!$V$3,"adv",'4'!H6),'4'!H6)="adv",'3'!H6,0))</f>
        <v>0</v>
      </c>
      <c r="I6" s="19">
        <f>IF(ISBLANK('Raw counts'!I7),"",IF(IF('4'!I6="+1",IF('6'!I6&gt;='6'!$V$3,"adv",'4'!I6),'4'!I6)="adv",'3'!I6,0))</f>
        <v>0</v>
      </c>
      <c r="J6" s="19">
        <f>IF(ISBLANK('Raw counts'!J7),"",IF(IF('4'!J6="+1",IF('6'!J6&gt;='6'!$V$3,"adv",'4'!J6),'4'!J6)="adv",'3'!J6,0))</f>
        <v>0</v>
      </c>
      <c r="K6" s="19">
        <f>IF(ISBLANK('Raw counts'!K7),"",IF(IF('4'!K6="+1",IF('6'!K6&gt;='6'!$V$3,"adv",'4'!K6),'4'!K6)="adv",'3'!K6,0))</f>
        <v>0</v>
      </c>
      <c r="L6" s="19">
        <f>IF(ISBLANK('Raw counts'!L7),"",IF(IF('4'!L6="+1",IF('6'!L6&gt;='6'!$V$3,"adv",'4'!L6),'4'!L6)="adv",'3'!L6,0))</f>
        <v>0</v>
      </c>
      <c r="M6" s="19" t="str">
        <f>IF(ISBLANK('Raw counts'!M7),"",IF(IF('4'!M6="+1",IF('6'!M6&gt;='6'!$V$3,"adv",'4'!M6),'4'!M6)="adv",'3'!M6,0))</f>
        <v/>
      </c>
      <c r="N6" s="19" t="str">
        <f>IF(ISBLANK('Raw counts'!N7),"",IF(IF('4'!N6="+1",IF('6'!N6&gt;='6'!$V$3,"adv",'4'!N6),'4'!N6)="adv",'3'!N6,0))</f>
        <v/>
      </c>
      <c r="O6" s="19" t="str">
        <f>IF(ISBLANK('Raw counts'!O7),"",IF(IF('4'!O6="+1",IF('6'!O6&gt;='6'!$V$3,"adv",'4'!O6),'4'!O6)="adv",'3'!O6,0))</f>
        <v/>
      </c>
      <c r="P6" s="19" t="str">
        <f>IF(ISBLANK('Raw counts'!P7),"",IF(IF('4'!P6="+1",IF('6'!P6&gt;='6'!$V$3,"adv",'4'!P6),'4'!P6)="adv",'3'!P6,0))</f>
        <v/>
      </c>
      <c r="Q6" s="19" t="str">
        <f>IF(ISBLANK('Raw counts'!Q7),"",IF(IF('4'!Q6="+1",IF('6'!Q6&gt;='6'!$V$3,"adv",'4'!Q6),'4'!Q6)="adv",'3'!Q6,0))</f>
        <v/>
      </c>
      <c r="R6" s="19" t="str">
        <f>IF(ISBLANK('Raw counts'!R7),"",IF(IF('4'!R6="+1",IF('6'!R6&gt;='6'!$V$3,"adv",'4'!R6),'4'!R6)="adv",'3'!R6,0))</f>
        <v/>
      </c>
      <c r="S6" s="19" t="str">
        <f>IF(ISBLANK('Raw counts'!S7),"",IF(IF('4'!S6="+1",IF('6'!S6&gt;='6'!$V$3,"adv",'4'!S6),'4'!S6)="adv",'3'!S6,0))</f>
        <v/>
      </c>
      <c r="T6" s="19" t="str">
        <f>IF(ISBLANK('Raw counts'!T7),"",IF(IF('4'!T6="+1",IF('6'!T6&gt;='6'!$V$3,"adv",'4'!T6),'4'!T6)="adv",'3'!T6,0))</f>
        <v/>
      </c>
      <c r="U6" s="19" t="str">
        <f>IF(ISBLANK('Raw counts'!U7),"",IF(IF('4'!U6="+1",IF('6'!U6&gt;='6'!$V$3,"adv",'4'!U6),'4'!U6)="adv",'3'!U6,0))</f>
        <v/>
      </c>
      <c r="V6" s="3">
        <f t="shared" si="0"/>
        <v>0</v>
      </c>
    </row>
    <row r="7" spans="1:22" ht="25.5" x14ac:dyDescent="0.15">
      <c r="A7" s="18" t="str">
        <f>IF(ISBLANK('Raw counts'!A8),"",'Raw counts'!A8)</f>
        <v xml:space="preserve">Brand not carried in the store/online                                       </v>
      </c>
      <c r="B7" s="19">
        <f>IF(ISBLANK('Raw counts'!B8),"",IF(IF('4'!B7="+1",IF('6'!B7&gt;='6'!$V$3,"adv",'4'!B7),'4'!B7)="adv",'3'!B7,0))</f>
        <v>0</v>
      </c>
      <c r="C7" s="19">
        <f>IF(ISBLANK('Raw counts'!C8),"",IF(IF('4'!C7="+1",IF('6'!C7&gt;='6'!$V$3,"adv",'4'!C7),'4'!C7)="adv",'3'!C7,0))</f>
        <v>0</v>
      </c>
      <c r="D7" s="19">
        <f>IF(ISBLANK('Raw counts'!D8),"",IF(IF('4'!D7="+1",IF('6'!D7&gt;='6'!$V$3,"adv",'4'!D7),'4'!D7)="adv",'3'!D7,0))</f>
        <v>0</v>
      </c>
      <c r="E7" s="19">
        <f>IF(ISBLANK('Raw counts'!E8),"",IF(IF('4'!E7="+1",IF('6'!E7&gt;='6'!$V$3,"adv",'4'!E7),'4'!E7)="adv",'3'!E7,0))</f>
        <v>0</v>
      </c>
      <c r="F7" s="19">
        <f>IF(ISBLANK('Raw counts'!F8),"",IF(IF('4'!F7="+1",IF('6'!F7&gt;='6'!$V$3,"adv",'4'!F7),'4'!F7)="adv",'3'!F7,0))</f>
        <v>0</v>
      </c>
      <c r="G7" s="19">
        <f>IF(ISBLANK('Raw counts'!G8),"",IF(IF('4'!G7="+1",IF('6'!G7&gt;='6'!$V$3,"adv",'4'!G7),'4'!G7)="adv",'3'!G7,0))</f>
        <v>0</v>
      </c>
      <c r="H7" s="19">
        <f>IF(ISBLANK('Raw counts'!H8),"",IF(IF('4'!H7="+1",IF('6'!H7&gt;='6'!$V$3,"adv",'4'!H7),'4'!H7)="adv",'3'!H7,0))</f>
        <v>0</v>
      </c>
      <c r="I7" s="19">
        <f>IF(ISBLANK('Raw counts'!I8),"",IF(IF('4'!I7="+1",IF('6'!I7&gt;='6'!$V$3,"adv",'4'!I7),'4'!I7)="adv",'3'!I7,0))</f>
        <v>0</v>
      </c>
      <c r="J7" s="19">
        <f>IF(ISBLANK('Raw counts'!J8),"",IF(IF('4'!J7="+1",IF('6'!J7&gt;='6'!$V$3,"adv",'4'!J7),'4'!J7)="adv",'3'!J7,0))</f>
        <v>0</v>
      </c>
      <c r="K7" s="19">
        <f>IF(ISBLANK('Raw counts'!K8),"",IF(IF('4'!K7="+1",IF('6'!K7&gt;='6'!$V$3,"adv",'4'!K7),'4'!K7)="adv",'3'!K7,0))</f>
        <v>0</v>
      </c>
      <c r="L7" s="19">
        <f>IF(ISBLANK('Raw counts'!L8),"",IF(IF('4'!L7="+1",IF('6'!L7&gt;='6'!$V$3,"adv",'4'!L7),'4'!L7)="adv",'3'!L7,0))</f>
        <v>0</v>
      </c>
      <c r="M7" s="19" t="str">
        <f>IF(ISBLANK('Raw counts'!M8),"",IF(IF('4'!M7="+1",IF('6'!M7&gt;='6'!$V$3,"adv",'4'!M7),'4'!M7)="adv",'3'!M7,0))</f>
        <v/>
      </c>
      <c r="N7" s="19" t="str">
        <f>IF(ISBLANK('Raw counts'!N8),"",IF(IF('4'!N7="+1",IF('6'!N7&gt;='6'!$V$3,"adv",'4'!N7),'4'!N7)="adv",'3'!N7,0))</f>
        <v/>
      </c>
      <c r="O7" s="19" t="str">
        <f>IF(ISBLANK('Raw counts'!O8),"",IF(IF('4'!O7="+1",IF('6'!O7&gt;='6'!$V$3,"adv",'4'!O7),'4'!O7)="adv",'3'!O7,0))</f>
        <v/>
      </c>
      <c r="P7" s="19" t="str">
        <f>IF(ISBLANK('Raw counts'!P8),"",IF(IF('4'!P7="+1",IF('6'!P7&gt;='6'!$V$3,"adv",'4'!P7),'4'!P7)="adv",'3'!P7,0))</f>
        <v/>
      </c>
      <c r="Q7" s="19" t="str">
        <f>IF(ISBLANK('Raw counts'!Q8),"",IF(IF('4'!Q7="+1",IF('6'!Q7&gt;='6'!$V$3,"adv",'4'!Q7),'4'!Q7)="adv",'3'!Q7,0))</f>
        <v/>
      </c>
      <c r="R7" s="19" t="str">
        <f>IF(ISBLANK('Raw counts'!R8),"",IF(IF('4'!R7="+1",IF('6'!R7&gt;='6'!$V$3,"adv",'4'!R7),'4'!R7)="adv",'3'!R7,0))</f>
        <v/>
      </c>
      <c r="S7" s="19" t="str">
        <f>IF(ISBLANK('Raw counts'!S8),"",IF(IF('4'!S7="+1",IF('6'!S7&gt;='6'!$V$3,"adv",'4'!S7),'4'!S7)="adv",'3'!S7,0))</f>
        <v/>
      </c>
      <c r="T7" s="19" t="str">
        <f>IF(ISBLANK('Raw counts'!T8),"",IF(IF('4'!T7="+1",IF('6'!T7&gt;='6'!$V$3,"adv",'4'!T7),'4'!T7)="adv",'3'!T7,0))</f>
        <v/>
      </c>
      <c r="U7" s="19" t="str">
        <f>IF(ISBLANK('Raw counts'!U8),"",IF(IF('4'!U7="+1",IF('6'!U7&gt;='6'!$V$3,"adv",'4'!U7),'4'!U7)="adv",'3'!U7,0))</f>
        <v/>
      </c>
      <c r="V7" s="3">
        <f t="shared" si="0"/>
        <v>0</v>
      </c>
    </row>
    <row r="8" spans="1:22" ht="25.5" x14ac:dyDescent="0.15">
      <c r="A8" s="18" t="str">
        <f>IF(ISBLANK('Raw counts'!A9),"",'Raw counts'!A9)</f>
        <v xml:space="preserve">Often out of stock                                                          </v>
      </c>
      <c r="B8" s="19">
        <f>IF(ISBLANK('Raw counts'!B9),"",IF(IF('4'!B8="+1",IF('6'!B8&gt;='6'!$V$3,"adv",'4'!B8),'4'!B8)="adv",'3'!B8,0))</f>
        <v>0</v>
      </c>
      <c r="C8" s="19">
        <f>IF(ISBLANK('Raw counts'!C9),"",IF(IF('4'!C8="+1",IF('6'!C8&gt;='6'!$V$3,"adv",'4'!C8),'4'!C8)="adv",'3'!C8,0))</f>
        <v>0</v>
      </c>
      <c r="D8" s="19">
        <f>IF(ISBLANK('Raw counts'!D9),"",IF(IF('4'!D8="+1",IF('6'!D8&gt;='6'!$V$3,"adv",'4'!D8),'4'!D8)="adv",'3'!D8,0))</f>
        <v>0</v>
      </c>
      <c r="E8" s="19">
        <f>IF(ISBLANK('Raw counts'!E9),"",IF(IF('4'!E8="+1",IF('6'!E8&gt;='6'!$V$3,"adv",'4'!E8),'4'!E8)="adv",'3'!E8,0))</f>
        <v>0</v>
      </c>
      <c r="F8" s="19">
        <f>IF(ISBLANK('Raw counts'!F9),"",IF(IF('4'!F8="+1",IF('6'!F8&gt;='6'!$V$3,"adv",'4'!F8),'4'!F8)="adv",'3'!F8,0))</f>
        <v>0</v>
      </c>
      <c r="G8" s="19">
        <f>IF(ISBLANK('Raw counts'!G9),"",IF(IF('4'!G8="+1",IF('6'!G8&gt;='6'!$V$3,"adv",'4'!G8),'4'!G8)="adv",'3'!G8,0))</f>
        <v>0</v>
      </c>
      <c r="H8" s="19">
        <f>IF(ISBLANK('Raw counts'!H9),"",IF(IF('4'!H8="+1",IF('6'!H8&gt;='6'!$V$3,"adv",'4'!H8),'4'!H8)="adv",'3'!H8,0))</f>
        <v>0</v>
      </c>
      <c r="I8" s="19">
        <f>IF(ISBLANK('Raw counts'!I9),"",IF(IF('4'!I8="+1",IF('6'!I8&gt;='6'!$V$3,"adv",'4'!I8),'4'!I8)="adv",'3'!I8,0))</f>
        <v>1</v>
      </c>
      <c r="J8" s="19">
        <f>IF(ISBLANK('Raw counts'!J9),"",IF(IF('4'!J8="+1",IF('6'!J8&gt;='6'!$V$3,"adv",'4'!J8),'4'!J8)="adv",'3'!J8,0))</f>
        <v>0</v>
      </c>
      <c r="K8" s="19">
        <f>IF(ISBLANK('Raw counts'!K9),"",IF(IF('4'!K8="+1",IF('6'!K8&gt;='6'!$V$3,"adv",'4'!K8),'4'!K8)="adv",'3'!K8,0))</f>
        <v>0</v>
      </c>
      <c r="L8" s="19">
        <f>IF(ISBLANK('Raw counts'!L9),"",IF(IF('4'!L8="+1",IF('6'!L8&gt;='6'!$V$3,"adv",'4'!L8),'4'!L8)="adv",'3'!L8,0))</f>
        <v>0</v>
      </c>
      <c r="M8" s="19" t="str">
        <f>IF(ISBLANK('Raw counts'!M9),"",IF(IF('4'!M8="+1",IF('6'!M8&gt;='6'!$V$3,"adv",'4'!M8),'4'!M8)="adv",'3'!M8,0))</f>
        <v/>
      </c>
      <c r="N8" s="19" t="str">
        <f>IF(ISBLANK('Raw counts'!N9),"",IF(IF('4'!N8="+1",IF('6'!N8&gt;='6'!$V$3,"adv",'4'!N8),'4'!N8)="adv",'3'!N8,0))</f>
        <v/>
      </c>
      <c r="O8" s="19" t="str">
        <f>IF(ISBLANK('Raw counts'!O9),"",IF(IF('4'!O8="+1",IF('6'!O8&gt;='6'!$V$3,"adv",'4'!O8),'4'!O8)="adv",'3'!O8,0))</f>
        <v/>
      </c>
      <c r="P8" s="19" t="str">
        <f>IF(ISBLANK('Raw counts'!P9),"",IF(IF('4'!P8="+1",IF('6'!P8&gt;='6'!$V$3,"adv",'4'!P8),'4'!P8)="adv",'3'!P8,0))</f>
        <v/>
      </c>
      <c r="Q8" s="19" t="str">
        <f>IF(ISBLANK('Raw counts'!Q9),"",IF(IF('4'!Q8="+1",IF('6'!Q8&gt;='6'!$V$3,"adv",'4'!Q8),'4'!Q8)="adv",'3'!Q8,0))</f>
        <v/>
      </c>
      <c r="R8" s="19" t="str">
        <f>IF(ISBLANK('Raw counts'!R9),"",IF(IF('4'!R8="+1",IF('6'!R8&gt;='6'!$V$3,"adv",'4'!R8),'4'!R8)="adv",'3'!R8,0))</f>
        <v/>
      </c>
      <c r="S8" s="19" t="str">
        <f>IF(ISBLANK('Raw counts'!S9),"",IF(IF('4'!S8="+1",IF('6'!S8&gt;='6'!$V$3,"adv",'4'!S8),'4'!S8)="adv",'3'!S8,0))</f>
        <v/>
      </c>
      <c r="T8" s="19" t="str">
        <f>IF(ISBLANK('Raw counts'!T9),"",IF(IF('4'!T8="+1",IF('6'!T8&gt;='6'!$V$3,"adv",'4'!T8),'4'!T8)="adv",'3'!T8,0))</f>
        <v/>
      </c>
      <c r="U8" s="19" t="str">
        <f>IF(ISBLANK('Raw counts'!U9),"",IF(IF('4'!U8="+1",IF('6'!U8&gt;='6'!$V$3,"adv",'4'!U8),'4'!U8)="adv",'3'!U8,0))</f>
        <v/>
      </c>
      <c r="V8" s="3">
        <f t="shared" si="0"/>
        <v>1</v>
      </c>
    </row>
    <row r="9" spans="1:22" ht="38.25" x14ac:dyDescent="0.15">
      <c r="A9" s="18" t="str">
        <f>IF(ISBLANK('Raw counts'!A10),"",'Raw counts'!A10)</f>
        <v xml:space="preserve">Hard to find the brand in the store                                         </v>
      </c>
      <c r="B9" s="19">
        <f>IF(ISBLANK('Raw counts'!B10),"",IF(IF('4'!B9="+1",IF('6'!B9&gt;='6'!$V$3,"adv",'4'!B9),'4'!B9)="adv",'3'!B9,0))</f>
        <v>0</v>
      </c>
      <c r="C9" s="19">
        <f>IF(ISBLANK('Raw counts'!C10),"",IF(IF('4'!C9="+1",IF('6'!C9&gt;='6'!$V$3,"adv",'4'!C9),'4'!C9)="adv",'3'!C9,0))</f>
        <v>0</v>
      </c>
      <c r="D9" s="19">
        <f>IF(ISBLANK('Raw counts'!D10),"",IF(IF('4'!D9="+1",IF('6'!D9&gt;='6'!$V$3,"adv",'4'!D9),'4'!D9)="adv",'3'!D9,0))</f>
        <v>0</v>
      </c>
      <c r="E9" s="19">
        <f>IF(ISBLANK('Raw counts'!E10),"",IF(IF('4'!E9="+1",IF('6'!E9&gt;='6'!$V$3,"adv",'4'!E9),'4'!E9)="adv",'3'!E9,0))</f>
        <v>0</v>
      </c>
      <c r="F9" s="19">
        <f>IF(ISBLANK('Raw counts'!F10),"",IF(IF('4'!F9="+1",IF('6'!F9&gt;='6'!$V$3,"adv",'4'!F9),'4'!F9)="adv",'3'!F9,0))</f>
        <v>0</v>
      </c>
      <c r="G9" s="19">
        <f>IF(ISBLANK('Raw counts'!G10),"",IF(IF('4'!G9="+1",IF('6'!G9&gt;='6'!$V$3,"adv",'4'!G9),'4'!G9)="adv",'3'!G9,0))</f>
        <v>0</v>
      </c>
      <c r="H9" s="19">
        <f>IF(ISBLANK('Raw counts'!H10),"",IF(IF('4'!H9="+1",IF('6'!H9&gt;='6'!$V$3,"adv",'4'!H9),'4'!H9)="adv",'3'!H9,0))</f>
        <v>0</v>
      </c>
      <c r="I9" s="19">
        <f>IF(ISBLANK('Raw counts'!I10),"",IF(IF('4'!I9="+1",IF('6'!I9&gt;='6'!$V$3,"adv",'4'!I9),'4'!I9)="adv",'3'!I9,0))</f>
        <v>0</v>
      </c>
      <c r="J9" s="19">
        <f>IF(ISBLANK('Raw counts'!J10),"",IF(IF('4'!J9="+1",IF('6'!J9&gt;='6'!$V$3,"adv",'4'!J9),'4'!J9)="adv",'3'!J9,0))</f>
        <v>0</v>
      </c>
      <c r="K9" s="19">
        <f>IF(ISBLANK('Raw counts'!K10),"",IF(IF('4'!K9="+1",IF('6'!K9&gt;='6'!$V$3,"adv",'4'!K9),'4'!K9)="adv",'3'!K9,0))</f>
        <v>0</v>
      </c>
      <c r="L9" s="19">
        <f>IF(ISBLANK('Raw counts'!L10),"",IF(IF('4'!L9="+1",IF('6'!L9&gt;='6'!$V$3,"adv",'4'!L9),'4'!L9)="adv",'3'!L9,0))</f>
        <v>0</v>
      </c>
      <c r="M9" s="19" t="str">
        <f>IF(ISBLANK('Raw counts'!M10),"",IF(IF('4'!M9="+1",IF('6'!M9&gt;='6'!$V$3,"adv",'4'!M9),'4'!M9)="adv",'3'!M9,0))</f>
        <v/>
      </c>
      <c r="N9" s="19" t="str">
        <f>IF(ISBLANK('Raw counts'!N10),"",IF(IF('4'!N9="+1",IF('6'!N9&gt;='6'!$V$3,"adv",'4'!N9),'4'!N9)="adv",'3'!N9,0))</f>
        <v/>
      </c>
      <c r="O9" s="19" t="str">
        <f>IF(ISBLANK('Raw counts'!O10),"",IF(IF('4'!O9="+1",IF('6'!O9&gt;='6'!$V$3,"adv",'4'!O9),'4'!O9)="adv",'3'!O9,0))</f>
        <v/>
      </c>
      <c r="P9" s="19" t="str">
        <f>IF(ISBLANK('Raw counts'!P10),"",IF(IF('4'!P9="+1",IF('6'!P9&gt;='6'!$V$3,"adv",'4'!P9),'4'!P9)="adv",'3'!P9,0))</f>
        <v/>
      </c>
      <c r="Q9" s="19" t="str">
        <f>IF(ISBLANK('Raw counts'!Q10),"",IF(IF('4'!Q9="+1",IF('6'!Q9&gt;='6'!$V$3,"adv",'4'!Q9),'4'!Q9)="adv",'3'!Q9,0))</f>
        <v/>
      </c>
      <c r="R9" s="19" t="str">
        <f>IF(ISBLANK('Raw counts'!R10),"",IF(IF('4'!R9="+1",IF('6'!R9&gt;='6'!$V$3,"adv",'4'!R9),'4'!R9)="adv",'3'!R9,0))</f>
        <v/>
      </c>
      <c r="S9" s="19" t="str">
        <f>IF(ISBLANK('Raw counts'!S10),"",IF(IF('4'!S9="+1",IF('6'!S9&gt;='6'!$V$3,"adv",'4'!S9),'4'!S9)="adv",'3'!S9,0))</f>
        <v/>
      </c>
      <c r="T9" s="19" t="str">
        <f>IF(ISBLANK('Raw counts'!T10),"",IF(IF('4'!T9="+1",IF('6'!T9&gt;='6'!$V$3,"adv",'4'!T9),'4'!T9)="adv",'3'!T9,0))</f>
        <v/>
      </c>
      <c r="U9" s="19" t="str">
        <f>IF(ISBLANK('Raw counts'!U10),"",IF(IF('4'!U9="+1",IF('6'!U9&gt;='6'!$V$3,"adv",'4'!U9),'4'!U9)="adv",'3'!U9,0))</f>
        <v/>
      </c>
      <c r="V9" s="3">
        <f t="shared" si="0"/>
        <v>0</v>
      </c>
    </row>
    <row r="10" spans="1:22" ht="25.5" x14ac:dyDescent="0.15">
      <c r="A10" s="18" t="str">
        <f>IF(ISBLANK('Raw counts'!A11),"",'Raw counts'!A11)</f>
        <v xml:space="preserve">Hard to find the brand online                                               </v>
      </c>
      <c r="B10" s="19">
        <f>IF(ISBLANK('Raw counts'!B11),"",IF(IF('4'!B10="+1",IF('6'!B10&gt;='6'!$V$3,"adv",'4'!B10),'4'!B10)="adv",'3'!B10,0))</f>
        <v>0</v>
      </c>
      <c r="C10" s="19">
        <f>IF(ISBLANK('Raw counts'!C11),"",IF(IF('4'!C10="+1",IF('6'!C10&gt;='6'!$V$3,"adv",'4'!C10),'4'!C10)="adv",'3'!C10,0))</f>
        <v>0</v>
      </c>
      <c r="D10" s="19">
        <f>IF(ISBLANK('Raw counts'!D11),"",IF(IF('4'!D10="+1",IF('6'!D10&gt;='6'!$V$3,"adv",'4'!D10),'4'!D10)="adv",'3'!D10,0))</f>
        <v>0</v>
      </c>
      <c r="E10" s="19">
        <f>IF(ISBLANK('Raw counts'!E11),"",IF(IF('4'!E10="+1",IF('6'!E10&gt;='6'!$V$3,"adv",'4'!E10),'4'!E10)="adv",'3'!E10,0))</f>
        <v>0</v>
      </c>
      <c r="F10" s="19">
        <f>IF(ISBLANK('Raw counts'!F11),"",IF(IF('4'!F10="+1",IF('6'!F10&gt;='6'!$V$3,"adv",'4'!F10),'4'!F10)="adv",'3'!F10,0))</f>
        <v>0</v>
      </c>
      <c r="G10" s="19">
        <f>IF(ISBLANK('Raw counts'!G11),"",IF(IF('4'!G10="+1",IF('6'!G10&gt;='6'!$V$3,"adv",'4'!G10),'4'!G10)="adv",'3'!G10,0))</f>
        <v>0</v>
      </c>
      <c r="H10" s="19">
        <f>IF(ISBLANK('Raw counts'!H11),"",IF(IF('4'!H10="+1",IF('6'!H10&gt;='6'!$V$3,"adv",'4'!H10),'4'!H10)="adv",'3'!H10,0))</f>
        <v>0</v>
      </c>
      <c r="I10" s="19">
        <f>IF(ISBLANK('Raw counts'!I11),"",IF(IF('4'!I10="+1",IF('6'!I10&gt;='6'!$V$3,"adv",'4'!I10),'4'!I10)="adv",'3'!I10,0))</f>
        <v>0</v>
      </c>
      <c r="J10" s="19">
        <f>IF(ISBLANK('Raw counts'!J11),"",IF(IF('4'!J10="+1",IF('6'!J10&gt;='6'!$V$3,"adv",'4'!J10),'4'!J10)="adv",'3'!J10,0))</f>
        <v>0</v>
      </c>
      <c r="K10" s="19">
        <f>IF(ISBLANK('Raw counts'!K11),"",IF(IF('4'!K10="+1",IF('6'!K10&gt;='6'!$V$3,"adv",'4'!K10),'4'!K10)="adv",'3'!K10,0))</f>
        <v>0</v>
      </c>
      <c r="L10" s="19">
        <f>IF(ISBLANK('Raw counts'!L11),"",IF(IF('4'!L10="+1",IF('6'!L10&gt;='6'!$V$3,"adv",'4'!L10),'4'!L10)="adv",'3'!L10,0))</f>
        <v>0</v>
      </c>
      <c r="M10" s="19" t="str">
        <f>IF(ISBLANK('Raw counts'!M11),"",IF(IF('4'!M10="+1",IF('6'!M10&gt;='6'!$V$3,"adv",'4'!M10),'4'!M10)="adv",'3'!M10,0))</f>
        <v/>
      </c>
      <c r="N10" s="19" t="str">
        <f>IF(ISBLANK('Raw counts'!N11),"",IF(IF('4'!N10="+1",IF('6'!N10&gt;='6'!$V$3,"adv",'4'!N10),'4'!N10)="adv",'3'!N10,0))</f>
        <v/>
      </c>
      <c r="O10" s="19" t="str">
        <f>IF(ISBLANK('Raw counts'!O11),"",IF(IF('4'!O10="+1",IF('6'!O10&gt;='6'!$V$3,"adv",'4'!O10),'4'!O10)="adv",'3'!O10,0))</f>
        <v/>
      </c>
      <c r="P10" s="19" t="str">
        <f>IF(ISBLANK('Raw counts'!P11),"",IF(IF('4'!P10="+1",IF('6'!P10&gt;='6'!$V$3,"adv",'4'!P10),'4'!P10)="adv",'3'!P10,0))</f>
        <v/>
      </c>
      <c r="Q10" s="19" t="str">
        <f>IF(ISBLANK('Raw counts'!Q11),"",IF(IF('4'!Q10="+1",IF('6'!Q10&gt;='6'!$V$3,"adv",'4'!Q10),'4'!Q10)="adv",'3'!Q10,0))</f>
        <v/>
      </c>
      <c r="R10" s="19" t="str">
        <f>IF(ISBLANK('Raw counts'!R11),"",IF(IF('4'!R10="+1",IF('6'!R10&gt;='6'!$V$3,"adv",'4'!R10),'4'!R10)="adv",'3'!R10,0))</f>
        <v/>
      </c>
      <c r="S10" s="19" t="str">
        <f>IF(ISBLANK('Raw counts'!S11),"",IF(IF('4'!S10="+1",IF('6'!S10&gt;='6'!$V$3,"adv",'4'!S10),'4'!S10)="adv",'3'!S10,0))</f>
        <v/>
      </c>
      <c r="T10" s="19" t="str">
        <f>IF(ISBLANK('Raw counts'!T11),"",IF(IF('4'!T10="+1",IF('6'!T10&gt;='6'!$V$3,"adv",'4'!T10),'4'!T10)="adv",'3'!T10,0))</f>
        <v/>
      </c>
      <c r="U10" s="19" t="str">
        <f>IF(ISBLANK('Raw counts'!U11),"",IF(IF('4'!U10="+1",IF('6'!U10&gt;='6'!$V$3,"adv",'4'!U10),'4'!U10)="adv",'3'!U10,0))</f>
        <v/>
      </c>
      <c r="V10" s="3">
        <f t="shared" si="0"/>
        <v>0</v>
      </c>
    </row>
    <row r="11" spans="1:22" ht="25.5" x14ac:dyDescent="0.15">
      <c r="A11" s="18" t="str">
        <f>IF(ISBLANK('Raw counts'!A12),"",'Raw counts'!A12)</f>
        <v xml:space="preserve">Difficult to determine which product is right for me                        </v>
      </c>
      <c r="B11" s="19">
        <f>IF(ISBLANK('Raw counts'!B12),"",IF(IF('4'!B11="+1",IF('6'!B11&gt;='6'!$V$3,"adv",'4'!B11),'4'!B11)="adv",'3'!B11,0))</f>
        <v>0</v>
      </c>
      <c r="C11" s="19">
        <f>IF(ISBLANK('Raw counts'!C12),"",IF(IF('4'!C11="+1",IF('6'!C11&gt;='6'!$V$3,"adv",'4'!C11),'4'!C11)="adv",'3'!C11,0))</f>
        <v>0</v>
      </c>
      <c r="D11" s="19">
        <f>IF(ISBLANK('Raw counts'!D12),"",IF(IF('4'!D11="+1",IF('6'!D11&gt;='6'!$V$3,"adv",'4'!D11),'4'!D11)="adv",'3'!D11,0))</f>
        <v>0</v>
      </c>
      <c r="E11" s="19">
        <f>IF(ISBLANK('Raw counts'!E12),"",IF(IF('4'!E11="+1",IF('6'!E11&gt;='6'!$V$3,"adv",'4'!E11),'4'!E11)="adv",'3'!E11,0))</f>
        <v>0</v>
      </c>
      <c r="F11" s="19">
        <f>IF(ISBLANK('Raw counts'!F12),"",IF(IF('4'!F11="+1",IF('6'!F11&gt;='6'!$V$3,"adv",'4'!F11),'4'!F11)="adv",'3'!F11,0))</f>
        <v>1</v>
      </c>
      <c r="G11" s="19">
        <f>IF(ISBLANK('Raw counts'!G12),"",IF(IF('4'!G11="+1",IF('6'!G11&gt;='6'!$V$3,"adv",'4'!G11),'4'!G11)="adv",'3'!G11,0))</f>
        <v>0</v>
      </c>
      <c r="H11" s="19">
        <f>IF(ISBLANK('Raw counts'!H12),"",IF(IF('4'!H11="+1",IF('6'!H11&gt;='6'!$V$3,"adv",'4'!H11),'4'!H11)="adv",'3'!H11,0))</f>
        <v>0</v>
      </c>
      <c r="I11" s="19">
        <f>IF(ISBLANK('Raw counts'!I12),"",IF(IF('4'!I11="+1",IF('6'!I11&gt;='6'!$V$3,"adv",'4'!I11),'4'!I11)="adv",'3'!I11,0))</f>
        <v>0</v>
      </c>
      <c r="J11" s="19">
        <f>IF(ISBLANK('Raw counts'!J12),"",IF(IF('4'!J11="+1",IF('6'!J11&gt;='6'!$V$3,"adv",'4'!J11),'4'!J11)="adv",'3'!J11,0))</f>
        <v>0</v>
      </c>
      <c r="K11" s="19">
        <f>IF(ISBLANK('Raw counts'!K12),"",IF(IF('4'!K11="+1",IF('6'!K11&gt;='6'!$V$3,"adv",'4'!K11),'4'!K11)="adv",'3'!K11,0))</f>
        <v>0</v>
      </c>
      <c r="L11" s="19">
        <f>IF(ISBLANK('Raw counts'!L12),"",IF(IF('4'!L11="+1",IF('6'!L11&gt;='6'!$V$3,"adv",'4'!L11),'4'!L11)="adv",'3'!L11,0))</f>
        <v>0</v>
      </c>
      <c r="M11" s="19" t="str">
        <f>IF(ISBLANK('Raw counts'!M12),"",IF(IF('4'!M11="+1",IF('6'!M11&gt;='6'!$V$3,"adv",'4'!M11),'4'!M11)="adv",'3'!M11,0))</f>
        <v/>
      </c>
      <c r="N11" s="19" t="str">
        <f>IF(ISBLANK('Raw counts'!N12),"",IF(IF('4'!N11="+1",IF('6'!N11&gt;='6'!$V$3,"adv",'4'!N11),'4'!N11)="adv",'3'!N11,0))</f>
        <v/>
      </c>
      <c r="O11" s="19" t="str">
        <f>IF(ISBLANK('Raw counts'!O12),"",IF(IF('4'!O11="+1",IF('6'!O11&gt;='6'!$V$3,"adv",'4'!O11),'4'!O11)="adv",'3'!O11,0))</f>
        <v/>
      </c>
      <c r="P11" s="19" t="str">
        <f>IF(ISBLANK('Raw counts'!P12),"",IF(IF('4'!P11="+1",IF('6'!P11&gt;='6'!$V$3,"adv",'4'!P11),'4'!P11)="adv",'3'!P11,0))</f>
        <v/>
      </c>
      <c r="Q11" s="19" t="str">
        <f>IF(ISBLANK('Raw counts'!Q12),"",IF(IF('4'!Q11="+1",IF('6'!Q11&gt;='6'!$V$3,"adv",'4'!Q11),'4'!Q11)="adv",'3'!Q11,0))</f>
        <v/>
      </c>
      <c r="R11" s="19" t="str">
        <f>IF(ISBLANK('Raw counts'!R12),"",IF(IF('4'!R11="+1",IF('6'!R11&gt;='6'!$V$3,"adv",'4'!R11),'4'!R11)="adv",'3'!R11,0))</f>
        <v/>
      </c>
      <c r="S11" s="19" t="str">
        <f>IF(ISBLANK('Raw counts'!S12),"",IF(IF('4'!S11="+1",IF('6'!S11&gt;='6'!$V$3,"adv",'4'!S11),'4'!S11)="adv",'3'!S11,0))</f>
        <v/>
      </c>
      <c r="T11" s="19" t="str">
        <f>IF(ISBLANK('Raw counts'!T12),"",IF(IF('4'!T11="+1",IF('6'!T11&gt;='6'!$V$3,"adv",'4'!T11),'4'!T11)="adv",'3'!T11,0))</f>
        <v/>
      </c>
      <c r="U11" s="19" t="str">
        <f>IF(ISBLANK('Raw counts'!U12),"",IF(IF('4'!U11="+1",IF('6'!U11&gt;='6'!$V$3,"adv",'4'!U11),'4'!U11)="adv",'3'!U11,0))</f>
        <v/>
      </c>
      <c r="V11" s="3">
        <f t="shared" si="0"/>
        <v>1</v>
      </c>
    </row>
    <row r="12" spans="1:22" ht="25.5" x14ac:dyDescent="0.15">
      <c r="A12" s="18" t="str">
        <f>IF(ISBLANK('Raw counts'!A13),"",'Raw counts'!A13)</f>
        <v xml:space="preserve">Costs more than other brands                                                </v>
      </c>
      <c r="B12" s="19">
        <f>IF(ISBLANK('Raw counts'!B13),"",IF(IF('4'!B12="+1",IF('6'!B12&gt;='6'!$V$3,"adv",'4'!B12),'4'!B12)="adv",'3'!B12,0))</f>
        <v>0</v>
      </c>
      <c r="C12" s="19">
        <f>IF(ISBLANK('Raw counts'!C13),"",IF(IF('4'!C12="+1",IF('6'!C12&gt;='6'!$V$3,"adv",'4'!C12),'4'!C12)="adv",'3'!C12,0))</f>
        <v>0</v>
      </c>
      <c r="D12" s="19">
        <f>IF(ISBLANK('Raw counts'!D13),"",IF(IF('4'!D12="+1",IF('6'!D12&gt;='6'!$V$3,"adv",'4'!D12),'4'!D12)="adv",'3'!D12,0))</f>
        <v>0</v>
      </c>
      <c r="E12" s="19">
        <f>IF(ISBLANK('Raw counts'!E13),"",IF(IF('4'!E12="+1",IF('6'!E12&gt;='6'!$V$3,"adv",'4'!E12),'4'!E12)="adv",'3'!E12,0))</f>
        <v>0</v>
      </c>
      <c r="F12" s="19">
        <f>IF(ISBLANK('Raw counts'!F13),"",IF(IF('4'!F12="+1",IF('6'!F12&gt;='6'!$V$3,"adv",'4'!F12),'4'!F12)="adv",'3'!F12,0))</f>
        <v>0</v>
      </c>
      <c r="G12" s="19">
        <f>IF(ISBLANK('Raw counts'!G13),"",IF(IF('4'!G12="+1",IF('6'!G12&gt;='6'!$V$3,"adv",'4'!G12),'4'!G12)="adv",'3'!G12,0))</f>
        <v>0</v>
      </c>
      <c r="H12" s="19">
        <f>IF(ISBLANK('Raw counts'!H13),"",IF(IF('4'!H12="+1",IF('6'!H12&gt;='6'!$V$3,"adv",'4'!H12),'4'!H12)="adv",'3'!H12,0))</f>
        <v>1</v>
      </c>
      <c r="I12" s="19">
        <f>IF(ISBLANK('Raw counts'!I13),"",IF(IF('4'!I12="+1",IF('6'!I12&gt;='6'!$V$3,"adv",'4'!I12),'4'!I12)="adv",'3'!I12,0))</f>
        <v>0</v>
      </c>
      <c r="J12" s="19">
        <f>IF(ISBLANK('Raw counts'!J13),"",IF(IF('4'!J12="+1",IF('6'!J12&gt;='6'!$V$3,"adv",'4'!J12),'4'!J12)="adv",'3'!J12,0))</f>
        <v>0</v>
      </c>
      <c r="K12" s="19">
        <f>IF(ISBLANK('Raw counts'!K13),"",IF(IF('4'!K12="+1",IF('6'!K12&gt;='6'!$V$3,"adv",'4'!K12),'4'!K12)="adv",'3'!K12,0))</f>
        <v>0</v>
      </c>
      <c r="L12" s="19">
        <f>IF(ISBLANK('Raw counts'!L13),"",IF(IF('4'!L12="+1",IF('6'!L12&gt;='6'!$V$3,"adv",'4'!L12),'4'!L12)="adv",'3'!L12,0))</f>
        <v>0</v>
      </c>
      <c r="M12" s="19" t="str">
        <f>IF(ISBLANK('Raw counts'!M13),"",IF(IF('4'!M12="+1",IF('6'!M12&gt;='6'!$V$3,"adv",'4'!M12),'4'!M12)="adv",'3'!M12,0))</f>
        <v/>
      </c>
      <c r="N12" s="19" t="str">
        <f>IF(ISBLANK('Raw counts'!N13),"",IF(IF('4'!N12="+1",IF('6'!N12&gt;='6'!$V$3,"adv",'4'!N12),'4'!N12)="adv",'3'!N12,0))</f>
        <v/>
      </c>
      <c r="O12" s="19" t="str">
        <f>IF(ISBLANK('Raw counts'!O13),"",IF(IF('4'!O12="+1",IF('6'!O12&gt;='6'!$V$3,"adv",'4'!O12),'4'!O12)="adv",'3'!O12,0))</f>
        <v/>
      </c>
      <c r="P12" s="19" t="str">
        <f>IF(ISBLANK('Raw counts'!P13),"",IF(IF('4'!P12="+1",IF('6'!P12&gt;='6'!$V$3,"adv",'4'!P12),'4'!P12)="adv",'3'!P12,0))</f>
        <v/>
      </c>
      <c r="Q12" s="19" t="str">
        <f>IF(ISBLANK('Raw counts'!Q13),"",IF(IF('4'!Q12="+1",IF('6'!Q12&gt;='6'!$V$3,"adv",'4'!Q12),'4'!Q12)="adv",'3'!Q12,0))</f>
        <v/>
      </c>
      <c r="R12" s="19" t="str">
        <f>IF(ISBLANK('Raw counts'!R13),"",IF(IF('4'!R12="+1",IF('6'!R12&gt;='6'!$V$3,"adv",'4'!R12),'4'!R12)="adv",'3'!R12,0))</f>
        <v/>
      </c>
      <c r="S12" s="19" t="str">
        <f>IF(ISBLANK('Raw counts'!S13),"",IF(IF('4'!S12="+1",IF('6'!S12&gt;='6'!$V$3,"adv",'4'!S12),'4'!S12)="adv",'3'!S12,0))</f>
        <v/>
      </c>
      <c r="T12" s="19" t="str">
        <f>IF(ISBLANK('Raw counts'!T13),"",IF(IF('4'!T12="+1",IF('6'!T12&gt;='6'!$V$3,"adv",'4'!T12),'4'!T12)="adv",'3'!T12,0))</f>
        <v/>
      </c>
      <c r="U12" s="19" t="str">
        <f>IF(ISBLANK('Raw counts'!U13),"",IF(IF('4'!U12="+1",IF('6'!U12&gt;='6'!$V$3,"adv",'4'!U12),'4'!U12)="adv",'3'!U12,0))</f>
        <v/>
      </c>
      <c r="V12" s="3">
        <f t="shared" si="0"/>
        <v>1</v>
      </c>
    </row>
    <row r="13" spans="1:22" ht="38.25" x14ac:dyDescent="0.15">
      <c r="A13" s="18" t="str">
        <f>IF(ISBLANK('Raw counts'!A14),"",'Raw counts'!A14)</f>
        <v xml:space="preserve">Costs more than I'm willing to pay                                          </v>
      </c>
      <c r="B13" s="19">
        <f>IF(ISBLANK('Raw counts'!B14),"",IF(IF('4'!B13="+1",IF('6'!B13&gt;='6'!$V$3,"adv",'4'!B13),'4'!B13)="adv",'3'!B13,0))</f>
        <v>0</v>
      </c>
      <c r="C13" s="19">
        <f>IF(ISBLANK('Raw counts'!C14),"",IF(IF('4'!C13="+1",IF('6'!C13&gt;='6'!$V$3,"adv",'4'!C13),'4'!C13)="adv",'3'!C13,0))</f>
        <v>0</v>
      </c>
      <c r="D13" s="19">
        <f>IF(ISBLANK('Raw counts'!D14),"",IF(IF('4'!D13="+1",IF('6'!D13&gt;='6'!$V$3,"adv",'4'!D13),'4'!D13)="adv",'3'!D13,0))</f>
        <v>0</v>
      </c>
      <c r="E13" s="19">
        <f>IF(ISBLANK('Raw counts'!E14),"",IF(IF('4'!E13="+1",IF('6'!E13&gt;='6'!$V$3,"adv",'4'!E13),'4'!E13)="adv",'3'!E13,0))</f>
        <v>0</v>
      </c>
      <c r="F13" s="19">
        <f>IF(ISBLANK('Raw counts'!F14),"",IF(IF('4'!F13="+1",IF('6'!F13&gt;='6'!$V$3,"adv",'4'!F13),'4'!F13)="adv",'3'!F13,0))</f>
        <v>0</v>
      </c>
      <c r="G13" s="19">
        <f>IF(ISBLANK('Raw counts'!G14),"",IF(IF('4'!G13="+1",IF('6'!G13&gt;='6'!$V$3,"adv",'4'!G13),'4'!G13)="adv",'3'!G13,0))</f>
        <v>0</v>
      </c>
      <c r="H13" s="19">
        <f>IF(ISBLANK('Raw counts'!H14),"",IF(IF('4'!H13="+1",IF('6'!H13&gt;='6'!$V$3,"adv",'4'!H13),'4'!H13)="adv",'3'!H13,0))</f>
        <v>0</v>
      </c>
      <c r="I13" s="19">
        <f>IF(ISBLANK('Raw counts'!I14),"",IF(IF('4'!I13="+1",IF('6'!I13&gt;='6'!$V$3,"adv",'4'!I13),'4'!I13)="adv",'3'!I13,0))</f>
        <v>0</v>
      </c>
      <c r="J13" s="19">
        <f>IF(ISBLANK('Raw counts'!J14),"",IF(IF('4'!J13="+1",IF('6'!J13&gt;='6'!$V$3,"adv",'4'!J13),'4'!J13)="adv",'3'!J13,0))</f>
        <v>0</v>
      </c>
      <c r="K13" s="19">
        <f>IF(ISBLANK('Raw counts'!K14),"",IF(IF('4'!K13="+1",IF('6'!K13&gt;='6'!$V$3,"adv",'4'!K13),'4'!K13)="adv",'3'!K13,0))</f>
        <v>0</v>
      </c>
      <c r="L13" s="19">
        <f>IF(ISBLANK('Raw counts'!L14),"",IF(IF('4'!L13="+1",IF('6'!L13&gt;='6'!$V$3,"adv",'4'!L13),'4'!L13)="adv",'3'!L13,0))</f>
        <v>0</v>
      </c>
      <c r="M13" s="19" t="str">
        <f>IF(ISBLANK('Raw counts'!M14),"",IF(IF('4'!M13="+1",IF('6'!M13&gt;='6'!$V$3,"adv",'4'!M13),'4'!M13)="adv",'3'!M13,0))</f>
        <v/>
      </c>
      <c r="N13" s="19" t="str">
        <f>IF(ISBLANK('Raw counts'!N14),"",IF(IF('4'!N13="+1",IF('6'!N13&gt;='6'!$V$3,"adv",'4'!N13),'4'!N13)="adv",'3'!N13,0))</f>
        <v/>
      </c>
      <c r="O13" s="19" t="str">
        <f>IF(ISBLANK('Raw counts'!O14),"",IF(IF('4'!O13="+1",IF('6'!O13&gt;='6'!$V$3,"adv",'4'!O13),'4'!O13)="adv",'3'!O13,0))</f>
        <v/>
      </c>
      <c r="P13" s="19" t="str">
        <f>IF(ISBLANK('Raw counts'!P14),"",IF(IF('4'!P13="+1",IF('6'!P13&gt;='6'!$V$3,"adv",'4'!P13),'4'!P13)="adv",'3'!P13,0))</f>
        <v/>
      </c>
      <c r="Q13" s="19" t="str">
        <f>IF(ISBLANK('Raw counts'!Q14),"",IF(IF('4'!Q13="+1",IF('6'!Q13&gt;='6'!$V$3,"adv",'4'!Q13),'4'!Q13)="adv",'3'!Q13,0))</f>
        <v/>
      </c>
      <c r="R13" s="19" t="str">
        <f>IF(ISBLANK('Raw counts'!R14),"",IF(IF('4'!R13="+1",IF('6'!R13&gt;='6'!$V$3,"adv",'4'!R13),'4'!R13)="adv",'3'!R13,0))</f>
        <v/>
      </c>
      <c r="S13" s="19" t="str">
        <f>IF(ISBLANK('Raw counts'!S14),"",IF(IF('4'!S13="+1",IF('6'!S13&gt;='6'!$V$3,"adv",'4'!S13),'4'!S13)="adv",'3'!S13,0))</f>
        <v/>
      </c>
      <c r="T13" s="19" t="str">
        <f>IF(ISBLANK('Raw counts'!T14),"",IF(IF('4'!T13="+1",IF('6'!T13&gt;='6'!$V$3,"adv",'4'!T13),'4'!T13)="adv",'3'!T13,0))</f>
        <v/>
      </c>
      <c r="U13" s="19" t="str">
        <f>IF(ISBLANK('Raw counts'!U14),"",IF(IF('4'!U13="+1",IF('6'!U13&gt;='6'!$V$3,"adv",'4'!U13),'4'!U13)="adv",'3'!U13,0))</f>
        <v/>
      </c>
      <c r="V13" s="3">
        <f t="shared" si="0"/>
        <v>0</v>
      </c>
    </row>
    <row r="14" spans="1:22" x14ac:dyDescent="0.15">
      <c r="A14" s="18" t="str">
        <f>IF(ISBLANK('Raw counts'!A15),"",'Raw counts'!A15)</f>
        <v xml:space="preserve">Not enough promotions, discounts or coupons                                 </v>
      </c>
      <c r="B14" s="19">
        <f>IF(ISBLANK('Raw counts'!B15),"",IF(IF('4'!B14="+1",IF('6'!B14&gt;='6'!$V$3,"adv",'4'!B14),'4'!B14)="adv",'3'!B14,0))</f>
        <v>0</v>
      </c>
      <c r="C14" s="19">
        <f>IF(ISBLANK('Raw counts'!C15),"",IF(IF('4'!C14="+1",IF('6'!C14&gt;='6'!$V$3,"adv",'4'!C14),'4'!C14)="adv",'3'!C14,0))</f>
        <v>0</v>
      </c>
      <c r="D14" s="19">
        <f>IF(ISBLANK('Raw counts'!D15),"",IF(IF('4'!D14="+1",IF('6'!D14&gt;='6'!$V$3,"adv",'4'!D14),'4'!D14)="adv",'3'!D14,0))</f>
        <v>0</v>
      </c>
      <c r="E14" s="19">
        <f>IF(ISBLANK('Raw counts'!E15),"",IF(IF('4'!E14="+1",IF('6'!E14&gt;='6'!$V$3,"adv",'4'!E14),'4'!E14)="adv",'3'!E14,0))</f>
        <v>0</v>
      </c>
      <c r="F14" s="19">
        <f>IF(ISBLANK('Raw counts'!F15),"",IF(IF('4'!F14="+1",IF('6'!F14&gt;='6'!$V$3,"adv",'4'!F14),'4'!F14)="adv",'3'!F14,0))</f>
        <v>0</v>
      </c>
      <c r="G14" s="19">
        <f>IF(ISBLANK('Raw counts'!G15),"",IF(IF('4'!G14="+1",IF('6'!G14&gt;='6'!$V$3,"adv",'4'!G14),'4'!G14)="adv",'3'!G14,0))</f>
        <v>0</v>
      </c>
      <c r="H14" s="19">
        <f>IF(ISBLANK('Raw counts'!H15),"",IF(IF('4'!H14="+1",IF('6'!H14&gt;='6'!$V$3,"adv",'4'!H14),'4'!H14)="adv",'3'!H14,0))</f>
        <v>1</v>
      </c>
      <c r="I14" s="19">
        <f>IF(ISBLANK('Raw counts'!I15),"",IF(IF('4'!I14="+1",IF('6'!I14&gt;='6'!$V$3,"adv",'4'!I14),'4'!I14)="adv",'3'!I14,0))</f>
        <v>0</v>
      </c>
      <c r="J14" s="19">
        <f>IF(ISBLANK('Raw counts'!J15),"",IF(IF('4'!J14="+1",IF('6'!J14&gt;='6'!$V$3,"adv",'4'!J14),'4'!J14)="adv",'3'!J14,0))</f>
        <v>0</v>
      </c>
      <c r="K14" s="19">
        <f>IF(ISBLANK('Raw counts'!K15),"",IF(IF('4'!K14="+1",IF('6'!K14&gt;='6'!$V$3,"adv",'4'!K14),'4'!K14)="adv",'3'!K14,0))</f>
        <v>0</v>
      </c>
      <c r="L14" s="19">
        <f>IF(ISBLANK('Raw counts'!L15),"",IF(IF('4'!L14="+1",IF('6'!L14&gt;='6'!$V$3,"adv",'4'!L14),'4'!L14)="adv",'3'!L14,0))</f>
        <v>0</v>
      </c>
      <c r="M14" s="19" t="str">
        <f>IF(ISBLANK('Raw counts'!M15),"",IF(IF('4'!M14="+1",IF('6'!M14&gt;='6'!$V$3,"adv",'4'!M14),'4'!M14)="adv",'3'!M14,0))</f>
        <v/>
      </c>
      <c r="N14" s="19" t="str">
        <f>IF(ISBLANK('Raw counts'!N15),"",IF(IF('4'!N14="+1",IF('6'!N14&gt;='6'!$V$3,"adv",'4'!N14),'4'!N14)="adv",'3'!N14,0))</f>
        <v/>
      </c>
      <c r="O14" s="19" t="str">
        <f>IF(ISBLANK('Raw counts'!O15),"",IF(IF('4'!O14="+1",IF('6'!O14&gt;='6'!$V$3,"adv",'4'!O14),'4'!O14)="adv",'3'!O14,0))</f>
        <v/>
      </c>
      <c r="P14" s="19" t="str">
        <f>IF(ISBLANK('Raw counts'!P15),"",IF(IF('4'!P14="+1",IF('6'!P14&gt;='6'!$V$3,"adv",'4'!P14),'4'!P14)="adv",'3'!P14,0))</f>
        <v/>
      </c>
      <c r="Q14" s="19" t="str">
        <f>IF(ISBLANK('Raw counts'!Q15),"",IF(IF('4'!Q14="+1",IF('6'!Q14&gt;='6'!$V$3,"adv",'4'!Q14),'4'!Q14)="adv",'3'!Q14,0))</f>
        <v/>
      </c>
      <c r="R14" s="19" t="str">
        <f>IF(ISBLANK('Raw counts'!R15),"",IF(IF('4'!R14="+1",IF('6'!R14&gt;='6'!$V$3,"adv",'4'!R14),'4'!R14)="adv",'3'!R14,0))</f>
        <v/>
      </c>
      <c r="S14" s="19" t="str">
        <f>IF(ISBLANK('Raw counts'!S15),"",IF(IF('4'!S14="+1",IF('6'!S14&gt;='6'!$V$3,"adv",'4'!S14),'4'!S14)="adv",'3'!S14,0))</f>
        <v/>
      </c>
      <c r="T14" s="19" t="str">
        <f>IF(ISBLANK('Raw counts'!T15),"",IF(IF('4'!T14="+1",IF('6'!T14&gt;='6'!$V$3,"adv",'4'!T14),'4'!T14)="adv",'3'!T14,0))</f>
        <v/>
      </c>
      <c r="U14" s="19" t="str">
        <f>IF(ISBLANK('Raw counts'!U15),"",IF(IF('4'!U14="+1",IF('6'!U14&gt;='6'!$V$3,"adv",'4'!U14),'4'!U14)="adv",'3'!U14,0))</f>
        <v/>
      </c>
      <c r="V14" s="3">
        <f t="shared" si="0"/>
        <v>1</v>
      </c>
    </row>
    <row r="15" spans="1:22" x14ac:dyDescent="0.15">
      <c r="A15" s="18" t="str">
        <f>IF(ISBLANK('Raw counts'!A16),"",'Raw counts'!A16)</f>
        <v xml:space="preserve">Other brands offer more promotions, discounts or coupons                    </v>
      </c>
      <c r="B15" s="19">
        <f>IF(ISBLANK('Raw counts'!B16),"",IF(IF('4'!B15="+1",IF('6'!B15&gt;='6'!$V$3,"adv",'4'!B15),'4'!B15)="adv",'3'!B15,0))</f>
        <v>0</v>
      </c>
      <c r="C15" s="19">
        <f>IF(ISBLANK('Raw counts'!C16),"",IF(IF('4'!C15="+1",IF('6'!C15&gt;='6'!$V$3,"adv",'4'!C15),'4'!C15)="adv",'3'!C15,0))</f>
        <v>1</v>
      </c>
      <c r="D15" s="19">
        <f>IF(ISBLANK('Raw counts'!D16),"",IF(IF('4'!D15="+1",IF('6'!D15&gt;='6'!$V$3,"adv",'4'!D15),'4'!D15)="adv",'3'!D15,0))</f>
        <v>0</v>
      </c>
      <c r="E15" s="19">
        <f>IF(ISBLANK('Raw counts'!E16),"",IF(IF('4'!E15="+1",IF('6'!E15&gt;='6'!$V$3,"adv",'4'!E15),'4'!E15)="adv",'3'!E15,0))</f>
        <v>0</v>
      </c>
      <c r="F15" s="19">
        <f>IF(ISBLANK('Raw counts'!F16),"",IF(IF('4'!F15="+1",IF('6'!F15&gt;='6'!$V$3,"adv",'4'!F15),'4'!F15)="adv",'3'!F15,0))</f>
        <v>0</v>
      </c>
      <c r="G15" s="19">
        <f>IF(ISBLANK('Raw counts'!G16),"",IF(IF('4'!G15="+1",IF('6'!G15&gt;='6'!$V$3,"adv",'4'!G15),'4'!G15)="adv",'3'!G15,0))</f>
        <v>0</v>
      </c>
      <c r="H15" s="19">
        <f>IF(ISBLANK('Raw counts'!H16),"",IF(IF('4'!H15="+1",IF('6'!H15&gt;='6'!$V$3,"adv",'4'!H15),'4'!H15)="adv",'3'!H15,0))</f>
        <v>0</v>
      </c>
      <c r="I15" s="19">
        <f>IF(ISBLANK('Raw counts'!I16),"",IF(IF('4'!I15="+1",IF('6'!I15&gt;='6'!$V$3,"adv",'4'!I15),'4'!I15)="adv",'3'!I15,0))</f>
        <v>0</v>
      </c>
      <c r="J15" s="19">
        <f>IF(ISBLANK('Raw counts'!J16),"",IF(IF('4'!J15="+1",IF('6'!J15&gt;='6'!$V$3,"adv",'4'!J15),'4'!J15)="adv",'3'!J15,0))</f>
        <v>0</v>
      </c>
      <c r="K15" s="19">
        <f>IF(ISBLANK('Raw counts'!K16),"",IF(IF('4'!K15="+1",IF('6'!K15&gt;='6'!$V$3,"adv",'4'!K15),'4'!K15)="adv",'3'!K15,0))</f>
        <v>0</v>
      </c>
      <c r="L15" s="19">
        <f>IF(ISBLANK('Raw counts'!L16),"",IF(IF('4'!L15="+1",IF('6'!L15&gt;='6'!$V$3,"adv",'4'!L15),'4'!L15)="adv",'3'!L15,0))</f>
        <v>0</v>
      </c>
      <c r="M15" s="19" t="str">
        <f>IF(ISBLANK('Raw counts'!M16),"",IF(IF('4'!M15="+1",IF('6'!M15&gt;='6'!$V$3,"adv",'4'!M15),'4'!M15)="adv",'3'!M15,0))</f>
        <v/>
      </c>
      <c r="N15" s="19" t="str">
        <f>IF(ISBLANK('Raw counts'!N16),"",IF(IF('4'!N15="+1",IF('6'!N15&gt;='6'!$V$3,"adv",'4'!N15),'4'!N15)="adv",'3'!N15,0))</f>
        <v/>
      </c>
      <c r="O15" s="19" t="str">
        <f>IF(ISBLANK('Raw counts'!O16),"",IF(IF('4'!O15="+1",IF('6'!O15&gt;='6'!$V$3,"adv",'4'!O15),'4'!O15)="adv",'3'!O15,0))</f>
        <v/>
      </c>
      <c r="P15" s="19" t="str">
        <f>IF(ISBLANK('Raw counts'!P16),"",IF(IF('4'!P15="+1",IF('6'!P15&gt;='6'!$V$3,"adv",'4'!P15),'4'!P15)="adv",'3'!P15,0))</f>
        <v/>
      </c>
      <c r="Q15" s="19" t="str">
        <f>IF(ISBLANK('Raw counts'!Q16),"",IF(IF('4'!Q15="+1",IF('6'!Q15&gt;='6'!$V$3,"adv",'4'!Q15),'4'!Q15)="adv",'3'!Q15,0))</f>
        <v/>
      </c>
      <c r="R15" s="19" t="str">
        <f>IF(ISBLANK('Raw counts'!R16),"",IF(IF('4'!R15="+1",IF('6'!R15&gt;='6'!$V$3,"adv",'4'!R15),'4'!R15)="adv",'3'!R15,0))</f>
        <v/>
      </c>
      <c r="S15" s="19" t="str">
        <f>IF(ISBLANK('Raw counts'!S16),"",IF(IF('4'!S15="+1",IF('6'!S15&gt;='6'!$V$3,"adv",'4'!S15),'4'!S15)="adv",'3'!S15,0))</f>
        <v/>
      </c>
      <c r="T15" s="19" t="str">
        <f>IF(ISBLANK('Raw counts'!T16),"",IF(IF('4'!T15="+1",IF('6'!T15&gt;='6'!$V$3,"adv",'4'!T15),'4'!T15)="adv",'3'!T15,0))</f>
        <v/>
      </c>
      <c r="U15" s="19" t="str">
        <f>IF(ISBLANK('Raw counts'!U16),"",IF(IF('4'!U15="+1",IF('6'!U15&gt;='6'!$V$3,"adv",'4'!U15),'4'!U15)="adv",'3'!U15,0))</f>
        <v/>
      </c>
      <c r="V15" s="3">
        <f t="shared" si="0"/>
        <v>1</v>
      </c>
    </row>
    <row r="16" spans="1:22" x14ac:dyDescent="0.15">
      <c r="A16" s="18" t="str">
        <f>IF(ISBLANK('Raw counts'!A17),"",'Raw counts'!A17)</f>
        <v xml:space="preserve">Other brands have more shopper or loyalty card offers                       </v>
      </c>
      <c r="B16" s="19">
        <f>IF(ISBLANK('Raw counts'!B17),"",IF(IF('4'!B16="+1",IF('6'!B16&gt;='6'!$V$3,"adv",'4'!B16),'4'!B16)="adv",'3'!B16,0))</f>
        <v>0</v>
      </c>
      <c r="C16" s="19">
        <f>IF(ISBLANK('Raw counts'!C17),"",IF(IF('4'!C16="+1",IF('6'!C16&gt;='6'!$V$3,"adv",'4'!C16),'4'!C16)="adv",'3'!C16,0))</f>
        <v>0</v>
      </c>
      <c r="D16" s="19">
        <f>IF(ISBLANK('Raw counts'!D17),"",IF(IF('4'!D16="+1",IF('6'!D16&gt;='6'!$V$3,"adv",'4'!D16),'4'!D16)="adv",'3'!D16,0))</f>
        <v>0</v>
      </c>
      <c r="E16" s="19">
        <f>IF(ISBLANK('Raw counts'!E17),"",IF(IF('4'!E16="+1",IF('6'!E16&gt;='6'!$V$3,"adv",'4'!E16),'4'!E16)="adv",'3'!E16,0))</f>
        <v>0</v>
      </c>
      <c r="F16" s="19">
        <f>IF(ISBLANK('Raw counts'!F17),"",IF(IF('4'!F16="+1",IF('6'!F16&gt;='6'!$V$3,"adv",'4'!F16),'4'!F16)="adv",'3'!F16,0))</f>
        <v>0</v>
      </c>
      <c r="G16" s="19">
        <f>IF(ISBLANK('Raw counts'!G17),"",IF(IF('4'!G16="+1",IF('6'!G16&gt;='6'!$V$3,"adv",'4'!G16),'4'!G16)="adv",'3'!G16,0))</f>
        <v>0</v>
      </c>
      <c r="H16" s="19">
        <f>IF(ISBLANK('Raw counts'!H17),"",IF(IF('4'!H16="+1",IF('6'!H16&gt;='6'!$V$3,"adv",'4'!H16),'4'!H16)="adv",'3'!H16,0))</f>
        <v>0</v>
      </c>
      <c r="I16" s="19">
        <f>IF(ISBLANK('Raw counts'!I17),"",IF(IF('4'!I16="+1",IF('6'!I16&gt;='6'!$V$3,"adv",'4'!I16),'4'!I16)="adv",'3'!I16,0))</f>
        <v>0</v>
      </c>
      <c r="J16" s="19">
        <f>IF(ISBLANK('Raw counts'!J17),"",IF(IF('4'!J16="+1",IF('6'!J16&gt;='6'!$V$3,"adv",'4'!J16),'4'!J16)="adv",'3'!J16,0))</f>
        <v>0</v>
      </c>
      <c r="K16" s="19">
        <f>IF(ISBLANK('Raw counts'!K17),"",IF(IF('4'!K16="+1",IF('6'!K16&gt;='6'!$V$3,"adv",'4'!K16),'4'!K16)="adv",'3'!K16,0))</f>
        <v>0</v>
      </c>
      <c r="L16" s="19">
        <f>IF(ISBLANK('Raw counts'!L17),"",IF(IF('4'!L16="+1",IF('6'!L16&gt;='6'!$V$3,"adv",'4'!L16),'4'!L16)="adv",'3'!L16,0))</f>
        <v>0</v>
      </c>
      <c r="M16" s="19" t="str">
        <f>IF(ISBLANK('Raw counts'!M17),"",IF(IF('4'!M16="+1",IF('6'!M16&gt;='6'!$V$3,"adv",'4'!M16),'4'!M16)="adv",'3'!M16,0))</f>
        <v/>
      </c>
      <c r="N16" s="19" t="str">
        <f>IF(ISBLANK('Raw counts'!N17),"",IF(IF('4'!N16="+1",IF('6'!N16&gt;='6'!$V$3,"adv",'4'!N16),'4'!N16)="adv",'3'!N16,0))</f>
        <v/>
      </c>
      <c r="O16" s="19" t="str">
        <f>IF(ISBLANK('Raw counts'!O17),"",IF(IF('4'!O16="+1",IF('6'!O16&gt;='6'!$V$3,"adv",'4'!O16),'4'!O16)="adv",'3'!O16,0))</f>
        <v/>
      </c>
      <c r="P16" s="19" t="str">
        <f>IF(ISBLANK('Raw counts'!P17),"",IF(IF('4'!P16="+1",IF('6'!P16&gt;='6'!$V$3,"adv",'4'!P16),'4'!P16)="adv",'3'!P16,0))</f>
        <v/>
      </c>
      <c r="Q16" s="19" t="str">
        <f>IF(ISBLANK('Raw counts'!Q17),"",IF(IF('4'!Q16="+1",IF('6'!Q16&gt;='6'!$V$3,"adv",'4'!Q16),'4'!Q16)="adv",'3'!Q16,0))</f>
        <v/>
      </c>
      <c r="R16" s="19" t="str">
        <f>IF(ISBLANK('Raw counts'!R17),"",IF(IF('4'!R16="+1",IF('6'!R16&gt;='6'!$V$3,"adv",'4'!R16),'4'!R16)="adv",'3'!R16,0))</f>
        <v/>
      </c>
      <c r="S16" s="19" t="str">
        <f>IF(ISBLANK('Raw counts'!S17),"",IF(IF('4'!S16="+1",IF('6'!S16&gt;='6'!$V$3,"adv",'4'!S16),'4'!S16)="adv",'3'!S16,0))</f>
        <v/>
      </c>
      <c r="T16" s="19" t="str">
        <f>IF(ISBLANK('Raw counts'!T17),"",IF(IF('4'!T16="+1",IF('6'!T16&gt;='6'!$V$3,"adv",'4'!T16),'4'!T16)="adv",'3'!T16,0))</f>
        <v/>
      </c>
      <c r="U16" s="19" t="str">
        <f>IF(ISBLANK('Raw counts'!U17),"",IF(IF('4'!U16="+1",IF('6'!U16&gt;='6'!$V$3,"adv",'4'!U16),'4'!U16)="adv",'3'!U16,0))</f>
        <v/>
      </c>
      <c r="V16" s="3">
        <f t="shared" si="0"/>
        <v>0</v>
      </c>
    </row>
    <row r="17" spans="1:22" x14ac:dyDescent="0.15">
      <c r="A17" s="18" t="str">
        <f>IF(ISBLANK('Raw counts'!A18),"",'Raw counts'!A18)</f>
        <v xml:space="preserve">Recommended another brand by others(i.e. family members/peers or iWOM)      </v>
      </c>
      <c r="B17" s="19">
        <f>IF(ISBLANK('Raw counts'!B18),"",IF(IF('4'!B17="+1",IF('6'!B17&gt;='6'!$V$3,"adv",'4'!B17),'4'!B17)="adv",'3'!B17,0))</f>
        <v>0</v>
      </c>
      <c r="C17" s="19">
        <f>IF(ISBLANK('Raw counts'!C18),"",IF(IF('4'!C17="+1",IF('6'!C17&gt;='6'!$V$3,"adv",'4'!C17),'4'!C17)="adv",'3'!C17,0))</f>
        <v>0</v>
      </c>
      <c r="D17" s="19">
        <f>IF(ISBLANK('Raw counts'!D18),"",IF(IF('4'!D17="+1",IF('6'!D17&gt;='6'!$V$3,"adv",'4'!D17),'4'!D17)="adv",'3'!D17,0))</f>
        <v>0</v>
      </c>
      <c r="E17" s="19">
        <f>IF(ISBLANK('Raw counts'!E18),"",IF(IF('4'!E17="+1",IF('6'!E17&gt;='6'!$V$3,"adv",'4'!E17),'4'!E17)="adv",'3'!E17,0))</f>
        <v>0</v>
      </c>
      <c r="F17" s="19">
        <f>IF(ISBLANK('Raw counts'!F18),"",IF(IF('4'!F17="+1",IF('6'!F17&gt;='6'!$V$3,"adv",'4'!F17),'4'!F17)="adv",'3'!F17,0))</f>
        <v>0</v>
      </c>
      <c r="G17" s="19">
        <f>IF(ISBLANK('Raw counts'!G18),"",IF(IF('4'!G17="+1",IF('6'!G17&gt;='6'!$V$3,"adv",'4'!G17),'4'!G17)="adv",'3'!G17,0))</f>
        <v>0</v>
      </c>
      <c r="H17" s="19">
        <f>IF(ISBLANK('Raw counts'!H18),"",IF(IF('4'!H17="+1",IF('6'!H17&gt;='6'!$V$3,"adv",'4'!H17),'4'!H17)="adv",'3'!H17,0))</f>
        <v>0</v>
      </c>
      <c r="I17" s="19">
        <f>IF(ISBLANK('Raw counts'!I18),"",IF(IF('4'!I17="+1",IF('6'!I17&gt;='6'!$V$3,"adv",'4'!I17),'4'!I17)="adv",'3'!I17,0))</f>
        <v>0</v>
      </c>
      <c r="J17" s="19">
        <f>IF(ISBLANK('Raw counts'!J18),"",IF(IF('4'!J17="+1",IF('6'!J17&gt;='6'!$V$3,"adv",'4'!J17),'4'!J17)="adv",'3'!J17,0))</f>
        <v>0</v>
      </c>
      <c r="K17" s="19">
        <f>IF(ISBLANK('Raw counts'!K18),"",IF(IF('4'!K17="+1",IF('6'!K17&gt;='6'!$V$3,"adv",'4'!K17),'4'!K17)="adv",'3'!K17,0))</f>
        <v>0</v>
      </c>
      <c r="L17" s="19">
        <f>IF(ISBLANK('Raw counts'!L18),"",IF(IF('4'!L17="+1",IF('6'!L17&gt;='6'!$V$3,"adv",'4'!L17),'4'!L17)="adv",'3'!L17,0))</f>
        <v>0</v>
      </c>
      <c r="M17" s="19" t="str">
        <f>IF(ISBLANK('Raw counts'!M18),"",IF(IF('4'!M17="+1",IF('6'!M17&gt;='6'!$V$3,"adv",'4'!M17),'4'!M17)="adv",'3'!M17,0))</f>
        <v/>
      </c>
      <c r="N17" s="19" t="str">
        <f>IF(ISBLANK('Raw counts'!N18),"",IF(IF('4'!N17="+1",IF('6'!N17&gt;='6'!$V$3,"adv",'4'!N17),'4'!N17)="adv",'3'!N17,0))</f>
        <v/>
      </c>
      <c r="O17" s="19" t="str">
        <f>IF(ISBLANK('Raw counts'!O18),"",IF(IF('4'!O17="+1",IF('6'!O17&gt;='6'!$V$3,"adv",'4'!O17),'4'!O17)="adv",'3'!O17,0))</f>
        <v/>
      </c>
      <c r="P17" s="19" t="str">
        <f>IF(ISBLANK('Raw counts'!P18),"",IF(IF('4'!P17="+1",IF('6'!P17&gt;='6'!$V$3,"adv",'4'!P17),'4'!P17)="adv",'3'!P17,0))</f>
        <v/>
      </c>
      <c r="Q17" s="19" t="str">
        <f>IF(ISBLANK('Raw counts'!Q18),"",IF(IF('4'!Q17="+1",IF('6'!Q17&gt;='6'!$V$3,"adv",'4'!Q17),'4'!Q17)="adv",'3'!Q17,0))</f>
        <v/>
      </c>
      <c r="R17" s="19" t="str">
        <f>IF(ISBLANK('Raw counts'!R18),"",IF(IF('4'!R17="+1",IF('6'!R17&gt;='6'!$V$3,"adv",'4'!R17),'4'!R17)="adv",'3'!R17,0))</f>
        <v/>
      </c>
      <c r="S17" s="19" t="str">
        <f>IF(ISBLANK('Raw counts'!S18),"",IF(IF('4'!S17="+1",IF('6'!S17&gt;='6'!$V$3,"adv",'4'!S17),'4'!S17)="adv",'3'!S17,0))</f>
        <v/>
      </c>
      <c r="T17" s="19" t="str">
        <f>IF(ISBLANK('Raw counts'!T18),"",IF(IF('4'!T17="+1",IF('6'!T17&gt;='6'!$V$3,"adv",'4'!T17),'4'!T17)="adv",'3'!T17,0))</f>
        <v/>
      </c>
      <c r="U17" s="19" t="str">
        <f>IF(ISBLANK('Raw counts'!U18),"",IF(IF('4'!U17="+1",IF('6'!U17&gt;='6'!$V$3,"adv",'4'!U17),'4'!U17)="adv",'3'!U17,0))</f>
        <v/>
      </c>
      <c r="V17" s="3">
        <f t="shared" si="0"/>
        <v>0</v>
      </c>
    </row>
    <row r="18" spans="1:22" x14ac:dyDescent="0.15">
      <c r="A18" s="18" t="str">
        <f>IF(ISBLANK('Raw counts'!A19),"",'Raw counts'!A19)</f>
        <v xml:space="preserve">In-store salesperson or advisor recommended another brand                   </v>
      </c>
      <c r="B18" s="19">
        <f>IF(ISBLANK('Raw counts'!B19),"",IF(IF('4'!B18="+1",IF('6'!B18&gt;='6'!$V$3,"adv",'4'!B18),'4'!B18)="adv",'3'!B18,0))</f>
        <v>0</v>
      </c>
      <c r="C18" s="19">
        <f>IF(ISBLANK('Raw counts'!C19),"",IF(IF('4'!C18="+1",IF('6'!C18&gt;='6'!$V$3,"adv",'4'!C18),'4'!C18)="adv",'3'!C18,0))</f>
        <v>0</v>
      </c>
      <c r="D18" s="19">
        <f>IF(ISBLANK('Raw counts'!D19),"",IF(IF('4'!D18="+1",IF('6'!D18&gt;='6'!$V$3,"adv",'4'!D18),'4'!D18)="adv",'3'!D18,0))</f>
        <v>0</v>
      </c>
      <c r="E18" s="19">
        <f>IF(ISBLANK('Raw counts'!E19),"",IF(IF('4'!E18="+1",IF('6'!E18&gt;='6'!$V$3,"adv",'4'!E18),'4'!E18)="adv",'3'!E18,0))</f>
        <v>0</v>
      </c>
      <c r="F18" s="19">
        <f>IF(ISBLANK('Raw counts'!F19),"",IF(IF('4'!F18="+1",IF('6'!F18&gt;='6'!$V$3,"adv",'4'!F18),'4'!F18)="adv",'3'!F18,0))</f>
        <v>0</v>
      </c>
      <c r="G18" s="19">
        <f>IF(ISBLANK('Raw counts'!G19),"",IF(IF('4'!G18="+1",IF('6'!G18&gt;='6'!$V$3,"adv",'4'!G18),'4'!G18)="adv",'3'!G18,0))</f>
        <v>0</v>
      </c>
      <c r="H18" s="19">
        <f>IF(ISBLANK('Raw counts'!H19),"",IF(IF('4'!H18="+1",IF('6'!H18&gt;='6'!$V$3,"adv",'4'!H18),'4'!H18)="adv",'3'!H18,0))</f>
        <v>0</v>
      </c>
      <c r="I18" s="19">
        <f>IF(ISBLANK('Raw counts'!I19),"",IF(IF('4'!I18="+1",IF('6'!I18&gt;='6'!$V$3,"adv",'4'!I18),'4'!I18)="adv",'3'!I18,0))</f>
        <v>0</v>
      </c>
      <c r="J18" s="19">
        <f>IF(ISBLANK('Raw counts'!J19),"",IF(IF('4'!J18="+1",IF('6'!J18&gt;='6'!$V$3,"adv",'4'!J18),'4'!J18)="adv",'3'!J18,0))</f>
        <v>0</v>
      </c>
      <c r="K18" s="19">
        <f>IF(ISBLANK('Raw counts'!K19),"",IF(IF('4'!K18="+1",IF('6'!K18&gt;='6'!$V$3,"adv",'4'!K18),'4'!K18)="adv",'3'!K18,0))</f>
        <v>0</v>
      </c>
      <c r="L18" s="19">
        <f>IF(ISBLANK('Raw counts'!L19),"",IF(IF('4'!L18="+1",IF('6'!L18&gt;='6'!$V$3,"adv",'4'!L18),'4'!L18)="adv",'3'!L18,0))</f>
        <v>0</v>
      </c>
      <c r="M18" s="19" t="str">
        <f>IF(ISBLANK('Raw counts'!M19),"",IF(IF('4'!M18="+1",IF('6'!M18&gt;='6'!$V$3,"adv",'4'!M18),'4'!M18)="adv",'3'!M18,0))</f>
        <v/>
      </c>
      <c r="N18" s="19" t="str">
        <f>IF(ISBLANK('Raw counts'!N19),"",IF(IF('4'!N18="+1",IF('6'!N18&gt;='6'!$V$3,"adv",'4'!N18),'4'!N18)="adv",'3'!N18,0))</f>
        <v/>
      </c>
      <c r="O18" s="19" t="str">
        <f>IF(ISBLANK('Raw counts'!O19),"",IF(IF('4'!O18="+1",IF('6'!O18&gt;='6'!$V$3,"adv",'4'!O18),'4'!O18)="adv",'3'!O18,0))</f>
        <v/>
      </c>
      <c r="P18" s="19" t="str">
        <f>IF(ISBLANK('Raw counts'!P19),"",IF(IF('4'!P18="+1",IF('6'!P18&gt;='6'!$V$3,"adv",'4'!P18),'4'!P18)="adv",'3'!P18,0))</f>
        <v/>
      </c>
      <c r="Q18" s="19" t="str">
        <f>IF(ISBLANK('Raw counts'!Q19),"",IF(IF('4'!Q18="+1",IF('6'!Q18&gt;='6'!$V$3,"adv",'4'!Q18),'4'!Q18)="adv",'3'!Q18,0))</f>
        <v/>
      </c>
      <c r="R18" s="19" t="str">
        <f>IF(ISBLANK('Raw counts'!R19),"",IF(IF('4'!R18="+1",IF('6'!R18&gt;='6'!$V$3,"adv",'4'!R18),'4'!R18)="adv",'3'!R18,0))</f>
        <v/>
      </c>
      <c r="S18" s="19" t="str">
        <f>IF(ISBLANK('Raw counts'!S19),"",IF(IF('4'!S18="+1",IF('6'!S18&gt;='6'!$V$3,"adv",'4'!S18),'4'!S18)="adv",'3'!S18,0))</f>
        <v/>
      </c>
      <c r="T18" s="19" t="str">
        <f>IF(ISBLANK('Raw counts'!T19),"",IF(IF('4'!T18="+1",IF('6'!T18&gt;='6'!$V$3,"adv",'4'!T18),'4'!T18)="adv",'3'!T18,0))</f>
        <v/>
      </c>
      <c r="U18" s="19" t="str">
        <f>IF(ISBLANK('Raw counts'!U19),"",IF(IF('4'!U18="+1",IF('6'!U18&gt;='6'!$V$3,"adv",'4'!U18),'4'!U18)="adv",'3'!U18,0))</f>
        <v/>
      </c>
      <c r="V18" s="3">
        <f t="shared" si="0"/>
        <v>0</v>
      </c>
    </row>
    <row r="19" spans="1:22" ht="25.5" x14ac:dyDescent="0.15">
      <c r="A19" s="18" t="str">
        <f>IF(ISBLANK('Raw counts'!A20),"",'Raw counts'!A20)</f>
        <v xml:space="preserve">Researched online while shopping and found negative reviews of the product  </v>
      </c>
      <c r="B19" s="19">
        <f>IF(ISBLANK('Raw counts'!B20),"",IF(IF('4'!B19="+1",IF('6'!B19&gt;='6'!$V$3,"adv",'4'!B19),'4'!B19)="adv",'3'!B19,0))</f>
        <v>0</v>
      </c>
      <c r="C19" s="19">
        <f>IF(ISBLANK('Raw counts'!C20),"",IF(IF('4'!C19="+1",IF('6'!C19&gt;='6'!$V$3,"adv",'4'!C19),'4'!C19)="adv",'3'!C19,0))</f>
        <v>0</v>
      </c>
      <c r="D19" s="19">
        <f>IF(ISBLANK('Raw counts'!D20),"",IF(IF('4'!D19="+1",IF('6'!D19&gt;='6'!$V$3,"adv",'4'!D19),'4'!D19)="adv",'3'!D19,0))</f>
        <v>0</v>
      </c>
      <c r="E19" s="19">
        <f>IF(ISBLANK('Raw counts'!E20),"",IF(IF('4'!E19="+1",IF('6'!E19&gt;='6'!$V$3,"adv",'4'!E19),'4'!E19)="adv",'3'!E19,0))</f>
        <v>0</v>
      </c>
      <c r="F19" s="19">
        <f>IF(ISBLANK('Raw counts'!F20),"",IF(IF('4'!F19="+1",IF('6'!F19&gt;='6'!$V$3,"adv",'4'!F19),'4'!F19)="adv",'3'!F19,0))</f>
        <v>0</v>
      </c>
      <c r="G19" s="19">
        <f>IF(ISBLANK('Raw counts'!G20),"",IF(IF('4'!G19="+1",IF('6'!G19&gt;='6'!$V$3,"adv",'4'!G19),'4'!G19)="adv",'3'!G19,0))</f>
        <v>0</v>
      </c>
      <c r="H19" s="19">
        <f>IF(ISBLANK('Raw counts'!H20),"",IF(IF('4'!H19="+1",IF('6'!H19&gt;='6'!$V$3,"adv",'4'!H19),'4'!H19)="adv",'3'!H19,0))</f>
        <v>0</v>
      </c>
      <c r="I19" s="19">
        <f>IF(ISBLANK('Raw counts'!I20),"",IF(IF('4'!I19="+1",IF('6'!I19&gt;='6'!$V$3,"adv",'4'!I19),'4'!I19)="adv",'3'!I19,0))</f>
        <v>0</v>
      </c>
      <c r="J19" s="19">
        <f>IF(ISBLANK('Raw counts'!J20),"",IF(IF('4'!J19="+1",IF('6'!J19&gt;='6'!$V$3,"adv",'4'!J19),'4'!J19)="adv",'3'!J19,0))</f>
        <v>0</v>
      </c>
      <c r="K19" s="19">
        <f>IF(ISBLANK('Raw counts'!K20),"",IF(IF('4'!K19="+1",IF('6'!K19&gt;='6'!$V$3,"adv",'4'!K19),'4'!K19)="adv",'3'!K19,0))</f>
        <v>0</v>
      </c>
      <c r="L19" s="19">
        <f>IF(ISBLANK('Raw counts'!L20),"",IF(IF('4'!L19="+1",IF('6'!L19&gt;='6'!$V$3,"adv",'4'!L19),'4'!L19)="adv",'3'!L19,0))</f>
        <v>0</v>
      </c>
      <c r="M19" s="19" t="str">
        <f>IF(ISBLANK('Raw counts'!M20),"",IF(IF('4'!M19="+1",IF('6'!M19&gt;='6'!$V$3,"adv",'4'!M19),'4'!M19)="adv",'3'!M19,0))</f>
        <v/>
      </c>
      <c r="N19" s="19" t="str">
        <f>IF(ISBLANK('Raw counts'!N20),"",IF(IF('4'!N19="+1",IF('6'!N19&gt;='6'!$V$3,"adv",'4'!N19),'4'!N19)="adv",'3'!N19,0))</f>
        <v/>
      </c>
      <c r="O19" s="19" t="str">
        <f>IF(ISBLANK('Raw counts'!O20),"",IF(IF('4'!O19="+1",IF('6'!O19&gt;='6'!$V$3,"adv",'4'!O19),'4'!O19)="adv",'3'!O19,0))</f>
        <v/>
      </c>
      <c r="P19" s="19" t="str">
        <f>IF(ISBLANK('Raw counts'!P20),"",IF(IF('4'!P19="+1",IF('6'!P19&gt;='6'!$V$3,"adv",'4'!P19),'4'!P19)="adv",'3'!P19,0))</f>
        <v/>
      </c>
      <c r="Q19" s="19" t="str">
        <f>IF(ISBLANK('Raw counts'!Q20),"",IF(IF('4'!Q19="+1",IF('6'!Q19&gt;='6'!$V$3,"adv",'4'!Q19),'4'!Q19)="adv",'3'!Q19,0))</f>
        <v/>
      </c>
      <c r="R19" s="19" t="str">
        <f>IF(ISBLANK('Raw counts'!R20),"",IF(IF('4'!R19="+1",IF('6'!R19&gt;='6'!$V$3,"adv",'4'!R19),'4'!R19)="adv",'3'!R19,0))</f>
        <v/>
      </c>
      <c r="S19" s="19" t="str">
        <f>IF(ISBLANK('Raw counts'!S20),"",IF(IF('4'!S19="+1",IF('6'!S19&gt;='6'!$V$3,"adv",'4'!S19),'4'!S19)="adv",'3'!S19,0))</f>
        <v/>
      </c>
      <c r="T19" s="19" t="str">
        <f>IF(ISBLANK('Raw counts'!T20),"",IF(IF('4'!T19="+1",IF('6'!T19&gt;='6'!$V$3,"adv",'4'!T19),'4'!T19)="adv",'3'!T19,0))</f>
        <v/>
      </c>
      <c r="U19" s="19" t="str">
        <f>IF(ISBLANK('Raw counts'!U20),"",IF(IF('4'!U19="+1",IF('6'!U19&gt;='6'!$V$3,"adv",'4'!U19),'4'!U19)="adv",'3'!U19,0))</f>
        <v/>
      </c>
      <c r="V19" s="3">
        <f t="shared" si="0"/>
        <v>0</v>
      </c>
    </row>
    <row r="20" spans="1:22" ht="25.5" x14ac:dyDescent="0.15">
      <c r="A20" s="18" t="str">
        <f>IF(ISBLANK('Raw counts'!A21),"",'Raw counts'!A21)</f>
        <v xml:space="preserve">Dentist recommended another brand                                           </v>
      </c>
      <c r="B20" s="19">
        <f>IF(ISBLANK('Raw counts'!B21),"",IF(IF('4'!B20="+1",IF('6'!B20&gt;='6'!$V$3,"adv",'4'!B20),'4'!B20)="adv",'3'!B20,0))</f>
        <v>0</v>
      </c>
      <c r="C20" s="19">
        <f>IF(ISBLANK('Raw counts'!C21),"",IF(IF('4'!C20="+1",IF('6'!C20&gt;='6'!$V$3,"adv",'4'!C20),'4'!C20)="adv",'3'!C20,0))</f>
        <v>0</v>
      </c>
      <c r="D20" s="19">
        <f>IF(ISBLANK('Raw counts'!D21),"",IF(IF('4'!D20="+1",IF('6'!D20&gt;='6'!$V$3,"adv",'4'!D20),'4'!D20)="adv",'3'!D20,0))</f>
        <v>0</v>
      </c>
      <c r="E20" s="19">
        <f>IF(ISBLANK('Raw counts'!E21),"",IF(IF('4'!E20="+1",IF('6'!E20&gt;='6'!$V$3,"adv",'4'!E20),'4'!E20)="adv",'3'!E20,0))</f>
        <v>0</v>
      </c>
      <c r="F20" s="19">
        <f>IF(ISBLANK('Raw counts'!F21),"",IF(IF('4'!F20="+1",IF('6'!F20&gt;='6'!$V$3,"adv",'4'!F20),'4'!F20)="adv",'3'!F20,0))</f>
        <v>0</v>
      </c>
      <c r="G20" s="19">
        <f>IF(ISBLANK('Raw counts'!G21),"",IF(IF('4'!G20="+1",IF('6'!G20&gt;='6'!$V$3,"adv",'4'!G20),'4'!G20)="adv",'3'!G20,0))</f>
        <v>0</v>
      </c>
      <c r="H20" s="19">
        <f>IF(ISBLANK('Raw counts'!H21),"",IF(IF('4'!H20="+1",IF('6'!H20&gt;='6'!$V$3,"adv",'4'!H20),'4'!H20)="adv",'3'!H20,0))</f>
        <v>0</v>
      </c>
      <c r="I20" s="19">
        <f>IF(ISBLANK('Raw counts'!I21),"",IF(IF('4'!I20="+1",IF('6'!I20&gt;='6'!$V$3,"adv",'4'!I20),'4'!I20)="adv",'3'!I20,0))</f>
        <v>0</v>
      </c>
      <c r="J20" s="19">
        <f>IF(ISBLANK('Raw counts'!J21),"",IF(IF('4'!J20="+1",IF('6'!J20&gt;='6'!$V$3,"adv",'4'!J20),'4'!J20)="adv",'3'!J20,0))</f>
        <v>0</v>
      </c>
      <c r="K20" s="19">
        <f>IF(ISBLANK('Raw counts'!K21),"",IF(IF('4'!K20="+1",IF('6'!K20&gt;='6'!$V$3,"adv",'4'!K20),'4'!K20)="adv",'3'!K20,0))</f>
        <v>0</v>
      </c>
      <c r="L20" s="19">
        <f>IF(ISBLANK('Raw counts'!L21),"",IF(IF('4'!L20="+1",IF('6'!L20&gt;='6'!$V$3,"adv",'4'!L20),'4'!L20)="adv",'3'!L20,0))</f>
        <v>0</v>
      </c>
      <c r="M20" s="19" t="str">
        <f>IF(ISBLANK('Raw counts'!M21),"",IF(IF('4'!M20="+1",IF('6'!M20&gt;='6'!$V$3,"adv",'4'!M20),'4'!M20)="adv",'3'!M20,0))</f>
        <v/>
      </c>
      <c r="N20" s="19" t="str">
        <f>IF(ISBLANK('Raw counts'!N21),"",IF(IF('4'!N20="+1",IF('6'!N20&gt;='6'!$V$3,"adv",'4'!N20),'4'!N20)="adv",'3'!N20,0))</f>
        <v/>
      </c>
      <c r="O20" s="19" t="str">
        <f>IF(ISBLANK('Raw counts'!O21),"",IF(IF('4'!O20="+1",IF('6'!O20&gt;='6'!$V$3,"adv",'4'!O20),'4'!O20)="adv",'3'!O20,0))</f>
        <v/>
      </c>
      <c r="P20" s="19" t="str">
        <f>IF(ISBLANK('Raw counts'!P21),"",IF(IF('4'!P20="+1",IF('6'!P20&gt;='6'!$V$3,"adv",'4'!P20),'4'!P20)="adv",'3'!P20,0))</f>
        <v/>
      </c>
      <c r="Q20" s="19" t="str">
        <f>IF(ISBLANK('Raw counts'!Q21),"",IF(IF('4'!Q20="+1",IF('6'!Q20&gt;='6'!$V$3,"adv",'4'!Q20),'4'!Q20)="adv",'3'!Q20,0))</f>
        <v/>
      </c>
      <c r="R20" s="19" t="str">
        <f>IF(ISBLANK('Raw counts'!R21),"",IF(IF('4'!R20="+1",IF('6'!R20&gt;='6'!$V$3,"adv",'4'!R20),'4'!R20)="adv",'3'!R20,0))</f>
        <v/>
      </c>
      <c r="S20" s="19" t="str">
        <f>IF(ISBLANK('Raw counts'!S21),"",IF(IF('4'!S20="+1",IF('6'!S20&gt;='6'!$V$3,"adv",'4'!S20),'4'!S20)="adv",'3'!S20,0))</f>
        <v/>
      </c>
      <c r="T20" s="19" t="str">
        <f>IF(ISBLANK('Raw counts'!T21),"",IF(IF('4'!T20="+1",IF('6'!T20&gt;='6'!$V$3,"adv",'4'!T20),'4'!T20)="adv",'3'!T20,0))</f>
        <v/>
      </c>
      <c r="U20" s="19" t="str">
        <f>IF(ISBLANK('Raw counts'!U21),"",IF(IF('4'!U20="+1",IF('6'!U20&gt;='6'!$V$3,"adv",'4'!U20),'4'!U20)="adv",'3'!U20,0))</f>
        <v/>
      </c>
      <c r="V20" s="3">
        <f t="shared" si="0"/>
        <v>0</v>
      </c>
    </row>
    <row r="21" spans="1:22" ht="25.5" x14ac:dyDescent="0.15">
      <c r="A21" s="18" t="str">
        <f>IF(ISBLANK('Raw counts'!A22),"",'Raw counts'!A22)</f>
        <v xml:space="preserve">Some other reason                                                           </v>
      </c>
      <c r="B21" s="19">
        <f>IF(ISBLANK('Raw counts'!B22),"",IF(IF('4'!B21="+1",IF('6'!B21&gt;='6'!$V$3,"adv",'4'!B21),'4'!B21)="adv",'3'!B21,0))</f>
        <v>0</v>
      </c>
      <c r="C21" s="19">
        <f>IF(ISBLANK('Raw counts'!C22),"",IF(IF('4'!C21="+1",IF('6'!C21&gt;='6'!$V$3,"adv",'4'!C21),'4'!C21)="adv",'3'!C21,0))</f>
        <v>0</v>
      </c>
      <c r="D21" s="19">
        <f>IF(ISBLANK('Raw counts'!D22),"",IF(IF('4'!D21="+1",IF('6'!D21&gt;='6'!$V$3,"adv",'4'!D21),'4'!D21)="adv",'3'!D21,0))</f>
        <v>0</v>
      </c>
      <c r="E21" s="19">
        <f>IF(ISBLANK('Raw counts'!E22),"",IF(IF('4'!E21="+1",IF('6'!E21&gt;='6'!$V$3,"adv",'4'!E21),'4'!E21)="adv",'3'!E21,0))</f>
        <v>0</v>
      </c>
      <c r="F21" s="19">
        <f>IF(ISBLANK('Raw counts'!F22),"",IF(IF('4'!F21="+1",IF('6'!F21&gt;='6'!$V$3,"adv",'4'!F21),'4'!F21)="adv",'3'!F21,0))</f>
        <v>0</v>
      </c>
      <c r="G21" s="19">
        <f>IF(ISBLANK('Raw counts'!G22),"",IF(IF('4'!G21="+1",IF('6'!G21&gt;='6'!$V$3,"adv",'4'!G21),'4'!G21)="adv",'3'!G21,0))</f>
        <v>0</v>
      </c>
      <c r="H21" s="19">
        <f>IF(ISBLANK('Raw counts'!H22),"",IF(IF('4'!H21="+1",IF('6'!H21&gt;='6'!$V$3,"adv",'4'!H21),'4'!H21)="adv",'3'!H21,0))</f>
        <v>0</v>
      </c>
      <c r="I21" s="19">
        <f>IF(ISBLANK('Raw counts'!I22),"",IF(IF('4'!I21="+1",IF('6'!I21&gt;='6'!$V$3,"adv",'4'!I21),'4'!I21)="adv",'3'!I21,0))</f>
        <v>0</v>
      </c>
      <c r="J21" s="19">
        <f>IF(ISBLANK('Raw counts'!J22),"",IF(IF('4'!J21="+1",IF('6'!J21&gt;='6'!$V$3,"adv",'4'!J21),'4'!J21)="adv",'3'!J21,0))</f>
        <v>0</v>
      </c>
      <c r="K21" s="19">
        <f>IF(ISBLANK('Raw counts'!K22),"",IF(IF('4'!K21="+1",IF('6'!K21&gt;='6'!$V$3,"adv",'4'!K21),'4'!K21)="adv",'3'!K21,0))</f>
        <v>0</v>
      </c>
      <c r="L21" s="19">
        <f>IF(ISBLANK('Raw counts'!L22),"",IF(IF('4'!L21="+1",IF('6'!L21&gt;='6'!$V$3,"adv",'4'!L21),'4'!L21)="adv",'3'!L21,0))</f>
        <v>0</v>
      </c>
      <c r="M21" s="19" t="str">
        <f>IF(ISBLANK('Raw counts'!M22),"",IF(IF('4'!M21="+1",IF('6'!M21&gt;='6'!$V$3,"adv",'4'!M21),'4'!M21)="adv",'3'!M21,0))</f>
        <v/>
      </c>
      <c r="N21" s="19" t="str">
        <f>IF(ISBLANK('Raw counts'!N22),"",IF(IF('4'!N21="+1",IF('6'!N21&gt;='6'!$V$3,"adv",'4'!N21),'4'!N21)="adv",'3'!N21,0))</f>
        <v/>
      </c>
      <c r="O21" s="19" t="str">
        <f>IF(ISBLANK('Raw counts'!O22),"",IF(IF('4'!O21="+1",IF('6'!O21&gt;='6'!$V$3,"adv",'4'!O21),'4'!O21)="adv",'3'!O21,0))</f>
        <v/>
      </c>
      <c r="P21" s="19" t="str">
        <f>IF(ISBLANK('Raw counts'!P22),"",IF(IF('4'!P21="+1",IF('6'!P21&gt;='6'!$V$3,"adv",'4'!P21),'4'!P21)="adv",'3'!P21,0))</f>
        <v/>
      </c>
      <c r="Q21" s="19" t="str">
        <f>IF(ISBLANK('Raw counts'!Q22),"",IF(IF('4'!Q21="+1",IF('6'!Q21&gt;='6'!$V$3,"adv",'4'!Q21),'4'!Q21)="adv",'3'!Q21,0))</f>
        <v/>
      </c>
      <c r="R21" s="19" t="str">
        <f>IF(ISBLANK('Raw counts'!R22),"",IF(IF('4'!R21="+1",IF('6'!R21&gt;='6'!$V$3,"adv",'4'!R21),'4'!R21)="adv",'3'!R21,0))</f>
        <v/>
      </c>
      <c r="S21" s="19" t="str">
        <f>IF(ISBLANK('Raw counts'!S22),"",IF(IF('4'!S21="+1",IF('6'!S21&gt;='6'!$V$3,"adv",'4'!S21),'4'!S21)="adv",'3'!S21,0))</f>
        <v/>
      </c>
      <c r="T21" s="19" t="str">
        <f>IF(ISBLANK('Raw counts'!T22),"",IF(IF('4'!T21="+1",IF('6'!T21&gt;='6'!$V$3,"adv",'4'!T21),'4'!T21)="adv",'3'!T21,0))</f>
        <v/>
      </c>
      <c r="U21" s="19" t="str">
        <f>IF(ISBLANK('Raw counts'!U22),"",IF(IF('4'!U21="+1",IF('6'!U21&gt;='6'!$V$3,"adv",'4'!U21),'4'!U21)="adv",'3'!U21,0))</f>
        <v/>
      </c>
      <c r="V21" s="3">
        <f t="shared" si="0"/>
        <v>0</v>
      </c>
    </row>
    <row r="22" spans="1:22" ht="25.5" x14ac:dyDescent="0.15">
      <c r="A22" s="18" t="str">
        <f>IF(ISBLANK('Raw counts'!A23),"",'Raw counts'!A23)</f>
        <v/>
      </c>
      <c r="B22" s="19" t="str">
        <f>IF(ISBLANK('Raw counts'!B23),"",IF(IF('4'!B22="+1",IF('6'!B22&gt;='6'!$V$3,"adv",'4'!B22),'4'!B22)="adv",'3'!B22,0))</f>
        <v/>
      </c>
      <c r="C22" s="19" t="str">
        <f>IF(ISBLANK('Raw counts'!C23),"",IF(IF('4'!C22="+1",IF('6'!C22&gt;='6'!$V$3,"adv",'4'!C22),'4'!C22)="adv",'3'!C22,0))</f>
        <v/>
      </c>
      <c r="D22" s="19" t="str">
        <f>IF(ISBLANK('Raw counts'!D23),"",IF(IF('4'!D22="+1",IF('6'!D22&gt;='6'!$V$3,"adv",'4'!D22),'4'!D22)="adv",'3'!D22,0))</f>
        <v/>
      </c>
      <c r="E22" s="19" t="str">
        <f>IF(ISBLANK('Raw counts'!E23),"",IF(IF('4'!E22="+1",IF('6'!E22&gt;='6'!$V$3,"adv",'4'!E22),'4'!E22)="adv",'3'!E22,0))</f>
        <v/>
      </c>
      <c r="F22" s="19" t="str">
        <f>IF(ISBLANK('Raw counts'!F23),"",IF(IF('4'!F22="+1",IF('6'!F22&gt;='6'!$V$3,"adv",'4'!F22),'4'!F22)="adv",'3'!F22,0))</f>
        <v/>
      </c>
      <c r="G22" s="19" t="str">
        <f>IF(ISBLANK('Raw counts'!G23),"",IF(IF('4'!G22="+1",IF('6'!G22&gt;='6'!$V$3,"adv",'4'!G22),'4'!G22)="adv",'3'!G22,0))</f>
        <v/>
      </c>
      <c r="H22" s="19" t="str">
        <f>IF(ISBLANK('Raw counts'!H23),"",IF(IF('4'!H22="+1",IF('6'!H22&gt;='6'!$V$3,"adv",'4'!H22),'4'!H22)="adv",'3'!H22,0))</f>
        <v/>
      </c>
      <c r="I22" s="19" t="str">
        <f>IF(ISBLANK('Raw counts'!I23),"",IF(IF('4'!I22="+1",IF('6'!I22&gt;='6'!$V$3,"adv",'4'!I22),'4'!I22)="adv",'3'!I22,0))</f>
        <v/>
      </c>
      <c r="J22" s="19" t="str">
        <f>IF(ISBLANK('Raw counts'!J23),"",IF(IF('4'!J22="+1",IF('6'!J22&gt;='6'!$V$3,"adv",'4'!J22),'4'!J22)="adv",'3'!J22,0))</f>
        <v/>
      </c>
      <c r="K22" s="19" t="str">
        <f>IF(ISBLANK('Raw counts'!K23),"",IF(IF('4'!K22="+1",IF('6'!K22&gt;='6'!$V$3,"adv",'4'!K22),'4'!K22)="adv",'3'!K22,0))</f>
        <v/>
      </c>
      <c r="L22" s="19" t="str">
        <f>IF(ISBLANK('Raw counts'!L23),"",IF(IF('4'!L22="+1",IF('6'!L22&gt;='6'!$V$3,"adv",'4'!L22),'4'!L22)="adv",'3'!L22,0))</f>
        <v/>
      </c>
      <c r="M22" s="19" t="str">
        <f>IF(ISBLANK('Raw counts'!M23),"",IF(IF('4'!M22="+1",IF('6'!M22&gt;='6'!$V$3,"adv",'4'!M22),'4'!M22)="adv",'3'!M22,0))</f>
        <v/>
      </c>
      <c r="N22" s="19" t="str">
        <f>IF(ISBLANK('Raw counts'!N23),"",IF(IF('4'!N22="+1",IF('6'!N22&gt;='6'!$V$3,"adv",'4'!N22),'4'!N22)="adv",'3'!N22,0))</f>
        <v/>
      </c>
      <c r="O22" s="19" t="str">
        <f>IF(ISBLANK('Raw counts'!O23),"",IF(IF('4'!O22="+1",IF('6'!O22&gt;='6'!$V$3,"adv",'4'!O22),'4'!O22)="adv",'3'!O22,0))</f>
        <v/>
      </c>
      <c r="P22" s="19" t="str">
        <f>IF(ISBLANK('Raw counts'!P23),"",IF(IF('4'!P22="+1",IF('6'!P22&gt;='6'!$V$3,"adv",'4'!P22),'4'!P22)="adv",'3'!P22,0))</f>
        <v/>
      </c>
      <c r="Q22" s="19" t="str">
        <f>IF(ISBLANK('Raw counts'!Q23),"",IF(IF('4'!Q22="+1",IF('6'!Q22&gt;='6'!$V$3,"adv",'4'!Q22),'4'!Q22)="adv",'3'!Q22,0))</f>
        <v/>
      </c>
      <c r="R22" s="19" t="str">
        <f>IF(ISBLANK('Raw counts'!R23),"",IF(IF('4'!R22="+1",IF('6'!R22&gt;='6'!$V$3,"adv",'4'!R22),'4'!R22)="adv",'3'!R22,0))</f>
        <v/>
      </c>
      <c r="S22" s="19" t="str">
        <f>IF(ISBLANK('Raw counts'!S23),"",IF(IF('4'!S22="+1",IF('6'!S22&gt;='6'!$V$3,"adv",'4'!S22),'4'!S22)="adv",'3'!S22,0))</f>
        <v/>
      </c>
      <c r="T22" s="19" t="str">
        <f>IF(ISBLANK('Raw counts'!T23),"",IF(IF('4'!T22="+1",IF('6'!T22&gt;='6'!$V$3,"adv",'4'!T22),'4'!T22)="adv",'3'!T22,0))</f>
        <v/>
      </c>
      <c r="U22" s="19" t="str">
        <f>IF(ISBLANK('Raw counts'!U23),"",IF(IF('4'!U22="+1",IF('6'!U22&gt;='6'!$V$3,"adv",'4'!U22),'4'!U22)="adv",'3'!U22,0))</f>
        <v/>
      </c>
      <c r="V22" s="3">
        <f t="shared" si="0"/>
        <v>0</v>
      </c>
    </row>
    <row r="23" spans="1:22" x14ac:dyDescent="0.15">
      <c r="A23" s="18" t="str">
        <f>IF(ISBLANK('Raw counts'!A24),"",'Raw counts'!A24)</f>
        <v/>
      </c>
      <c r="B23" s="19" t="str">
        <f>IF(ISBLANK('Raw counts'!B24),"",IF(IF('4'!B23="+1",IF('6'!B23&gt;='6'!$V$3,"adv",'4'!B23),'4'!B23)="adv",'3'!B23,0))</f>
        <v/>
      </c>
      <c r="C23" s="19" t="str">
        <f>IF(ISBLANK('Raw counts'!C24),"",IF(IF('4'!C23="+1",IF('6'!C23&gt;='6'!$V$3,"adv",'4'!C23),'4'!C23)="adv",'3'!C23,0))</f>
        <v/>
      </c>
      <c r="D23" s="19" t="str">
        <f>IF(ISBLANK('Raw counts'!D24),"",IF(IF('4'!D23="+1",IF('6'!D23&gt;='6'!$V$3,"adv",'4'!D23),'4'!D23)="adv",'3'!D23,0))</f>
        <v/>
      </c>
      <c r="E23" s="19" t="str">
        <f>IF(ISBLANK('Raw counts'!E24),"",IF(IF('4'!E23="+1",IF('6'!E23&gt;='6'!$V$3,"adv",'4'!E23),'4'!E23)="adv",'3'!E23,0))</f>
        <v/>
      </c>
      <c r="F23" s="19" t="str">
        <f>IF(ISBLANK('Raw counts'!F24),"",IF(IF('4'!F23="+1",IF('6'!F23&gt;='6'!$V$3,"adv",'4'!F23),'4'!F23)="adv",'3'!F23,0))</f>
        <v/>
      </c>
      <c r="G23" s="19" t="str">
        <f>IF(ISBLANK('Raw counts'!G24),"",IF(IF('4'!G23="+1",IF('6'!G23&gt;='6'!$V$3,"adv",'4'!G23),'4'!G23)="adv",'3'!G23,0))</f>
        <v/>
      </c>
      <c r="H23" s="19" t="str">
        <f>IF(ISBLANK('Raw counts'!H24),"",IF(IF('4'!H23="+1",IF('6'!H23&gt;='6'!$V$3,"adv",'4'!H23),'4'!H23)="adv",'3'!H23,0))</f>
        <v/>
      </c>
      <c r="I23" s="19" t="str">
        <f>IF(ISBLANK('Raw counts'!I24),"",IF(IF('4'!I23="+1",IF('6'!I23&gt;='6'!$V$3,"adv",'4'!I23),'4'!I23)="adv",'3'!I23,0))</f>
        <v/>
      </c>
      <c r="J23" s="19" t="str">
        <f>IF(ISBLANK('Raw counts'!J24),"",IF(IF('4'!J23="+1",IF('6'!J23&gt;='6'!$V$3,"adv",'4'!J23),'4'!J23)="adv",'3'!J23,0))</f>
        <v/>
      </c>
      <c r="K23" s="19" t="str">
        <f>IF(ISBLANK('Raw counts'!K24),"",IF(IF('4'!K23="+1",IF('6'!K23&gt;='6'!$V$3,"adv",'4'!K23),'4'!K23)="adv",'3'!K23,0))</f>
        <v/>
      </c>
      <c r="L23" s="19" t="str">
        <f>IF(ISBLANK('Raw counts'!L24),"",IF(IF('4'!L23="+1",IF('6'!L23&gt;='6'!$V$3,"adv",'4'!L23),'4'!L23)="adv",'3'!L23,0))</f>
        <v/>
      </c>
      <c r="M23" s="19" t="str">
        <f>IF(ISBLANK('Raw counts'!M24),"",IF(IF('4'!M23="+1",IF('6'!M23&gt;='6'!$V$3,"adv",'4'!M23),'4'!M23)="adv",'3'!M23,0))</f>
        <v/>
      </c>
      <c r="N23" s="19" t="str">
        <f>IF(ISBLANK('Raw counts'!N24),"",IF(IF('4'!N23="+1",IF('6'!N23&gt;='6'!$V$3,"adv",'4'!N23),'4'!N23)="adv",'3'!N23,0))</f>
        <v/>
      </c>
      <c r="O23" s="19" t="str">
        <f>IF(ISBLANK('Raw counts'!O24),"",IF(IF('4'!O23="+1",IF('6'!O23&gt;='6'!$V$3,"adv",'4'!O23),'4'!O23)="adv",'3'!O23,0))</f>
        <v/>
      </c>
      <c r="P23" s="19" t="str">
        <f>IF(ISBLANK('Raw counts'!P24),"",IF(IF('4'!P23="+1",IF('6'!P23&gt;='6'!$V$3,"adv",'4'!P23),'4'!P23)="adv",'3'!P23,0))</f>
        <v/>
      </c>
      <c r="Q23" s="19" t="str">
        <f>IF(ISBLANK('Raw counts'!Q24),"",IF(IF('4'!Q23="+1",IF('6'!Q23&gt;='6'!$V$3,"adv",'4'!Q23),'4'!Q23)="adv",'3'!Q23,0))</f>
        <v/>
      </c>
      <c r="R23" s="19" t="str">
        <f>IF(ISBLANK('Raw counts'!R24),"",IF(IF('4'!R23="+1",IF('6'!R23&gt;='6'!$V$3,"adv",'4'!R23),'4'!R23)="adv",'3'!R23,0))</f>
        <v/>
      </c>
      <c r="S23" s="19" t="str">
        <f>IF(ISBLANK('Raw counts'!S24),"",IF(IF('4'!S23="+1",IF('6'!S23&gt;='6'!$V$3,"adv",'4'!S23),'4'!S23)="adv",'3'!S23,0))</f>
        <v/>
      </c>
      <c r="T23" s="19" t="str">
        <f>IF(ISBLANK('Raw counts'!T24),"",IF(IF('4'!T23="+1",IF('6'!T23&gt;='6'!$V$3,"adv",'4'!T23),'4'!T23)="adv",'3'!T23,0))</f>
        <v/>
      </c>
      <c r="U23" s="19" t="str">
        <f>IF(ISBLANK('Raw counts'!U24),"",IF(IF('4'!U23="+1",IF('6'!U23&gt;='6'!$V$3,"adv",'4'!U23),'4'!U23)="adv",'3'!U23,0))</f>
        <v/>
      </c>
      <c r="V23" s="3">
        <f t="shared" si="0"/>
        <v>0</v>
      </c>
    </row>
    <row r="24" spans="1:22" x14ac:dyDescent="0.15">
      <c r="A24" s="18" t="str">
        <f>IF(ISBLANK('Raw counts'!A25),"",'Raw counts'!A25)</f>
        <v/>
      </c>
      <c r="B24" s="19" t="str">
        <f>IF(ISBLANK('Raw counts'!B25),"",IF(IF('4'!B24="+1",IF('6'!B24&gt;='6'!$V$3,"adv",'4'!B24),'4'!B24)="adv",'3'!B24,0))</f>
        <v/>
      </c>
      <c r="C24" s="19" t="str">
        <f>IF(ISBLANK('Raw counts'!C25),"",IF(IF('4'!C24="+1",IF('6'!C24&gt;='6'!$V$3,"adv",'4'!C24),'4'!C24)="adv",'3'!C24,0))</f>
        <v/>
      </c>
      <c r="D24" s="19" t="str">
        <f>IF(ISBLANK('Raw counts'!D25),"",IF(IF('4'!D24="+1",IF('6'!D24&gt;='6'!$V$3,"adv",'4'!D24),'4'!D24)="adv",'3'!D24,0))</f>
        <v/>
      </c>
      <c r="E24" s="19" t="str">
        <f>IF(ISBLANK('Raw counts'!E25),"",IF(IF('4'!E24="+1",IF('6'!E24&gt;='6'!$V$3,"adv",'4'!E24),'4'!E24)="adv",'3'!E24,0))</f>
        <v/>
      </c>
      <c r="F24" s="19" t="str">
        <f>IF(ISBLANK('Raw counts'!F25),"",IF(IF('4'!F24="+1",IF('6'!F24&gt;='6'!$V$3,"adv",'4'!F24),'4'!F24)="adv",'3'!F24,0))</f>
        <v/>
      </c>
      <c r="G24" s="19" t="str">
        <f>IF(ISBLANK('Raw counts'!G25),"",IF(IF('4'!G24="+1",IF('6'!G24&gt;='6'!$V$3,"adv",'4'!G24),'4'!G24)="adv",'3'!G24,0))</f>
        <v/>
      </c>
      <c r="H24" s="19" t="str">
        <f>IF(ISBLANK('Raw counts'!H25),"",IF(IF('4'!H24="+1",IF('6'!H24&gt;='6'!$V$3,"adv",'4'!H24),'4'!H24)="adv",'3'!H24,0))</f>
        <v/>
      </c>
      <c r="I24" s="19" t="str">
        <f>IF(ISBLANK('Raw counts'!I25),"",IF(IF('4'!I24="+1",IF('6'!I24&gt;='6'!$V$3,"adv",'4'!I24),'4'!I24)="adv",'3'!I24,0))</f>
        <v/>
      </c>
      <c r="J24" s="19" t="str">
        <f>IF(ISBLANK('Raw counts'!J25),"",IF(IF('4'!J24="+1",IF('6'!J24&gt;='6'!$V$3,"adv",'4'!J24),'4'!J24)="adv",'3'!J24,0))</f>
        <v/>
      </c>
      <c r="K24" s="19" t="str">
        <f>IF(ISBLANK('Raw counts'!K25),"",IF(IF('4'!K24="+1",IF('6'!K24&gt;='6'!$V$3,"adv",'4'!K24),'4'!K24)="adv",'3'!K24,0))</f>
        <v/>
      </c>
      <c r="L24" s="19" t="str">
        <f>IF(ISBLANK('Raw counts'!L25),"",IF(IF('4'!L24="+1",IF('6'!L24&gt;='6'!$V$3,"adv",'4'!L24),'4'!L24)="adv",'3'!L24,0))</f>
        <v/>
      </c>
      <c r="M24" s="19" t="str">
        <f>IF(ISBLANK('Raw counts'!M25),"",IF(IF('4'!M24="+1",IF('6'!M24&gt;='6'!$V$3,"adv",'4'!M24),'4'!M24)="adv",'3'!M24,0))</f>
        <v/>
      </c>
      <c r="N24" s="19" t="str">
        <f>IF(ISBLANK('Raw counts'!N25),"",IF(IF('4'!N24="+1",IF('6'!N24&gt;='6'!$V$3,"adv",'4'!N24),'4'!N24)="adv",'3'!N24,0))</f>
        <v/>
      </c>
      <c r="O24" s="19" t="str">
        <f>IF(ISBLANK('Raw counts'!O25),"",IF(IF('4'!O24="+1",IF('6'!O24&gt;='6'!$V$3,"adv",'4'!O24),'4'!O24)="adv",'3'!O24,0))</f>
        <v/>
      </c>
      <c r="P24" s="19" t="str">
        <f>IF(ISBLANK('Raw counts'!P25),"",IF(IF('4'!P24="+1",IF('6'!P24&gt;='6'!$V$3,"adv",'4'!P24),'4'!P24)="adv",'3'!P24,0))</f>
        <v/>
      </c>
      <c r="Q24" s="19" t="str">
        <f>IF(ISBLANK('Raw counts'!Q25),"",IF(IF('4'!Q24="+1",IF('6'!Q24&gt;='6'!$V$3,"adv",'4'!Q24),'4'!Q24)="adv",'3'!Q24,0))</f>
        <v/>
      </c>
      <c r="R24" s="19" t="str">
        <f>IF(ISBLANK('Raw counts'!R25),"",IF(IF('4'!R24="+1",IF('6'!R24&gt;='6'!$V$3,"adv",'4'!R24),'4'!R24)="adv",'3'!R24,0))</f>
        <v/>
      </c>
      <c r="S24" s="19" t="str">
        <f>IF(ISBLANK('Raw counts'!S25),"",IF(IF('4'!S24="+1",IF('6'!S24&gt;='6'!$V$3,"adv",'4'!S24),'4'!S24)="adv",'3'!S24,0))</f>
        <v/>
      </c>
      <c r="T24" s="19" t="str">
        <f>IF(ISBLANK('Raw counts'!T25),"",IF(IF('4'!T24="+1",IF('6'!T24&gt;='6'!$V$3,"adv",'4'!T24),'4'!T24)="adv",'3'!T24,0))</f>
        <v/>
      </c>
      <c r="U24" s="19" t="str">
        <f>IF(ISBLANK('Raw counts'!U25),"",IF(IF('4'!U24="+1",IF('6'!U24&gt;='6'!$V$3,"adv",'4'!U24),'4'!U24)="adv",'3'!U24,0))</f>
        <v/>
      </c>
      <c r="V24" s="3">
        <f t="shared" si="0"/>
        <v>0</v>
      </c>
    </row>
    <row r="25" spans="1:22" x14ac:dyDescent="0.15">
      <c r="A25" s="18" t="str">
        <f>IF(ISBLANK('Raw counts'!A26),"",'Raw counts'!A26)</f>
        <v/>
      </c>
      <c r="B25" s="19" t="str">
        <f>IF(ISBLANK('Raw counts'!B26),"",IF(IF('4'!B25="+1",IF('6'!B25&gt;='6'!$V$3,"adv",'4'!B25),'4'!B25)="adv",'3'!B25,0))</f>
        <v/>
      </c>
      <c r="C25" s="19" t="str">
        <f>IF(ISBLANK('Raw counts'!C26),"",IF(IF('4'!C25="+1",IF('6'!C25&gt;='6'!$V$3,"adv",'4'!C25),'4'!C25)="adv",'3'!C25,0))</f>
        <v/>
      </c>
      <c r="D25" s="19" t="str">
        <f>IF(ISBLANK('Raw counts'!D26),"",IF(IF('4'!D25="+1",IF('6'!D25&gt;='6'!$V$3,"adv",'4'!D25),'4'!D25)="adv",'3'!D25,0))</f>
        <v/>
      </c>
      <c r="E25" s="19" t="str">
        <f>IF(ISBLANK('Raw counts'!E26),"",IF(IF('4'!E25="+1",IF('6'!E25&gt;='6'!$V$3,"adv",'4'!E25),'4'!E25)="adv",'3'!E25,0))</f>
        <v/>
      </c>
      <c r="F25" s="19" t="str">
        <f>IF(ISBLANK('Raw counts'!F26),"",IF(IF('4'!F25="+1",IF('6'!F25&gt;='6'!$V$3,"adv",'4'!F25),'4'!F25)="adv",'3'!F25,0))</f>
        <v/>
      </c>
      <c r="G25" s="19" t="str">
        <f>IF(ISBLANK('Raw counts'!G26),"",IF(IF('4'!G25="+1",IF('6'!G25&gt;='6'!$V$3,"adv",'4'!G25),'4'!G25)="adv",'3'!G25,0))</f>
        <v/>
      </c>
      <c r="H25" s="19" t="str">
        <f>IF(ISBLANK('Raw counts'!H26),"",IF(IF('4'!H25="+1",IF('6'!H25&gt;='6'!$V$3,"adv",'4'!H25),'4'!H25)="adv",'3'!H25,0))</f>
        <v/>
      </c>
      <c r="I25" s="19" t="str">
        <f>IF(ISBLANK('Raw counts'!I26),"",IF(IF('4'!I25="+1",IF('6'!I25&gt;='6'!$V$3,"adv",'4'!I25),'4'!I25)="adv",'3'!I25,0))</f>
        <v/>
      </c>
      <c r="J25" s="19" t="str">
        <f>IF(ISBLANK('Raw counts'!J26),"",IF(IF('4'!J25="+1",IF('6'!J25&gt;='6'!$V$3,"adv",'4'!J25),'4'!J25)="adv",'3'!J25,0))</f>
        <v/>
      </c>
      <c r="K25" s="19" t="str">
        <f>IF(ISBLANK('Raw counts'!K26),"",IF(IF('4'!K25="+1",IF('6'!K25&gt;='6'!$V$3,"adv",'4'!K25),'4'!K25)="adv",'3'!K25,0))</f>
        <v/>
      </c>
      <c r="L25" s="19" t="str">
        <f>IF(ISBLANK('Raw counts'!L26),"",IF(IF('4'!L25="+1",IF('6'!L25&gt;='6'!$V$3,"adv",'4'!L25),'4'!L25)="adv",'3'!L25,0))</f>
        <v/>
      </c>
      <c r="M25" s="19" t="str">
        <f>IF(ISBLANK('Raw counts'!M26),"",IF(IF('4'!M25="+1",IF('6'!M25&gt;='6'!$V$3,"adv",'4'!M25),'4'!M25)="adv",'3'!M25,0))</f>
        <v/>
      </c>
      <c r="N25" s="19" t="str">
        <f>IF(ISBLANK('Raw counts'!N26),"",IF(IF('4'!N25="+1",IF('6'!N25&gt;='6'!$V$3,"adv",'4'!N25),'4'!N25)="adv",'3'!N25,0))</f>
        <v/>
      </c>
      <c r="O25" s="19" t="str">
        <f>IF(ISBLANK('Raw counts'!O26),"",IF(IF('4'!O25="+1",IF('6'!O25&gt;='6'!$V$3,"adv",'4'!O25),'4'!O25)="adv",'3'!O25,0))</f>
        <v/>
      </c>
      <c r="P25" s="19" t="str">
        <f>IF(ISBLANK('Raw counts'!P26),"",IF(IF('4'!P25="+1",IF('6'!P25&gt;='6'!$V$3,"adv",'4'!P25),'4'!P25)="adv",'3'!P25,0))</f>
        <v/>
      </c>
      <c r="Q25" s="19" t="str">
        <f>IF(ISBLANK('Raw counts'!Q26),"",IF(IF('4'!Q25="+1",IF('6'!Q25&gt;='6'!$V$3,"adv",'4'!Q25),'4'!Q25)="adv",'3'!Q25,0))</f>
        <v/>
      </c>
      <c r="R25" s="19" t="str">
        <f>IF(ISBLANK('Raw counts'!R26),"",IF(IF('4'!R25="+1",IF('6'!R25&gt;='6'!$V$3,"adv",'4'!R25),'4'!R25)="adv",'3'!R25,0))</f>
        <v/>
      </c>
      <c r="S25" s="19" t="str">
        <f>IF(ISBLANK('Raw counts'!S26),"",IF(IF('4'!S25="+1",IF('6'!S25&gt;='6'!$V$3,"adv",'4'!S25),'4'!S25)="adv",'3'!S25,0))</f>
        <v/>
      </c>
      <c r="T25" s="19" t="str">
        <f>IF(ISBLANK('Raw counts'!T26),"",IF(IF('4'!T25="+1",IF('6'!T25&gt;='6'!$V$3,"adv",'4'!T25),'4'!T25)="adv",'3'!T25,0))</f>
        <v/>
      </c>
      <c r="U25" s="19" t="str">
        <f>IF(ISBLANK('Raw counts'!U26),"",IF(IF('4'!U25="+1",IF('6'!U25&gt;='6'!$V$3,"adv",'4'!U25),'4'!U25)="adv",'3'!U25,0))</f>
        <v/>
      </c>
      <c r="V25" s="3">
        <f t="shared" si="0"/>
        <v>0</v>
      </c>
    </row>
    <row r="26" spans="1:22" x14ac:dyDescent="0.15">
      <c r="A26" s="18" t="str">
        <f>IF(ISBLANK('Raw counts'!A27),"",'Raw counts'!A27)</f>
        <v/>
      </c>
      <c r="B26" s="19" t="str">
        <f>IF(ISBLANK('Raw counts'!B27),"",IF(IF('4'!B26="+1",IF('6'!B26&gt;='6'!$V$3,"adv",'4'!B26),'4'!B26)="adv",'3'!B26,0))</f>
        <v/>
      </c>
      <c r="C26" s="19" t="str">
        <f>IF(ISBLANK('Raw counts'!C27),"",IF(IF('4'!C26="+1",IF('6'!C26&gt;='6'!$V$3,"adv",'4'!C26),'4'!C26)="adv",'3'!C26,0))</f>
        <v/>
      </c>
      <c r="D26" s="19" t="str">
        <f>IF(ISBLANK('Raw counts'!D27),"",IF(IF('4'!D26="+1",IF('6'!D26&gt;='6'!$V$3,"adv",'4'!D26),'4'!D26)="adv",'3'!D26,0))</f>
        <v/>
      </c>
      <c r="E26" s="19" t="str">
        <f>IF(ISBLANK('Raw counts'!E27),"",IF(IF('4'!E26="+1",IF('6'!E26&gt;='6'!$V$3,"adv",'4'!E26),'4'!E26)="adv",'3'!E26,0))</f>
        <v/>
      </c>
      <c r="F26" s="19" t="str">
        <f>IF(ISBLANK('Raw counts'!F27),"",IF(IF('4'!F26="+1",IF('6'!F26&gt;='6'!$V$3,"adv",'4'!F26),'4'!F26)="adv",'3'!F26,0))</f>
        <v/>
      </c>
      <c r="G26" s="19" t="str">
        <f>IF(ISBLANK('Raw counts'!G27),"",IF(IF('4'!G26="+1",IF('6'!G26&gt;='6'!$V$3,"adv",'4'!G26),'4'!G26)="adv",'3'!G26,0))</f>
        <v/>
      </c>
      <c r="H26" s="19" t="str">
        <f>IF(ISBLANK('Raw counts'!H27),"",IF(IF('4'!H26="+1",IF('6'!H26&gt;='6'!$V$3,"adv",'4'!H26),'4'!H26)="adv",'3'!H26,0))</f>
        <v/>
      </c>
      <c r="I26" s="19" t="str">
        <f>IF(ISBLANK('Raw counts'!I27),"",IF(IF('4'!I26="+1",IF('6'!I26&gt;='6'!$V$3,"adv",'4'!I26),'4'!I26)="adv",'3'!I26,0))</f>
        <v/>
      </c>
      <c r="J26" s="19" t="str">
        <f>IF(ISBLANK('Raw counts'!J27),"",IF(IF('4'!J26="+1",IF('6'!J26&gt;='6'!$V$3,"adv",'4'!J26),'4'!J26)="adv",'3'!J26,0))</f>
        <v/>
      </c>
      <c r="K26" s="19" t="str">
        <f>IF(ISBLANK('Raw counts'!K27),"",IF(IF('4'!K26="+1",IF('6'!K26&gt;='6'!$V$3,"adv",'4'!K26),'4'!K26)="adv",'3'!K26,0))</f>
        <v/>
      </c>
      <c r="L26" s="19" t="str">
        <f>IF(ISBLANK('Raw counts'!L27),"",IF(IF('4'!L26="+1",IF('6'!L26&gt;='6'!$V$3,"adv",'4'!L26),'4'!L26)="adv",'3'!L26,0))</f>
        <v/>
      </c>
      <c r="M26" s="19" t="str">
        <f>IF(ISBLANK('Raw counts'!M27),"",IF(IF('4'!M26="+1",IF('6'!M26&gt;='6'!$V$3,"adv",'4'!M26),'4'!M26)="adv",'3'!M26,0))</f>
        <v/>
      </c>
      <c r="N26" s="19" t="str">
        <f>IF(ISBLANK('Raw counts'!N27),"",IF(IF('4'!N26="+1",IF('6'!N26&gt;='6'!$V$3,"adv",'4'!N26),'4'!N26)="adv",'3'!N26,0))</f>
        <v/>
      </c>
      <c r="O26" s="19" t="str">
        <f>IF(ISBLANK('Raw counts'!O27),"",IF(IF('4'!O26="+1",IF('6'!O26&gt;='6'!$V$3,"adv",'4'!O26),'4'!O26)="adv",'3'!O26,0))</f>
        <v/>
      </c>
      <c r="P26" s="19" t="str">
        <f>IF(ISBLANK('Raw counts'!P27),"",IF(IF('4'!P26="+1",IF('6'!P26&gt;='6'!$V$3,"adv",'4'!P26),'4'!P26)="adv",'3'!P26,0))</f>
        <v/>
      </c>
      <c r="Q26" s="19" t="str">
        <f>IF(ISBLANK('Raw counts'!Q27),"",IF(IF('4'!Q26="+1",IF('6'!Q26&gt;='6'!$V$3,"adv",'4'!Q26),'4'!Q26)="adv",'3'!Q26,0))</f>
        <v/>
      </c>
      <c r="R26" s="19" t="str">
        <f>IF(ISBLANK('Raw counts'!R27),"",IF(IF('4'!R26="+1",IF('6'!R26&gt;='6'!$V$3,"adv",'4'!R26),'4'!R26)="adv",'3'!R26,0))</f>
        <v/>
      </c>
      <c r="S26" s="19" t="str">
        <f>IF(ISBLANK('Raw counts'!S27),"",IF(IF('4'!S26="+1",IF('6'!S26&gt;='6'!$V$3,"adv",'4'!S26),'4'!S26)="adv",'3'!S26,0))</f>
        <v/>
      </c>
      <c r="T26" s="19" t="str">
        <f>IF(ISBLANK('Raw counts'!T27),"",IF(IF('4'!T26="+1",IF('6'!T26&gt;='6'!$V$3,"adv",'4'!T26),'4'!T26)="adv",'3'!T26,0))</f>
        <v/>
      </c>
      <c r="U26" s="19" t="str">
        <f>IF(ISBLANK('Raw counts'!U27),"",IF(IF('4'!U26="+1",IF('6'!U26&gt;='6'!$V$3,"adv",'4'!U26),'4'!U26)="adv",'3'!U26,0))</f>
        <v/>
      </c>
      <c r="V26" s="3">
        <f t="shared" si="0"/>
        <v>0</v>
      </c>
    </row>
    <row r="27" spans="1:22" x14ac:dyDescent="0.15">
      <c r="A27" s="18" t="str">
        <f>IF(ISBLANK('Raw counts'!A28),"",'Raw counts'!A28)</f>
        <v>Attr24</v>
      </c>
      <c r="B27" s="19" t="str">
        <f>IF(ISBLANK('Raw counts'!B28),"",IF(IF('4'!B27="+1",IF('6'!B27&gt;='6'!$V$3,"adv",'4'!B27),'4'!B27)="adv",'3'!B27,0))</f>
        <v/>
      </c>
      <c r="C27" s="19" t="str">
        <f>IF(ISBLANK('Raw counts'!C28),"",IF(IF('4'!C27="+1",IF('6'!C27&gt;='6'!$V$3,"adv",'4'!C27),'4'!C27)="adv",'3'!C27,0))</f>
        <v/>
      </c>
      <c r="D27" s="19" t="str">
        <f>IF(ISBLANK('Raw counts'!D28),"",IF(IF('4'!D27="+1",IF('6'!D27&gt;='6'!$V$3,"adv",'4'!D27),'4'!D27)="adv",'3'!D27,0))</f>
        <v/>
      </c>
      <c r="E27" s="19" t="str">
        <f>IF(ISBLANK('Raw counts'!E28),"",IF(IF('4'!E27="+1",IF('6'!E27&gt;='6'!$V$3,"adv",'4'!E27),'4'!E27)="adv",'3'!E27,0))</f>
        <v/>
      </c>
      <c r="F27" s="19" t="str">
        <f>IF(ISBLANK('Raw counts'!F28),"",IF(IF('4'!F27="+1",IF('6'!F27&gt;='6'!$V$3,"adv",'4'!F27),'4'!F27)="adv",'3'!F27,0))</f>
        <v/>
      </c>
      <c r="G27" s="19" t="str">
        <f>IF(ISBLANK('Raw counts'!G28),"",IF(IF('4'!G27="+1",IF('6'!G27&gt;='6'!$V$3,"adv",'4'!G27),'4'!G27)="adv",'3'!G27,0))</f>
        <v/>
      </c>
      <c r="H27" s="19" t="str">
        <f>IF(ISBLANK('Raw counts'!H28),"",IF(IF('4'!H27="+1",IF('6'!H27&gt;='6'!$V$3,"adv",'4'!H27),'4'!H27)="adv",'3'!H27,0))</f>
        <v/>
      </c>
      <c r="I27" s="19" t="str">
        <f>IF(ISBLANK('Raw counts'!I28),"",IF(IF('4'!I27="+1",IF('6'!I27&gt;='6'!$V$3,"adv",'4'!I27),'4'!I27)="adv",'3'!I27,0))</f>
        <v/>
      </c>
      <c r="J27" s="19" t="str">
        <f>IF(ISBLANK('Raw counts'!J28),"",IF(IF('4'!J27="+1",IF('6'!J27&gt;='6'!$V$3,"adv",'4'!J27),'4'!J27)="adv",'3'!J27,0))</f>
        <v/>
      </c>
      <c r="K27" s="19" t="str">
        <f>IF(ISBLANK('Raw counts'!K28),"",IF(IF('4'!K27="+1",IF('6'!K27&gt;='6'!$V$3,"adv",'4'!K27),'4'!K27)="adv",'3'!K27,0))</f>
        <v/>
      </c>
      <c r="L27" s="19" t="str">
        <f>IF(ISBLANK('Raw counts'!L28),"",IF(IF('4'!L27="+1",IF('6'!L27&gt;='6'!$V$3,"adv",'4'!L27),'4'!L27)="adv",'3'!L27,0))</f>
        <v/>
      </c>
      <c r="M27" s="19" t="str">
        <f>IF(ISBLANK('Raw counts'!M28),"",IF(IF('4'!M27="+1",IF('6'!M27&gt;='6'!$V$3,"adv",'4'!M27),'4'!M27)="adv",'3'!M27,0))</f>
        <v/>
      </c>
      <c r="N27" s="19" t="str">
        <f>IF(ISBLANK('Raw counts'!N28),"",IF(IF('4'!N27="+1",IF('6'!N27&gt;='6'!$V$3,"adv",'4'!N27),'4'!N27)="adv",'3'!N27,0))</f>
        <v/>
      </c>
      <c r="O27" s="19" t="str">
        <f>IF(ISBLANK('Raw counts'!O28),"",IF(IF('4'!O27="+1",IF('6'!O27&gt;='6'!$V$3,"adv",'4'!O27),'4'!O27)="adv",'3'!O27,0))</f>
        <v/>
      </c>
      <c r="P27" s="19" t="str">
        <f>IF(ISBLANK('Raw counts'!P28),"",IF(IF('4'!P27="+1",IF('6'!P27&gt;='6'!$V$3,"adv",'4'!P27),'4'!P27)="adv",'3'!P27,0))</f>
        <v/>
      </c>
      <c r="Q27" s="19" t="str">
        <f>IF(ISBLANK('Raw counts'!Q28),"",IF(IF('4'!Q27="+1",IF('6'!Q27&gt;='6'!$V$3,"adv",'4'!Q27),'4'!Q27)="adv",'3'!Q27,0))</f>
        <v/>
      </c>
      <c r="R27" s="19" t="str">
        <f>IF(ISBLANK('Raw counts'!R28),"",IF(IF('4'!R27="+1",IF('6'!R27&gt;='6'!$V$3,"adv",'4'!R27),'4'!R27)="adv",'3'!R27,0))</f>
        <v/>
      </c>
      <c r="S27" s="19" t="str">
        <f>IF(ISBLANK('Raw counts'!S28),"",IF(IF('4'!S27="+1",IF('6'!S27&gt;='6'!$V$3,"adv",'4'!S27),'4'!S27)="adv",'3'!S27,0))</f>
        <v/>
      </c>
      <c r="T27" s="19" t="str">
        <f>IF(ISBLANK('Raw counts'!T28),"",IF(IF('4'!T27="+1",IF('6'!T27&gt;='6'!$V$3,"adv",'4'!T27),'4'!T27)="adv",'3'!T27,0))</f>
        <v/>
      </c>
      <c r="U27" s="19" t="str">
        <f>IF(ISBLANK('Raw counts'!U28),"",IF(IF('4'!U27="+1",IF('6'!U27&gt;='6'!$V$3,"adv",'4'!U27),'4'!U27)="adv",'3'!U27,0))</f>
        <v/>
      </c>
      <c r="V27" s="3">
        <f t="shared" si="0"/>
        <v>0</v>
      </c>
    </row>
    <row r="28" spans="1:22" x14ac:dyDescent="0.15">
      <c r="A28" s="18" t="str">
        <f>IF(ISBLANK('Raw counts'!A29),"",'Raw counts'!A29)</f>
        <v>Attr25</v>
      </c>
      <c r="B28" s="19" t="str">
        <f>IF(ISBLANK('Raw counts'!B29),"",IF(IF('4'!B28="+1",IF('6'!B28&gt;='6'!$V$3,"adv",'4'!B28),'4'!B28)="adv",'3'!B28,0))</f>
        <v/>
      </c>
      <c r="C28" s="19" t="str">
        <f>IF(ISBLANK('Raw counts'!C29),"",IF(IF('4'!C28="+1",IF('6'!C28&gt;='6'!$V$3,"adv",'4'!C28),'4'!C28)="adv",'3'!C28,0))</f>
        <v/>
      </c>
      <c r="D28" s="19" t="str">
        <f>IF(ISBLANK('Raw counts'!D29),"",IF(IF('4'!D28="+1",IF('6'!D28&gt;='6'!$V$3,"adv",'4'!D28),'4'!D28)="adv",'3'!D28,0))</f>
        <v/>
      </c>
      <c r="E28" s="19" t="str">
        <f>IF(ISBLANK('Raw counts'!E29),"",IF(IF('4'!E28="+1",IF('6'!E28&gt;='6'!$V$3,"adv",'4'!E28),'4'!E28)="adv",'3'!E28,0))</f>
        <v/>
      </c>
      <c r="F28" s="19" t="str">
        <f>IF(ISBLANK('Raw counts'!F29),"",IF(IF('4'!F28="+1",IF('6'!F28&gt;='6'!$V$3,"adv",'4'!F28),'4'!F28)="adv",'3'!F28,0))</f>
        <v/>
      </c>
      <c r="G28" s="19" t="str">
        <f>IF(ISBLANK('Raw counts'!G29),"",IF(IF('4'!G28="+1",IF('6'!G28&gt;='6'!$V$3,"adv",'4'!G28),'4'!G28)="adv",'3'!G28,0))</f>
        <v/>
      </c>
      <c r="H28" s="19" t="str">
        <f>IF(ISBLANK('Raw counts'!H29),"",IF(IF('4'!H28="+1",IF('6'!H28&gt;='6'!$V$3,"adv",'4'!H28),'4'!H28)="adv",'3'!H28,0))</f>
        <v/>
      </c>
      <c r="I28" s="19" t="str">
        <f>IF(ISBLANK('Raw counts'!I29),"",IF(IF('4'!I28="+1",IF('6'!I28&gt;='6'!$V$3,"adv",'4'!I28),'4'!I28)="adv",'3'!I28,0))</f>
        <v/>
      </c>
      <c r="J28" s="19" t="str">
        <f>IF(ISBLANK('Raw counts'!J29),"",IF(IF('4'!J28="+1",IF('6'!J28&gt;='6'!$V$3,"adv",'4'!J28),'4'!J28)="adv",'3'!J28,0))</f>
        <v/>
      </c>
      <c r="K28" s="19" t="str">
        <f>IF(ISBLANK('Raw counts'!K29),"",IF(IF('4'!K28="+1",IF('6'!K28&gt;='6'!$V$3,"adv",'4'!K28),'4'!K28)="adv",'3'!K28,0))</f>
        <v/>
      </c>
      <c r="L28" s="19" t="str">
        <f>IF(ISBLANK('Raw counts'!L29),"",IF(IF('4'!L28="+1",IF('6'!L28&gt;='6'!$V$3,"adv",'4'!L28),'4'!L28)="adv",'3'!L28,0))</f>
        <v/>
      </c>
      <c r="M28" s="19" t="str">
        <f>IF(ISBLANK('Raw counts'!M29),"",IF(IF('4'!M28="+1",IF('6'!M28&gt;='6'!$V$3,"adv",'4'!M28),'4'!M28)="adv",'3'!M28,0))</f>
        <v/>
      </c>
      <c r="N28" s="19" t="str">
        <f>IF(ISBLANK('Raw counts'!N29),"",IF(IF('4'!N28="+1",IF('6'!N28&gt;='6'!$V$3,"adv",'4'!N28),'4'!N28)="adv",'3'!N28,0))</f>
        <v/>
      </c>
      <c r="O28" s="19" t="str">
        <f>IF(ISBLANK('Raw counts'!O29),"",IF(IF('4'!O28="+1",IF('6'!O28&gt;='6'!$V$3,"adv",'4'!O28),'4'!O28)="adv",'3'!O28,0))</f>
        <v/>
      </c>
      <c r="P28" s="19" t="str">
        <f>IF(ISBLANK('Raw counts'!P29),"",IF(IF('4'!P28="+1",IF('6'!P28&gt;='6'!$V$3,"adv",'4'!P28),'4'!P28)="adv",'3'!P28,0))</f>
        <v/>
      </c>
      <c r="Q28" s="19" t="str">
        <f>IF(ISBLANK('Raw counts'!Q29),"",IF(IF('4'!Q28="+1",IF('6'!Q28&gt;='6'!$V$3,"adv",'4'!Q28),'4'!Q28)="adv",'3'!Q28,0))</f>
        <v/>
      </c>
      <c r="R28" s="19" t="str">
        <f>IF(ISBLANK('Raw counts'!R29),"",IF(IF('4'!R28="+1",IF('6'!R28&gt;='6'!$V$3,"adv",'4'!R28),'4'!R28)="adv",'3'!R28,0))</f>
        <v/>
      </c>
      <c r="S28" s="19" t="str">
        <f>IF(ISBLANK('Raw counts'!S29),"",IF(IF('4'!S28="+1",IF('6'!S28&gt;='6'!$V$3,"adv",'4'!S28),'4'!S28)="adv",'3'!S28,0))</f>
        <v/>
      </c>
      <c r="T28" s="19" t="str">
        <f>IF(ISBLANK('Raw counts'!T29),"",IF(IF('4'!T28="+1",IF('6'!T28&gt;='6'!$V$3,"adv",'4'!T28),'4'!T28)="adv",'3'!T28,0))</f>
        <v/>
      </c>
      <c r="U28" s="19" t="str">
        <f>IF(ISBLANK('Raw counts'!U29),"",IF(IF('4'!U28="+1",IF('6'!U28&gt;='6'!$V$3,"adv",'4'!U28),'4'!U28)="adv",'3'!U28,0))</f>
        <v/>
      </c>
      <c r="V28" s="3">
        <f t="shared" si="0"/>
        <v>0</v>
      </c>
    </row>
    <row r="29" spans="1:22" x14ac:dyDescent="0.15">
      <c r="A29" s="18" t="str">
        <f>IF(ISBLANK('Raw counts'!A30),"",'Raw counts'!A30)</f>
        <v>Attr26</v>
      </c>
      <c r="B29" s="19" t="str">
        <f>IF(ISBLANK('Raw counts'!B30),"",IF(IF('4'!B29="+1",IF('6'!B29&gt;='6'!$V$3,"adv",'4'!B29),'4'!B29)="adv",'3'!B29,0))</f>
        <v/>
      </c>
      <c r="C29" s="19" t="str">
        <f>IF(ISBLANK('Raw counts'!C30),"",IF(IF('4'!C29="+1",IF('6'!C29&gt;='6'!$V$3,"adv",'4'!C29),'4'!C29)="adv",'3'!C29,0))</f>
        <v/>
      </c>
      <c r="D29" s="19" t="str">
        <f>IF(ISBLANK('Raw counts'!D30),"",IF(IF('4'!D29="+1",IF('6'!D29&gt;='6'!$V$3,"adv",'4'!D29),'4'!D29)="adv",'3'!D29,0))</f>
        <v/>
      </c>
      <c r="E29" s="19" t="str">
        <f>IF(ISBLANK('Raw counts'!E30),"",IF(IF('4'!E29="+1",IF('6'!E29&gt;='6'!$V$3,"adv",'4'!E29),'4'!E29)="adv",'3'!E29,0))</f>
        <v/>
      </c>
      <c r="F29" s="19" t="str">
        <f>IF(ISBLANK('Raw counts'!F30),"",IF(IF('4'!F29="+1",IF('6'!F29&gt;='6'!$V$3,"adv",'4'!F29),'4'!F29)="adv",'3'!F29,0))</f>
        <v/>
      </c>
      <c r="G29" s="19" t="str">
        <f>IF(ISBLANK('Raw counts'!G30),"",IF(IF('4'!G29="+1",IF('6'!G29&gt;='6'!$V$3,"adv",'4'!G29),'4'!G29)="adv",'3'!G29,0))</f>
        <v/>
      </c>
      <c r="H29" s="19" t="str">
        <f>IF(ISBLANK('Raw counts'!H30),"",IF(IF('4'!H29="+1",IF('6'!H29&gt;='6'!$V$3,"adv",'4'!H29),'4'!H29)="adv",'3'!H29,0))</f>
        <v/>
      </c>
      <c r="I29" s="19" t="str">
        <f>IF(ISBLANK('Raw counts'!I30),"",IF(IF('4'!I29="+1",IF('6'!I29&gt;='6'!$V$3,"adv",'4'!I29),'4'!I29)="adv",'3'!I29,0))</f>
        <v/>
      </c>
      <c r="J29" s="19" t="str">
        <f>IF(ISBLANK('Raw counts'!J30),"",IF(IF('4'!J29="+1",IF('6'!J29&gt;='6'!$V$3,"adv",'4'!J29),'4'!J29)="adv",'3'!J29,0))</f>
        <v/>
      </c>
      <c r="K29" s="19" t="str">
        <f>IF(ISBLANK('Raw counts'!K30),"",IF(IF('4'!K29="+1",IF('6'!K29&gt;='6'!$V$3,"adv",'4'!K29),'4'!K29)="adv",'3'!K29,0))</f>
        <v/>
      </c>
      <c r="L29" s="19" t="str">
        <f>IF(ISBLANK('Raw counts'!L30),"",IF(IF('4'!L29="+1",IF('6'!L29&gt;='6'!$V$3,"adv",'4'!L29),'4'!L29)="adv",'3'!L29,0))</f>
        <v/>
      </c>
      <c r="M29" s="19" t="str">
        <f>IF(ISBLANK('Raw counts'!M30),"",IF(IF('4'!M29="+1",IF('6'!M29&gt;='6'!$V$3,"adv",'4'!M29),'4'!M29)="adv",'3'!M29,0))</f>
        <v/>
      </c>
      <c r="N29" s="19" t="str">
        <f>IF(ISBLANK('Raw counts'!N30),"",IF(IF('4'!N29="+1",IF('6'!N29&gt;='6'!$V$3,"adv",'4'!N29),'4'!N29)="adv",'3'!N29,0))</f>
        <v/>
      </c>
      <c r="O29" s="19" t="str">
        <f>IF(ISBLANK('Raw counts'!O30),"",IF(IF('4'!O29="+1",IF('6'!O29&gt;='6'!$V$3,"adv",'4'!O29),'4'!O29)="adv",'3'!O29,0))</f>
        <v/>
      </c>
      <c r="P29" s="19" t="str">
        <f>IF(ISBLANK('Raw counts'!P30),"",IF(IF('4'!P29="+1",IF('6'!P29&gt;='6'!$V$3,"adv",'4'!P29),'4'!P29)="adv",'3'!P29,0))</f>
        <v/>
      </c>
      <c r="Q29" s="19" t="str">
        <f>IF(ISBLANK('Raw counts'!Q30),"",IF(IF('4'!Q29="+1",IF('6'!Q29&gt;='6'!$V$3,"adv",'4'!Q29),'4'!Q29)="adv",'3'!Q29,0))</f>
        <v/>
      </c>
      <c r="R29" s="19" t="str">
        <f>IF(ISBLANK('Raw counts'!R30),"",IF(IF('4'!R29="+1",IF('6'!R29&gt;='6'!$V$3,"adv",'4'!R29),'4'!R29)="adv",'3'!R29,0))</f>
        <v/>
      </c>
      <c r="S29" s="19" t="str">
        <f>IF(ISBLANK('Raw counts'!S30),"",IF(IF('4'!S29="+1",IF('6'!S29&gt;='6'!$V$3,"adv",'4'!S29),'4'!S29)="adv",'3'!S29,0))</f>
        <v/>
      </c>
      <c r="T29" s="19" t="str">
        <f>IF(ISBLANK('Raw counts'!T30),"",IF(IF('4'!T29="+1",IF('6'!T29&gt;='6'!$V$3,"adv",'4'!T29),'4'!T29)="adv",'3'!T29,0))</f>
        <v/>
      </c>
      <c r="U29" s="19" t="str">
        <f>IF(ISBLANK('Raw counts'!U30),"",IF(IF('4'!U29="+1",IF('6'!U29&gt;='6'!$V$3,"adv",'4'!U29),'4'!U29)="adv",'3'!U29,0))</f>
        <v/>
      </c>
      <c r="V29" s="3">
        <f t="shared" si="0"/>
        <v>0</v>
      </c>
    </row>
    <row r="30" spans="1:22" x14ac:dyDescent="0.15">
      <c r="A30" s="18" t="str">
        <f>IF(ISBLANK('Raw counts'!A31),"",'Raw counts'!A31)</f>
        <v>Attr27</v>
      </c>
      <c r="B30" s="19" t="str">
        <f>IF(ISBLANK('Raw counts'!B31),"",IF(IF('4'!B30="+1",IF('6'!B30&gt;='6'!$V$3,"adv",'4'!B30),'4'!B30)="adv",'3'!B30,0))</f>
        <v/>
      </c>
      <c r="C30" s="19" t="str">
        <f>IF(ISBLANK('Raw counts'!C31),"",IF(IF('4'!C30="+1",IF('6'!C30&gt;='6'!$V$3,"adv",'4'!C30),'4'!C30)="adv",'3'!C30,0))</f>
        <v/>
      </c>
      <c r="D30" s="19" t="str">
        <f>IF(ISBLANK('Raw counts'!D31),"",IF(IF('4'!D30="+1",IF('6'!D30&gt;='6'!$V$3,"adv",'4'!D30),'4'!D30)="adv",'3'!D30,0))</f>
        <v/>
      </c>
      <c r="E30" s="19" t="str">
        <f>IF(ISBLANK('Raw counts'!E31),"",IF(IF('4'!E30="+1",IF('6'!E30&gt;='6'!$V$3,"adv",'4'!E30),'4'!E30)="adv",'3'!E30,0))</f>
        <v/>
      </c>
      <c r="F30" s="19" t="str">
        <f>IF(ISBLANK('Raw counts'!F31),"",IF(IF('4'!F30="+1",IF('6'!F30&gt;='6'!$V$3,"adv",'4'!F30),'4'!F30)="adv",'3'!F30,0))</f>
        <v/>
      </c>
      <c r="G30" s="19" t="str">
        <f>IF(ISBLANK('Raw counts'!G31),"",IF(IF('4'!G30="+1",IF('6'!G30&gt;='6'!$V$3,"adv",'4'!G30),'4'!G30)="adv",'3'!G30,0))</f>
        <v/>
      </c>
      <c r="H30" s="19" t="str">
        <f>IF(ISBLANK('Raw counts'!H31),"",IF(IF('4'!H30="+1",IF('6'!H30&gt;='6'!$V$3,"adv",'4'!H30),'4'!H30)="adv",'3'!H30,0))</f>
        <v/>
      </c>
      <c r="I30" s="19" t="str">
        <f>IF(ISBLANK('Raw counts'!I31),"",IF(IF('4'!I30="+1",IF('6'!I30&gt;='6'!$V$3,"adv",'4'!I30),'4'!I30)="adv",'3'!I30,0))</f>
        <v/>
      </c>
      <c r="J30" s="19" t="str">
        <f>IF(ISBLANK('Raw counts'!J31),"",IF(IF('4'!J30="+1",IF('6'!J30&gt;='6'!$V$3,"adv",'4'!J30),'4'!J30)="adv",'3'!J30,0))</f>
        <v/>
      </c>
      <c r="K30" s="19" t="str">
        <f>IF(ISBLANK('Raw counts'!K31),"",IF(IF('4'!K30="+1",IF('6'!K30&gt;='6'!$V$3,"adv",'4'!K30),'4'!K30)="adv",'3'!K30,0))</f>
        <v/>
      </c>
      <c r="L30" s="19" t="str">
        <f>IF(ISBLANK('Raw counts'!L31),"",IF(IF('4'!L30="+1",IF('6'!L30&gt;='6'!$V$3,"adv",'4'!L30),'4'!L30)="adv",'3'!L30,0))</f>
        <v/>
      </c>
      <c r="M30" s="19" t="str">
        <f>IF(ISBLANK('Raw counts'!M31),"",IF(IF('4'!M30="+1",IF('6'!M30&gt;='6'!$V$3,"adv",'4'!M30),'4'!M30)="adv",'3'!M30,0))</f>
        <v/>
      </c>
      <c r="N30" s="19" t="str">
        <f>IF(ISBLANK('Raw counts'!N31),"",IF(IF('4'!N30="+1",IF('6'!N30&gt;='6'!$V$3,"adv",'4'!N30),'4'!N30)="adv",'3'!N30,0))</f>
        <v/>
      </c>
      <c r="O30" s="19" t="str">
        <f>IF(ISBLANK('Raw counts'!O31),"",IF(IF('4'!O30="+1",IF('6'!O30&gt;='6'!$V$3,"adv",'4'!O30),'4'!O30)="adv",'3'!O30,0))</f>
        <v/>
      </c>
      <c r="P30" s="19" t="str">
        <f>IF(ISBLANK('Raw counts'!P31),"",IF(IF('4'!P30="+1",IF('6'!P30&gt;='6'!$V$3,"adv",'4'!P30),'4'!P30)="adv",'3'!P30,0))</f>
        <v/>
      </c>
      <c r="Q30" s="19" t="str">
        <f>IF(ISBLANK('Raw counts'!Q31),"",IF(IF('4'!Q30="+1",IF('6'!Q30&gt;='6'!$V$3,"adv",'4'!Q30),'4'!Q30)="adv",'3'!Q30,0))</f>
        <v/>
      </c>
      <c r="R30" s="19" t="str">
        <f>IF(ISBLANK('Raw counts'!R31),"",IF(IF('4'!R30="+1",IF('6'!R30&gt;='6'!$V$3,"adv",'4'!R30),'4'!R30)="adv",'3'!R30,0))</f>
        <v/>
      </c>
      <c r="S30" s="19" t="str">
        <f>IF(ISBLANK('Raw counts'!S31),"",IF(IF('4'!S30="+1",IF('6'!S30&gt;='6'!$V$3,"adv",'4'!S30),'4'!S30)="adv",'3'!S30,0))</f>
        <v/>
      </c>
      <c r="T30" s="19" t="str">
        <f>IF(ISBLANK('Raw counts'!T31),"",IF(IF('4'!T30="+1",IF('6'!T30&gt;='6'!$V$3,"adv",'4'!T30),'4'!T30)="adv",'3'!T30,0))</f>
        <v/>
      </c>
      <c r="U30" s="19" t="str">
        <f>IF(ISBLANK('Raw counts'!U31),"",IF(IF('4'!U30="+1",IF('6'!U30&gt;='6'!$V$3,"adv",'4'!U30),'4'!U30)="adv",'3'!U30,0))</f>
        <v/>
      </c>
      <c r="V30" s="3">
        <f t="shared" si="0"/>
        <v>0</v>
      </c>
    </row>
    <row r="31" spans="1:22" x14ac:dyDescent="0.15">
      <c r="A31" s="18" t="str">
        <f>IF(ISBLANK('Raw counts'!A32),"",'Raw counts'!A32)</f>
        <v>Attr28</v>
      </c>
      <c r="B31" s="19" t="str">
        <f>IF(ISBLANK('Raw counts'!B32),"",IF(IF('4'!B31="+1",IF('6'!B31&gt;='6'!$V$3,"adv",'4'!B31),'4'!B31)="adv",'3'!B31,0))</f>
        <v/>
      </c>
      <c r="C31" s="19" t="str">
        <f>IF(ISBLANK('Raw counts'!C32),"",IF(IF('4'!C31="+1",IF('6'!C31&gt;='6'!$V$3,"adv",'4'!C31),'4'!C31)="adv",'3'!C31,0))</f>
        <v/>
      </c>
      <c r="D31" s="19" t="str">
        <f>IF(ISBLANK('Raw counts'!D32),"",IF(IF('4'!D31="+1",IF('6'!D31&gt;='6'!$V$3,"adv",'4'!D31),'4'!D31)="adv",'3'!D31,0))</f>
        <v/>
      </c>
      <c r="E31" s="19" t="str">
        <f>IF(ISBLANK('Raw counts'!E32),"",IF(IF('4'!E31="+1",IF('6'!E31&gt;='6'!$V$3,"adv",'4'!E31),'4'!E31)="adv",'3'!E31,0))</f>
        <v/>
      </c>
      <c r="F31" s="19" t="str">
        <f>IF(ISBLANK('Raw counts'!F32),"",IF(IF('4'!F31="+1",IF('6'!F31&gt;='6'!$V$3,"adv",'4'!F31),'4'!F31)="adv",'3'!F31,0))</f>
        <v/>
      </c>
      <c r="G31" s="19" t="str">
        <f>IF(ISBLANK('Raw counts'!G32),"",IF(IF('4'!G31="+1",IF('6'!G31&gt;='6'!$V$3,"adv",'4'!G31),'4'!G31)="adv",'3'!G31,0))</f>
        <v/>
      </c>
      <c r="H31" s="19" t="str">
        <f>IF(ISBLANK('Raw counts'!H32),"",IF(IF('4'!H31="+1",IF('6'!H31&gt;='6'!$V$3,"adv",'4'!H31),'4'!H31)="adv",'3'!H31,0))</f>
        <v/>
      </c>
      <c r="I31" s="19" t="str">
        <f>IF(ISBLANK('Raw counts'!I32),"",IF(IF('4'!I31="+1",IF('6'!I31&gt;='6'!$V$3,"adv",'4'!I31),'4'!I31)="adv",'3'!I31,0))</f>
        <v/>
      </c>
      <c r="J31" s="19" t="str">
        <f>IF(ISBLANK('Raw counts'!J32),"",IF(IF('4'!J31="+1",IF('6'!J31&gt;='6'!$V$3,"adv",'4'!J31),'4'!J31)="adv",'3'!J31,0))</f>
        <v/>
      </c>
      <c r="K31" s="19" t="str">
        <f>IF(ISBLANK('Raw counts'!K32),"",IF(IF('4'!K31="+1",IF('6'!K31&gt;='6'!$V$3,"adv",'4'!K31),'4'!K31)="adv",'3'!K31,0))</f>
        <v/>
      </c>
      <c r="L31" s="19" t="str">
        <f>IF(ISBLANK('Raw counts'!L32),"",IF(IF('4'!L31="+1",IF('6'!L31&gt;='6'!$V$3,"adv",'4'!L31),'4'!L31)="adv",'3'!L31,0))</f>
        <v/>
      </c>
      <c r="M31" s="19" t="str">
        <f>IF(ISBLANK('Raw counts'!M32),"",IF(IF('4'!M31="+1",IF('6'!M31&gt;='6'!$V$3,"adv",'4'!M31),'4'!M31)="adv",'3'!M31,0))</f>
        <v/>
      </c>
      <c r="N31" s="19" t="str">
        <f>IF(ISBLANK('Raw counts'!N32),"",IF(IF('4'!N31="+1",IF('6'!N31&gt;='6'!$V$3,"adv",'4'!N31),'4'!N31)="adv",'3'!N31,0))</f>
        <v/>
      </c>
      <c r="O31" s="19" t="str">
        <f>IF(ISBLANK('Raw counts'!O32),"",IF(IF('4'!O31="+1",IF('6'!O31&gt;='6'!$V$3,"adv",'4'!O31),'4'!O31)="adv",'3'!O31,0))</f>
        <v/>
      </c>
      <c r="P31" s="19" t="str">
        <f>IF(ISBLANK('Raw counts'!P32),"",IF(IF('4'!P31="+1",IF('6'!P31&gt;='6'!$V$3,"adv",'4'!P31),'4'!P31)="adv",'3'!P31,0))</f>
        <v/>
      </c>
      <c r="Q31" s="19" t="str">
        <f>IF(ISBLANK('Raw counts'!Q32),"",IF(IF('4'!Q31="+1",IF('6'!Q31&gt;='6'!$V$3,"adv",'4'!Q31),'4'!Q31)="adv",'3'!Q31,0))</f>
        <v/>
      </c>
      <c r="R31" s="19" t="str">
        <f>IF(ISBLANK('Raw counts'!R32),"",IF(IF('4'!R31="+1",IF('6'!R31&gt;='6'!$V$3,"adv",'4'!R31),'4'!R31)="adv",'3'!R31,0))</f>
        <v/>
      </c>
      <c r="S31" s="19" t="str">
        <f>IF(ISBLANK('Raw counts'!S32),"",IF(IF('4'!S31="+1",IF('6'!S31&gt;='6'!$V$3,"adv",'4'!S31),'4'!S31)="adv",'3'!S31,0))</f>
        <v/>
      </c>
      <c r="T31" s="19" t="str">
        <f>IF(ISBLANK('Raw counts'!T32),"",IF(IF('4'!T31="+1",IF('6'!T31&gt;='6'!$V$3,"adv",'4'!T31),'4'!T31)="adv",'3'!T31,0))</f>
        <v/>
      </c>
      <c r="U31" s="19" t="str">
        <f>IF(ISBLANK('Raw counts'!U32),"",IF(IF('4'!U31="+1",IF('6'!U31&gt;='6'!$V$3,"adv",'4'!U31),'4'!U31)="adv",'3'!U31,0))</f>
        <v/>
      </c>
      <c r="V31" s="3">
        <f t="shared" si="0"/>
        <v>0</v>
      </c>
    </row>
    <row r="32" spans="1:22" x14ac:dyDescent="0.15">
      <c r="A32" s="18" t="str">
        <f>IF(ISBLANK('Raw counts'!A33),"",'Raw counts'!A33)</f>
        <v>Attr29</v>
      </c>
      <c r="B32" s="19" t="str">
        <f>IF(ISBLANK('Raw counts'!B33),"",IF(IF('4'!B32="+1",IF('6'!B32&gt;='6'!$V$3,"adv",'4'!B32),'4'!B32)="adv",'3'!B32,0))</f>
        <v/>
      </c>
      <c r="C32" s="19" t="str">
        <f>IF(ISBLANK('Raw counts'!C33),"",IF(IF('4'!C32="+1",IF('6'!C32&gt;='6'!$V$3,"adv",'4'!C32),'4'!C32)="adv",'3'!C32,0))</f>
        <v/>
      </c>
      <c r="D32" s="19" t="str">
        <f>IF(ISBLANK('Raw counts'!D33),"",IF(IF('4'!D32="+1",IF('6'!D32&gt;='6'!$V$3,"adv",'4'!D32),'4'!D32)="adv",'3'!D32,0))</f>
        <v/>
      </c>
      <c r="E32" s="19" t="str">
        <f>IF(ISBLANK('Raw counts'!E33),"",IF(IF('4'!E32="+1",IF('6'!E32&gt;='6'!$V$3,"adv",'4'!E32),'4'!E32)="adv",'3'!E32,0))</f>
        <v/>
      </c>
      <c r="F32" s="19" t="str">
        <f>IF(ISBLANK('Raw counts'!F33),"",IF(IF('4'!F32="+1",IF('6'!F32&gt;='6'!$V$3,"adv",'4'!F32),'4'!F32)="adv",'3'!F32,0))</f>
        <v/>
      </c>
      <c r="G32" s="19" t="str">
        <f>IF(ISBLANK('Raw counts'!G33),"",IF(IF('4'!G32="+1",IF('6'!G32&gt;='6'!$V$3,"adv",'4'!G32),'4'!G32)="adv",'3'!G32,0))</f>
        <v/>
      </c>
      <c r="H32" s="19" t="str">
        <f>IF(ISBLANK('Raw counts'!H33),"",IF(IF('4'!H32="+1",IF('6'!H32&gt;='6'!$V$3,"adv",'4'!H32),'4'!H32)="adv",'3'!H32,0))</f>
        <v/>
      </c>
      <c r="I32" s="19" t="str">
        <f>IF(ISBLANK('Raw counts'!I33),"",IF(IF('4'!I32="+1",IF('6'!I32&gt;='6'!$V$3,"adv",'4'!I32),'4'!I32)="adv",'3'!I32,0))</f>
        <v/>
      </c>
      <c r="J32" s="19" t="str">
        <f>IF(ISBLANK('Raw counts'!J33),"",IF(IF('4'!J32="+1",IF('6'!J32&gt;='6'!$V$3,"adv",'4'!J32),'4'!J32)="adv",'3'!J32,0))</f>
        <v/>
      </c>
      <c r="K32" s="19" t="str">
        <f>IF(ISBLANK('Raw counts'!K33),"",IF(IF('4'!K32="+1",IF('6'!K32&gt;='6'!$V$3,"adv",'4'!K32),'4'!K32)="adv",'3'!K32,0))</f>
        <v/>
      </c>
      <c r="L32" s="19" t="str">
        <f>IF(ISBLANK('Raw counts'!L33),"",IF(IF('4'!L32="+1",IF('6'!L32&gt;='6'!$V$3,"adv",'4'!L32),'4'!L32)="adv",'3'!L32,0))</f>
        <v/>
      </c>
      <c r="M32" s="19" t="str">
        <f>IF(ISBLANK('Raw counts'!M33),"",IF(IF('4'!M32="+1",IF('6'!M32&gt;='6'!$V$3,"adv",'4'!M32),'4'!M32)="adv",'3'!M32,0))</f>
        <v/>
      </c>
      <c r="N32" s="19" t="str">
        <f>IF(ISBLANK('Raw counts'!N33),"",IF(IF('4'!N32="+1",IF('6'!N32&gt;='6'!$V$3,"adv",'4'!N32),'4'!N32)="adv",'3'!N32,0))</f>
        <v/>
      </c>
      <c r="O32" s="19" t="str">
        <f>IF(ISBLANK('Raw counts'!O33),"",IF(IF('4'!O32="+1",IF('6'!O32&gt;='6'!$V$3,"adv",'4'!O32),'4'!O32)="adv",'3'!O32,0))</f>
        <v/>
      </c>
      <c r="P32" s="19" t="str">
        <f>IF(ISBLANK('Raw counts'!P33),"",IF(IF('4'!P32="+1",IF('6'!P32&gt;='6'!$V$3,"adv",'4'!P32),'4'!P32)="adv",'3'!P32,0))</f>
        <v/>
      </c>
      <c r="Q32" s="19" t="str">
        <f>IF(ISBLANK('Raw counts'!Q33),"",IF(IF('4'!Q32="+1",IF('6'!Q32&gt;='6'!$V$3,"adv",'4'!Q32),'4'!Q32)="adv",'3'!Q32,0))</f>
        <v/>
      </c>
      <c r="R32" s="19" t="str">
        <f>IF(ISBLANK('Raw counts'!R33),"",IF(IF('4'!R32="+1",IF('6'!R32&gt;='6'!$V$3,"adv",'4'!R32),'4'!R32)="adv",'3'!R32,0))</f>
        <v/>
      </c>
      <c r="S32" s="19" t="str">
        <f>IF(ISBLANK('Raw counts'!S33),"",IF(IF('4'!S32="+1",IF('6'!S32&gt;='6'!$V$3,"adv",'4'!S32),'4'!S32)="adv",'3'!S32,0))</f>
        <v/>
      </c>
      <c r="T32" s="19" t="str">
        <f>IF(ISBLANK('Raw counts'!T33),"",IF(IF('4'!T32="+1",IF('6'!T32&gt;='6'!$V$3,"adv",'4'!T32),'4'!T32)="adv",'3'!T32,0))</f>
        <v/>
      </c>
      <c r="U32" s="19" t="str">
        <f>IF(ISBLANK('Raw counts'!U33),"",IF(IF('4'!U32="+1",IF('6'!U32&gt;='6'!$V$3,"adv",'4'!U32),'4'!U32)="adv",'3'!U32,0))</f>
        <v/>
      </c>
      <c r="V32" s="3">
        <f t="shared" si="0"/>
        <v>0</v>
      </c>
    </row>
    <row r="33" spans="1:22" x14ac:dyDescent="0.15">
      <c r="A33" s="18" t="str">
        <f>IF(ISBLANK('Raw counts'!A34),"",'Raw counts'!A34)</f>
        <v>Attr30</v>
      </c>
      <c r="B33" s="19" t="str">
        <f>IF(ISBLANK('Raw counts'!B34),"",IF(IF('4'!B33="+1",IF('6'!B33&gt;='6'!$V$3,"adv",'4'!B33),'4'!B33)="adv",'3'!B33,0))</f>
        <v/>
      </c>
      <c r="C33" s="19" t="str">
        <f>IF(ISBLANK('Raw counts'!C34),"",IF(IF('4'!C33="+1",IF('6'!C33&gt;='6'!$V$3,"adv",'4'!C33),'4'!C33)="adv",'3'!C33,0))</f>
        <v/>
      </c>
      <c r="D33" s="19" t="str">
        <f>IF(ISBLANK('Raw counts'!D34),"",IF(IF('4'!D33="+1",IF('6'!D33&gt;='6'!$V$3,"adv",'4'!D33),'4'!D33)="adv",'3'!D33,0))</f>
        <v/>
      </c>
      <c r="E33" s="19" t="str">
        <f>IF(ISBLANK('Raw counts'!E34),"",IF(IF('4'!E33="+1",IF('6'!E33&gt;='6'!$V$3,"adv",'4'!E33),'4'!E33)="adv",'3'!E33,0))</f>
        <v/>
      </c>
      <c r="F33" s="19" t="str">
        <f>IF(ISBLANK('Raw counts'!F34),"",IF(IF('4'!F33="+1",IF('6'!F33&gt;='6'!$V$3,"adv",'4'!F33),'4'!F33)="adv",'3'!F33,0))</f>
        <v/>
      </c>
      <c r="G33" s="19" t="str">
        <f>IF(ISBLANK('Raw counts'!G34),"",IF(IF('4'!G33="+1",IF('6'!G33&gt;='6'!$V$3,"adv",'4'!G33),'4'!G33)="adv",'3'!G33,0))</f>
        <v/>
      </c>
      <c r="H33" s="19" t="str">
        <f>IF(ISBLANK('Raw counts'!H34),"",IF(IF('4'!H33="+1",IF('6'!H33&gt;='6'!$V$3,"adv",'4'!H33),'4'!H33)="adv",'3'!H33,0))</f>
        <v/>
      </c>
      <c r="I33" s="19" t="str">
        <f>IF(ISBLANK('Raw counts'!I34),"",IF(IF('4'!I33="+1",IF('6'!I33&gt;='6'!$V$3,"adv",'4'!I33),'4'!I33)="adv",'3'!I33,0))</f>
        <v/>
      </c>
      <c r="J33" s="19" t="str">
        <f>IF(ISBLANK('Raw counts'!J34),"",IF(IF('4'!J33="+1",IF('6'!J33&gt;='6'!$V$3,"adv",'4'!J33),'4'!J33)="adv",'3'!J33,0))</f>
        <v/>
      </c>
      <c r="K33" s="19" t="str">
        <f>IF(ISBLANK('Raw counts'!K34),"",IF(IF('4'!K33="+1",IF('6'!K33&gt;='6'!$V$3,"adv",'4'!K33),'4'!K33)="adv",'3'!K33,0))</f>
        <v/>
      </c>
      <c r="L33" s="19" t="str">
        <f>IF(ISBLANK('Raw counts'!L34),"",IF(IF('4'!L33="+1",IF('6'!L33&gt;='6'!$V$3,"adv",'4'!L33),'4'!L33)="adv",'3'!L33,0))</f>
        <v/>
      </c>
      <c r="M33" s="19" t="str">
        <f>IF(ISBLANK('Raw counts'!M34),"",IF(IF('4'!M33="+1",IF('6'!M33&gt;='6'!$V$3,"adv",'4'!M33),'4'!M33)="adv",'3'!M33,0))</f>
        <v/>
      </c>
      <c r="N33" s="19" t="str">
        <f>IF(ISBLANK('Raw counts'!N34),"",IF(IF('4'!N33="+1",IF('6'!N33&gt;='6'!$V$3,"adv",'4'!N33),'4'!N33)="adv",'3'!N33,0))</f>
        <v/>
      </c>
      <c r="O33" s="19" t="str">
        <f>IF(ISBLANK('Raw counts'!O34),"",IF(IF('4'!O33="+1",IF('6'!O33&gt;='6'!$V$3,"adv",'4'!O33),'4'!O33)="adv",'3'!O33,0))</f>
        <v/>
      </c>
      <c r="P33" s="19" t="str">
        <f>IF(ISBLANK('Raw counts'!P34),"",IF(IF('4'!P33="+1",IF('6'!P33&gt;='6'!$V$3,"adv",'4'!P33),'4'!P33)="adv",'3'!P33,0))</f>
        <v/>
      </c>
      <c r="Q33" s="19" t="str">
        <f>IF(ISBLANK('Raw counts'!Q34),"",IF(IF('4'!Q33="+1",IF('6'!Q33&gt;='6'!$V$3,"adv",'4'!Q33),'4'!Q33)="adv",'3'!Q33,0))</f>
        <v/>
      </c>
      <c r="R33" s="19" t="str">
        <f>IF(ISBLANK('Raw counts'!R34),"",IF(IF('4'!R33="+1",IF('6'!R33&gt;='6'!$V$3,"adv",'4'!R33),'4'!R33)="adv",'3'!R33,0))</f>
        <v/>
      </c>
      <c r="S33" s="19" t="str">
        <f>IF(ISBLANK('Raw counts'!S34),"",IF(IF('4'!S33="+1",IF('6'!S33&gt;='6'!$V$3,"adv",'4'!S33),'4'!S33)="adv",'3'!S33,0))</f>
        <v/>
      </c>
      <c r="T33" s="19" t="str">
        <f>IF(ISBLANK('Raw counts'!T34),"",IF(IF('4'!T33="+1",IF('6'!T33&gt;='6'!$V$3,"adv",'4'!T33),'4'!T33)="adv",'3'!T33,0))</f>
        <v/>
      </c>
      <c r="U33" s="19" t="str">
        <f>IF(ISBLANK('Raw counts'!U34),"",IF(IF('4'!U33="+1",IF('6'!U33&gt;='6'!$V$3,"adv",'4'!U33),'4'!U33)="adv",'3'!U33,0))</f>
        <v/>
      </c>
      <c r="V33" s="3">
        <f t="shared" si="0"/>
        <v>0</v>
      </c>
    </row>
    <row r="34" spans="1:22" x14ac:dyDescent="0.15">
      <c r="A34" s="18" t="str">
        <f>IF(ISBLANK('Raw counts'!A35),"",'Raw counts'!A35)</f>
        <v>Attr31</v>
      </c>
      <c r="B34" s="19" t="str">
        <f>IF(ISBLANK('Raw counts'!B35),"",IF(IF('4'!B34="+1",IF('6'!B34&gt;='6'!$V$3,"adv",'4'!B34),'4'!B34)="adv",'3'!B34,0))</f>
        <v/>
      </c>
      <c r="C34" s="19" t="str">
        <f>IF(ISBLANK('Raw counts'!C35),"",IF(IF('4'!C34="+1",IF('6'!C34&gt;='6'!$V$3,"adv",'4'!C34),'4'!C34)="adv",'3'!C34,0))</f>
        <v/>
      </c>
      <c r="D34" s="19" t="str">
        <f>IF(ISBLANK('Raw counts'!D35),"",IF(IF('4'!D34="+1",IF('6'!D34&gt;='6'!$V$3,"adv",'4'!D34),'4'!D34)="adv",'3'!D34,0))</f>
        <v/>
      </c>
      <c r="E34" s="19" t="str">
        <f>IF(ISBLANK('Raw counts'!E35),"",IF(IF('4'!E34="+1",IF('6'!E34&gt;='6'!$V$3,"adv",'4'!E34),'4'!E34)="adv",'3'!E34,0))</f>
        <v/>
      </c>
      <c r="F34" s="19" t="str">
        <f>IF(ISBLANK('Raw counts'!F35),"",IF(IF('4'!F34="+1",IF('6'!F34&gt;='6'!$V$3,"adv",'4'!F34),'4'!F34)="adv",'3'!F34,0))</f>
        <v/>
      </c>
      <c r="G34" s="19" t="str">
        <f>IF(ISBLANK('Raw counts'!G35),"",IF(IF('4'!G34="+1",IF('6'!G34&gt;='6'!$V$3,"adv",'4'!G34),'4'!G34)="adv",'3'!G34,0))</f>
        <v/>
      </c>
      <c r="H34" s="19" t="str">
        <f>IF(ISBLANK('Raw counts'!H35),"",IF(IF('4'!H34="+1",IF('6'!H34&gt;='6'!$V$3,"adv",'4'!H34),'4'!H34)="adv",'3'!H34,0))</f>
        <v/>
      </c>
      <c r="I34" s="19" t="str">
        <f>IF(ISBLANK('Raw counts'!I35),"",IF(IF('4'!I34="+1",IF('6'!I34&gt;='6'!$V$3,"adv",'4'!I34),'4'!I34)="adv",'3'!I34,0))</f>
        <v/>
      </c>
      <c r="J34" s="19" t="str">
        <f>IF(ISBLANK('Raw counts'!J35),"",IF(IF('4'!J34="+1",IF('6'!J34&gt;='6'!$V$3,"adv",'4'!J34),'4'!J34)="adv",'3'!J34,0))</f>
        <v/>
      </c>
      <c r="K34" s="19" t="str">
        <f>IF(ISBLANK('Raw counts'!K35),"",IF(IF('4'!K34="+1",IF('6'!K34&gt;='6'!$V$3,"adv",'4'!K34),'4'!K34)="adv",'3'!K34,0))</f>
        <v/>
      </c>
      <c r="L34" s="19" t="str">
        <f>IF(ISBLANK('Raw counts'!L35),"",IF(IF('4'!L34="+1",IF('6'!L34&gt;='6'!$V$3,"adv",'4'!L34),'4'!L34)="adv",'3'!L34,0))</f>
        <v/>
      </c>
      <c r="M34" s="19" t="str">
        <f>IF(ISBLANK('Raw counts'!M35),"",IF(IF('4'!M34="+1",IF('6'!M34&gt;='6'!$V$3,"adv",'4'!M34),'4'!M34)="adv",'3'!M34,0))</f>
        <v/>
      </c>
      <c r="N34" s="19" t="str">
        <f>IF(ISBLANK('Raw counts'!N35),"",IF(IF('4'!N34="+1",IF('6'!N34&gt;='6'!$V$3,"adv",'4'!N34),'4'!N34)="adv",'3'!N34,0))</f>
        <v/>
      </c>
      <c r="O34" s="19" t="str">
        <f>IF(ISBLANK('Raw counts'!O35),"",IF(IF('4'!O34="+1",IF('6'!O34&gt;='6'!$V$3,"adv",'4'!O34),'4'!O34)="adv",'3'!O34,0))</f>
        <v/>
      </c>
      <c r="P34" s="19" t="str">
        <f>IF(ISBLANK('Raw counts'!P35),"",IF(IF('4'!P34="+1",IF('6'!P34&gt;='6'!$V$3,"adv",'4'!P34),'4'!P34)="adv",'3'!P34,0))</f>
        <v/>
      </c>
      <c r="Q34" s="19" t="str">
        <f>IF(ISBLANK('Raw counts'!Q35),"",IF(IF('4'!Q34="+1",IF('6'!Q34&gt;='6'!$V$3,"adv",'4'!Q34),'4'!Q34)="adv",'3'!Q34,0))</f>
        <v/>
      </c>
      <c r="R34" s="19" t="str">
        <f>IF(ISBLANK('Raw counts'!R35),"",IF(IF('4'!R34="+1",IF('6'!R34&gt;='6'!$V$3,"adv",'4'!R34),'4'!R34)="adv",'3'!R34,0))</f>
        <v/>
      </c>
      <c r="S34" s="19" t="str">
        <f>IF(ISBLANK('Raw counts'!S35),"",IF(IF('4'!S34="+1",IF('6'!S34&gt;='6'!$V$3,"adv",'4'!S34),'4'!S34)="adv",'3'!S34,0))</f>
        <v/>
      </c>
      <c r="T34" s="19" t="str">
        <f>IF(ISBLANK('Raw counts'!T35),"",IF(IF('4'!T34="+1",IF('6'!T34&gt;='6'!$V$3,"adv",'4'!T34),'4'!T34)="adv",'3'!T34,0))</f>
        <v/>
      </c>
      <c r="U34" s="19" t="str">
        <f>IF(ISBLANK('Raw counts'!U35),"",IF(IF('4'!U34="+1",IF('6'!U34&gt;='6'!$V$3,"adv",'4'!U34),'4'!U34)="adv",'3'!U34,0))</f>
        <v/>
      </c>
      <c r="V34" s="3">
        <f t="shared" si="0"/>
        <v>0</v>
      </c>
    </row>
    <row r="35" spans="1:22" x14ac:dyDescent="0.15">
      <c r="A35" s="18" t="str">
        <f>IF(ISBLANK('Raw counts'!A36),"",'Raw counts'!A36)</f>
        <v>Attr32</v>
      </c>
      <c r="B35" s="19" t="str">
        <f>IF(ISBLANK('Raw counts'!B36),"",IF(IF('4'!B35="+1",IF('6'!B35&gt;='6'!$V$3,"adv",'4'!B35),'4'!B35)="adv",'3'!B35,0))</f>
        <v/>
      </c>
      <c r="C35" s="19" t="str">
        <f>IF(ISBLANK('Raw counts'!C36),"",IF(IF('4'!C35="+1",IF('6'!C35&gt;='6'!$V$3,"adv",'4'!C35),'4'!C35)="adv",'3'!C35,0))</f>
        <v/>
      </c>
      <c r="D35" s="19" t="str">
        <f>IF(ISBLANK('Raw counts'!D36),"",IF(IF('4'!D35="+1",IF('6'!D35&gt;='6'!$V$3,"adv",'4'!D35),'4'!D35)="adv",'3'!D35,0))</f>
        <v/>
      </c>
      <c r="E35" s="19" t="str">
        <f>IF(ISBLANK('Raw counts'!E36),"",IF(IF('4'!E35="+1",IF('6'!E35&gt;='6'!$V$3,"adv",'4'!E35),'4'!E35)="adv",'3'!E35,0))</f>
        <v/>
      </c>
      <c r="F35" s="19" t="str">
        <f>IF(ISBLANK('Raw counts'!F36),"",IF(IF('4'!F35="+1",IF('6'!F35&gt;='6'!$V$3,"adv",'4'!F35),'4'!F35)="adv",'3'!F35,0))</f>
        <v/>
      </c>
      <c r="G35" s="19" t="str">
        <f>IF(ISBLANK('Raw counts'!G36),"",IF(IF('4'!G35="+1",IF('6'!G35&gt;='6'!$V$3,"adv",'4'!G35),'4'!G35)="adv",'3'!G35,0))</f>
        <v/>
      </c>
      <c r="H35" s="19" t="str">
        <f>IF(ISBLANK('Raw counts'!H36),"",IF(IF('4'!H35="+1",IF('6'!H35&gt;='6'!$V$3,"adv",'4'!H35),'4'!H35)="adv",'3'!H35,0))</f>
        <v/>
      </c>
      <c r="I35" s="19" t="str">
        <f>IF(ISBLANK('Raw counts'!I36),"",IF(IF('4'!I35="+1",IF('6'!I35&gt;='6'!$V$3,"adv",'4'!I35),'4'!I35)="adv",'3'!I35,0))</f>
        <v/>
      </c>
      <c r="J35" s="19" t="str">
        <f>IF(ISBLANK('Raw counts'!J36),"",IF(IF('4'!J35="+1",IF('6'!J35&gt;='6'!$V$3,"adv",'4'!J35),'4'!J35)="adv",'3'!J35,0))</f>
        <v/>
      </c>
      <c r="K35" s="19" t="str">
        <f>IF(ISBLANK('Raw counts'!K36),"",IF(IF('4'!K35="+1",IF('6'!K35&gt;='6'!$V$3,"adv",'4'!K35),'4'!K35)="adv",'3'!K35,0))</f>
        <v/>
      </c>
      <c r="L35" s="19" t="str">
        <f>IF(ISBLANK('Raw counts'!L36),"",IF(IF('4'!L35="+1",IF('6'!L35&gt;='6'!$V$3,"adv",'4'!L35),'4'!L35)="adv",'3'!L35,0))</f>
        <v/>
      </c>
      <c r="M35" s="19" t="str">
        <f>IF(ISBLANK('Raw counts'!M36),"",IF(IF('4'!M35="+1",IF('6'!M35&gt;='6'!$V$3,"adv",'4'!M35),'4'!M35)="adv",'3'!M35,0))</f>
        <v/>
      </c>
      <c r="N35" s="19" t="str">
        <f>IF(ISBLANK('Raw counts'!N36),"",IF(IF('4'!N35="+1",IF('6'!N35&gt;='6'!$V$3,"adv",'4'!N35),'4'!N35)="adv",'3'!N35,0))</f>
        <v/>
      </c>
      <c r="O35" s="19" t="str">
        <f>IF(ISBLANK('Raw counts'!O36),"",IF(IF('4'!O35="+1",IF('6'!O35&gt;='6'!$V$3,"adv",'4'!O35),'4'!O35)="adv",'3'!O35,0))</f>
        <v/>
      </c>
      <c r="P35" s="19" t="str">
        <f>IF(ISBLANK('Raw counts'!P36),"",IF(IF('4'!P35="+1",IF('6'!P35&gt;='6'!$V$3,"adv",'4'!P35),'4'!P35)="adv",'3'!P35,0))</f>
        <v/>
      </c>
      <c r="Q35" s="19" t="str">
        <f>IF(ISBLANK('Raw counts'!Q36),"",IF(IF('4'!Q35="+1",IF('6'!Q35&gt;='6'!$V$3,"adv",'4'!Q35),'4'!Q35)="adv",'3'!Q35,0))</f>
        <v/>
      </c>
      <c r="R35" s="19" t="str">
        <f>IF(ISBLANK('Raw counts'!R36),"",IF(IF('4'!R35="+1",IF('6'!R35&gt;='6'!$V$3,"adv",'4'!R35),'4'!R35)="adv",'3'!R35,0))</f>
        <v/>
      </c>
      <c r="S35" s="19" t="str">
        <f>IF(ISBLANK('Raw counts'!S36),"",IF(IF('4'!S35="+1",IF('6'!S35&gt;='6'!$V$3,"adv",'4'!S35),'4'!S35)="adv",'3'!S35,0))</f>
        <v/>
      </c>
      <c r="T35" s="19" t="str">
        <f>IF(ISBLANK('Raw counts'!T36),"",IF(IF('4'!T35="+1",IF('6'!T35&gt;='6'!$V$3,"adv",'4'!T35),'4'!T35)="adv",'3'!T35,0))</f>
        <v/>
      </c>
      <c r="U35" s="19" t="str">
        <f>IF(ISBLANK('Raw counts'!U36),"",IF(IF('4'!U35="+1",IF('6'!U35&gt;='6'!$V$3,"adv",'4'!U35),'4'!U35)="adv",'3'!U35,0))</f>
        <v/>
      </c>
      <c r="V35" s="3">
        <f t="shared" si="0"/>
        <v>0</v>
      </c>
    </row>
    <row r="36" spans="1:22" x14ac:dyDescent="0.15">
      <c r="A36" s="18" t="str">
        <f>IF(ISBLANK('Raw counts'!A37),"",'Raw counts'!A37)</f>
        <v>Attr33</v>
      </c>
      <c r="B36" s="19" t="str">
        <f>IF(ISBLANK('Raw counts'!B37),"",IF(IF('4'!B36="+1",IF('6'!B36&gt;='6'!$V$3,"adv",'4'!B36),'4'!B36)="adv",'3'!B36,0))</f>
        <v/>
      </c>
      <c r="C36" s="19" t="str">
        <f>IF(ISBLANK('Raw counts'!C37),"",IF(IF('4'!C36="+1",IF('6'!C36&gt;='6'!$V$3,"adv",'4'!C36),'4'!C36)="adv",'3'!C36,0))</f>
        <v/>
      </c>
      <c r="D36" s="19" t="str">
        <f>IF(ISBLANK('Raw counts'!D37),"",IF(IF('4'!D36="+1",IF('6'!D36&gt;='6'!$V$3,"adv",'4'!D36),'4'!D36)="adv",'3'!D36,0))</f>
        <v/>
      </c>
      <c r="E36" s="19" t="str">
        <f>IF(ISBLANK('Raw counts'!E37),"",IF(IF('4'!E36="+1",IF('6'!E36&gt;='6'!$V$3,"adv",'4'!E36),'4'!E36)="adv",'3'!E36,0))</f>
        <v/>
      </c>
      <c r="F36" s="19" t="str">
        <f>IF(ISBLANK('Raw counts'!F37),"",IF(IF('4'!F36="+1",IF('6'!F36&gt;='6'!$V$3,"adv",'4'!F36),'4'!F36)="adv",'3'!F36,0))</f>
        <v/>
      </c>
      <c r="G36" s="19" t="str">
        <f>IF(ISBLANK('Raw counts'!G37),"",IF(IF('4'!G36="+1",IF('6'!G36&gt;='6'!$V$3,"adv",'4'!G36),'4'!G36)="adv",'3'!G36,0))</f>
        <v/>
      </c>
      <c r="H36" s="19" t="str">
        <f>IF(ISBLANK('Raw counts'!H37),"",IF(IF('4'!H36="+1",IF('6'!H36&gt;='6'!$V$3,"adv",'4'!H36),'4'!H36)="adv",'3'!H36,0))</f>
        <v/>
      </c>
      <c r="I36" s="19" t="str">
        <f>IF(ISBLANK('Raw counts'!I37),"",IF(IF('4'!I36="+1",IF('6'!I36&gt;='6'!$V$3,"adv",'4'!I36),'4'!I36)="adv",'3'!I36,0))</f>
        <v/>
      </c>
      <c r="J36" s="19" t="str">
        <f>IF(ISBLANK('Raw counts'!J37),"",IF(IF('4'!J36="+1",IF('6'!J36&gt;='6'!$V$3,"adv",'4'!J36),'4'!J36)="adv",'3'!J36,0))</f>
        <v/>
      </c>
      <c r="K36" s="19" t="str">
        <f>IF(ISBLANK('Raw counts'!K37),"",IF(IF('4'!K36="+1",IF('6'!K36&gt;='6'!$V$3,"adv",'4'!K36),'4'!K36)="adv",'3'!K36,0))</f>
        <v/>
      </c>
      <c r="L36" s="19" t="str">
        <f>IF(ISBLANK('Raw counts'!L37),"",IF(IF('4'!L36="+1",IF('6'!L36&gt;='6'!$V$3,"adv",'4'!L36),'4'!L36)="adv",'3'!L36,0))</f>
        <v/>
      </c>
      <c r="M36" s="19" t="str">
        <f>IF(ISBLANK('Raw counts'!M37),"",IF(IF('4'!M36="+1",IF('6'!M36&gt;='6'!$V$3,"adv",'4'!M36),'4'!M36)="adv",'3'!M36,0))</f>
        <v/>
      </c>
      <c r="N36" s="19" t="str">
        <f>IF(ISBLANK('Raw counts'!N37),"",IF(IF('4'!N36="+1",IF('6'!N36&gt;='6'!$V$3,"adv",'4'!N36),'4'!N36)="adv",'3'!N36,0))</f>
        <v/>
      </c>
      <c r="O36" s="19" t="str">
        <f>IF(ISBLANK('Raw counts'!O37),"",IF(IF('4'!O36="+1",IF('6'!O36&gt;='6'!$V$3,"adv",'4'!O36),'4'!O36)="adv",'3'!O36,0))</f>
        <v/>
      </c>
      <c r="P36" s="19" t="str">
        <f>IF(ISBLANK('Raw counts'!P37),"",IF(IF('4'!P36="+1",IF('6'!P36&gt;='6'!$V$3,"adv",'4'!P36),'4'!P36)="adv",'3'!P36,0))</f>
        <v/>
      </c>
      <c r="Q36" s="19" t="str">
        <f>IF(ISBLANK('Raw counts'!Q37),"",IF(IF('4'!Q36="+1",IF('6'!Q36&gt;='6'!$V$3,"adv",'4'!Q36),'4'!Q36)="adv",'3'!Q36,0))</f>
        <v/>
      </c>
      <c r="R36" s="19" t="str">
        <f>IF(ISBLANK('Raw counts'!R37),"",IF(IF('4'!R36="+1",IF('6'!R36&gt;='6'!$V$3,"adv",'4'!R36),'4'!R36)="adv",'3'!R36,0))</f>
        <v/>
      </c>
      <c r="S36" s="19" t="str">
        <f>IF(ISBLANK('Raw counts'!S37),"",IF(IF('4'!S36="+1",IF('6'!S36&gt;='6'!$V$3,"adv",'4'!S36),'4'!S36)="adv",'3'!S36,0))</f>
        <v/>
      </c>
      <c r="T36" s="19" t="str">
        <f>IF(ISBLANK('Raw counts'!T37),"",IF(IF('4'!T36="+1",IF('6'!T36&gt;='6'!$V$3,"adv",'4'!T36),'4'!T36)="adv",'3'!T36,0))</f>
        <v/>
      </c>
      <c r="U36" s="19" t="str">
        <f>IF(ISBLANK('Raw counts'!U37),"",IF(IF('4'!U36="+1",IF('6'!U36&gt;='6'!$V$3,"adv",'4'!U36),'4'!U36)="adv",'3'!U36,0))</f>
        <v/>
      </c>
      <c r="V36" s="3">
        <f t="shared" si="0"/>
        <v>0</v>
      </c>
    </row>
    <row r="37" spans="1:22" x14ac:dyDescent="0.15">
      <c r="A37" s="18" t="str">
        <f>IF(ISBLANK('Raw counts'!A38),"",'Raw counts'!A38)</f>
        <v>Attr34</v>
      </c>
      <c r="B37" s="19" t="str">
        <f>IF(ISBLANK('Raw counts'!B38),"",IF(IF('4'!B37="+1",IF('6'!B37&gt;='6'!$V$3,"adv",'4'!B37),'4'!B37)="adv",'3'!B37,0))</f>
        <v/>
      </c>
      <c r="C37" s="19" t="str">
        <f>IF(ISBLANK('Raw counts'!C38),"",IF(IF('4'!C37="+1",IF('6'!C37&gt;='6'!$V$3,"adv",'4'!C37),'4'!C37)="adv",'3'!C37,0))</f>
        <v/>
      </c>
      <c r="D37" s="19" t="str">
        <f>IF(ISBLANK('Raw counts'!D38),"",IF(IF('4'!D37="+1",IF('6'!D37&gt;='6'!$V$3,"adv",'4'!D37),'4'!D37)="adv",'3'!D37,0))</f>
        <v/>
      </c>
      <c r="E37" s="19" t="str">
        <f>IF(ISBLANK('Raw counts'!E38),"",IF(IF('4'!E37="+1",IF('6'!E37&gt;='6'!$V$3,"adv",'4'!E37),'4'!E37)="adv",'3'!E37,0))</f>
        <v/>
      </c>
      <c r="F37" s="19" t="str">
        <f>IF(ISBLANK('Raw counts'!F38),"",IF(IF('4'!F37="+1",IF('6'!F37&gt;='6'!$V$3,"adv",'4'!F37),'4'!F37)="adv",'3'!F37,0))</f>
        <v/>
      </c>
      <c r="G37" s="19" t="str">
        <f>IF(ISBLANK('Raw counts'!G38),"",IF(IF('4'!G37="+1",IF('6'!G37&gt;='6'!$V$3,"adv",'4'!G37),'4'!G37)="adv",'3'!G37,0))</f>
        <v/>
      </c>
      <c r="H37" s="19" t="str">
        <f>IF(ISBLANK('Raw counts'!H38),"",IF(IF('4'!H37="+1",IF('6'!H37&gt;='6'!$V$3,"adv",'4'!H37),'4'!H37)="adv",'3'!H37,0))</f>
        <v/>
      </c>
      <c r="I37" s="19" t="str">
        <f>IF(ISBLANK('Raw counts'!I38),"",IF(IF('4'!I37="+1",IF('6'!I37&gt;='6'!$V$3,"adv",'4'!I37),'4'!I37)="adv",'3'!I37,0))</f>
        <v/>
      </c>
      <c r="J37" s="19" t="str">
        <f>IF(ISBLANK('Raw counts'!J38),"",IF(IF('4'!J37="+1",IF('6'!J37&gt;='6'!$V$3,"adv",'4'!J37),'4'!J37)="adv",'3'!J37,0))</f>
        <v/>
      </c>
      <c r="K37" s="19" t="str">
        <f>IF(ISBLANK('Raw counts'!K38),"",IF(IF('4'!K37="+1",IF('6'!K37&gt;='6'!$V$3,"adv",'4'!K37),'4'!K37)="adv",'3'!K37,0))</f>
        <v/>
      </c>
      <c r="L37" s="19" t="str">
        <f>IF(ISBLANK('Raw counts'!L38),"",IF(IF('4'!L37="+1",IF('6'!L37&gt;='6'!$V$3,"adv",'4'!L37),'4'!L37)="adv",'3'!L37,0))</f>
        <v/>
      </c>
      <c r="M37" s="19" t="str">
        <f>IF(ISBLANK('Raw counts'!M38),"",IF(IF('4'!M37="+1",IF('6'!M37&gt;='6'!$V$3,"adv",'4'!M37),'4'!M37)="adv",'3'!M37,0))</f>
        <v/>
      </c>
      <c r="N37" s="19" t="str">
        <f>IF(ISBLANK('Raw counts'!N38),"",IF(IF('4'!N37="+1",IF('6'!N37&gt;='6'!$V$3,"adv",'4'!N37),'4'!N37)="adv",'3'!N37,0))</f>
        <v/>
      </c>
      <c r="O37" s="19" t="str">
        <f>IF(ISBLANK('Raw counts'!O38),"",IF(IF('4'!O37="+1",IF('6'!O37&gt;='6'!$V$3,"adv",'4'!O37),'4'!O37)="adv",'3'!O37,0))</f>
        <v/>
      </c>
      <c r="P37" s="19" t="str">
        <f>IF(ISBLANK('Raw counts'!P38),"",IF(IF('4'!P37="+1",IF('6'!P37&gt;='6'!$V$3,"adv",'4'!P37),'4'!P37)="adv",'3'!P37,0))</f>
        <v/>
      </c>
      <c r="Q37" s="19" t="str">
        <f>IF(ISBLANK('Raw counts'!Q38),"",IF(IF('4'!Q37="+1",IF('6'!Q37&gt;='6'!$V$3,"adv",'4'!Q37),'4'!Q37)="adv",'3'!Q37,0))</f>
        <v/>
      </c>
      <c r="R37" s="19" t="str">
        <f>IF(ISBLANK('Raw counts'!R38),"",IF(IF('4'!R37="+1",IF('6'!R37&gt;='6'!$V$3,"adv",'4'!R37),'4'!R37)="adv",'3'!R37,0))</f>
        <v/>
      </c>
      <c r="S37" s="19" t="str">
        <f>IF(ISBLANK('Raw counts'!S38),"",IF(IF('4'!S37="+1",IF('6'!S37&gt;='6'!$V$3,"adv",'4'!S37),'4'!S37)="adv",'3'!S37,0))</f>
        <v/>
      </c>
      <c r="T37" s="19" t="str">
        <f>IF(ISBLANK('Raw counts'!T38),"",IF(IF('4'!T37="+1",IF('6'!T37&gt;='6'!$V$3,"adv",'4'!T37),'4'!T37)="adv",'3'!T37,0))</f>
        <v/>
      </c>
      <c r="U37" s="19" t="str">
        <f>IF(ISBLANK('Raw counts'!U38),"",IF(IF('4'!U37="+1",IF('6'!U37&gt;='6'!$V$3,"adv",'4'!U37),'4'!U37)="adv",'3'!U37,0))</f>
        <v/>
      </c>
      <c r="V37" s="3">
        <f t="shared" si="0"/>
        <v>0</v>
      </c>
    </row>
    <row r="38" spans="1:22" x14ac:dyDescent="0.15">
      <c r="A38" s="18" t="str">
        <f>IF(ISBLANK('Raw counts'!A39),"",'Raw counts'!A39)</f>
        <v>Attr35</v>
      </c>
      <c r="B38" s="19" t="str">
        <f>IF(ISBLANK('Raw counts'!B39),"",IF(IF('4'!B38="+1",IF('6'!B38&gt;='6'!$V$3,"adv",'4'!B38),'4'!B38)="adv",'3'!B38,0))</f>
        <v/>
      </c>
      <c r="C38" s="19" t="str">
        <f>IF(ISBLANK('Raw counts'!C39),"",IF(IF('4'!C38="+1",IF('6'!C38&gt;='6'!$V$3,"adv",'4'!C38),'4'!C38)="adv",'3'!C38,0))</f>
        <v/>
      </c>
      <c r="D38" s="19" t="str">
        <f>IF(ISBLANK('Raw counts'!D39),"",IF(IF('4'!D38="+1",IF('6'!D38&gt;='6'!$V$3,"adv",'4'!D38),'4'!D38)="adv",'3'!D38,0))</f>
        <v/>
      </c>
      <c r="E38" s="19" t="str">
        <f>IF(ISBLANK('Raw counts'!E39),"",IF(IF('4'!E38="+1",IF('6'!E38&gt;='6'!$V$3,"adv",'4'!E38),'4'!E38)="adv",'3'!E38,0))</f>
        <v/>
      </c>
      <c r="F38" s="19" t="str">
        <f>IF(ISBLANK('Raw counts'!F39),"",IF(IF('4'!F38="+1",IF('6'!F38&gt;='6'!$V$3,"adv",'4'!F38),'4'!F38)="adv",'3'!F38,0))</f>
        <v/>
      </c>
      <c r="G38" s="19" t="str">
        <f>IF(ISBLANK('Raw counts'!G39),"",IF(IF('4'!G38="+1",IF('6'!G38&gt;='6'!$V$3,"adv",'4'!G38),'4'!G38)="adv",'3'!G38,0))</f>
        <v/>
      </c>
      <c r="H38" s="19" t="str">
        <f>IF(ISBLANK('Raw counts'!H39),"",IF(IF('4'!H38="+1",IF('6'!H38&gt;='6'!$V$3,"adv",'4'!H38),'4'!H38)="adv",'3'!H38,0))</f>
        <v/>
      </c>
      <c r="I38" s="19" t="str">
        <f>IF(ISBLANK('Raw counts'!I39),"",IF(IF('4'!I38="+1",IF('6'!I38&gt;='6'!$V$3,"adv",'4'!I38),'4'!I38)="adv",'3'!I38,0))</f>
        <v/>
      </c>
      <c r="J38" s="19" t="str">
        <f>IF(ISBLANK('Raw counts'!J39),"",IF(IF('4'!J38="+1",IF('6'!J38&gt;='6'!$V$3,"adv",'4'!J38),'4'!J38)="adv",'3'!J38,0))</f>
        <v/>
      </c>
      <c r="K38" s="19" t="str">
        <f>IF(ISBLANK('Raw counts'!K39),"",IF(IF('4'!K38="+1",IF('6'!K38&gt;='6'!$V$3,"adv",'4'!K38),'4'!K38)="adv",'3'!K38,0))</f>
        <v/>
      </c>
      <c r="L38" s="19" t="str">
        <f>IF(ISBLANK('Raw counts'!L39),"",IF(IF('4'!L38="+1",IF('6'!L38&gt;='6'!$V$3,"adv",'4'!L38),'4'!L38)="adv",'3'!L38,0))</f>
        <v/>
      </c>
      <c r="M38" s="19" t="str">
        <f>IF(ISBLANK('Raw counts'!M39),"",IF(IF('4'!M38="+1",IF('6'!M38&gt;='6'!$V$3,"adv",'4'!M38),'4'!M38)="adv",'3'!M38,0))</f>
        <v/>
      </c>
      <c r="N38" s="19" t="str">
        <f>IF(ISBLANK('Raw counts'!N39),"",IF(IF('4'!N38="+1",IF('6'!N38&gt;='6'!$V$3,"adv",'4'!N38),'4'!N38)="adv",'3'!N38,0))</f>
        <v/>
      </c>
      <c r="O38" s="19" t="str">
        <f>IF(ISBLANK('Raw counts'!O39),"",IF(IF('4'!O38="+1",IF('6'!O38&gt;='6'!$V$3,"adv",'4'!O38),'4'!O38)="adv",'3'!O38,0))</f>
        <v/>
      </c>
      <c r="P38" s="19" t="str">
        <f>IF(ISBLANK('Raw counts'!P39),"",IF(IF('4'!P38="+1",IF('6'!P38&gt;='6'!$V$3,"adv",'4'!P38),'4'!P38)="adv",'3'!P38,0))</f>
        <v/>
      </c>
      <c r="Q38" s="19" t="str">
        <f>IF(ISBLANK('Raw counts'!Q39),"",IF(IF('4'!Q38="+1",IF('6'!Q38&gt;='6'!$V$3,"adv",'4'!Q38),'4'!Q38)="adv",'3'!Q38,0))</f>
        <v/>
      </c>
      <c r="R38" s="19" t="str">
        <f>IF(ISBLANK('Raw counts'!R39),"",IF(IF('4'!R38="+1",IF('6'!R38&gt;='6'!$V$3,"adv",'4'!R38),'4'!R38)="adv",'3'!R38,0))</f>
        <v/>
      </c>
      <c r="S38" s="19" t="str">
        <f>IF(ISBLANK('Raw counts'!S39),"",IF(IF('4'!S38="+1",IF('6'!S38&gt;='6'!$V$3,"adv",'4'!S38),'4'!S38)="adv",'3'!S38,0))</f>
        <v/>
      </c>
      <c r="T38" s="19" t="str">
        <f>IF(ISBLANK('Raw counts'!T39),"",IF(IF('4'!T38="+1",IF('6'!T38&gt;='6'!$V$3,"adv",'4'!T38),'4'!T38)="adv",'3'!T38,0))</f>
        <v/>
      </c>
      <c r="U38" s="19" t="str">
        <f>IF(ISBLANK('Raw counts'!U39),"",IF(IF('4'!U38="+1",IF('6'!U38&gt;='6'!$V$3,"adv",'4'!U38),'4'!U38)="adv",'3'!U38,0))</f>
        <v/>
      </c>
      <c r="V38" s="3">
        <f t="shared" si="0"/>
        <v>0</v>
      </c>
    </row>
    <row r="39" spans="1:22" x14ac:dyDescent="0.15">
      <c r="A39" s="18" t="str">
        <f>IF(ISBLANK('Raw counts'!A40),"",'Raw counts'!A40)</f>
        <v>Attr36</v>
      </c>
      <c r="B39" s="19" t="str">
        <f>IF(ISBLANK('Raw counts'!B40),"",IF(IF('4'!B39="+1",IF('6'!B39&gt;='6'!$V$3,"adv",'4'!B39),'4'!B39)="adv",'3'!B39,0))</f>
        <v/>
      </c>
      <c r="C39" s="19" t="str">
        <f>IF(ISBLANK('Raw counts'!C40),"",IF(IF('4'!C39="+1",IF('6'!C39&gt;='6'!$V$3,"adv",'4'!C39),'4'!C39)="adv",'3'!C39,0))</f>
        <v/>
      </c>
      <c r="D39" s="19" t="str">
        <f>IF(ISBLANK('Raw counts'!D40),"",IF(IF('4'!D39="+1",IF('6'!D39&gt;='6'!$V$3,"adv",'4'!D39),'4'!D39)="adv",'3'!D39,0))</f>
        <v/>
      </c>
      <c r="E39" s="19" t="str">
        <f>IF(ISBLANK('Raw counts'!E40),"",IF(IF('4'!E39="+1",IF('6'!E39&gt;='6'!$V$3,"adv",'4'!E39),'4'!E39)="adv",'3'!E39,0))</f>
        <v/>
      </c>
      <c r="F39" s="19" t="str">
        <f>IF(ISBLANK('Raw counts'!F40),"",IF(IF('4'!F39="+1",IF('6'!F39&gt;='6'!$V$3,"adv",'4'!F39),'4'!F39)="adv",'3'!F39,0))</f>
        <v/>
      </c>
      <c r="G39" s="19" t="str">
        <f>IF(ISBLANK('Raw counts'!G40),"",IF(IF('4'!G39="+1",IF('6'!G39&gt;='6'!$V$3,"adv",'4'!G39),'4'!G39)="adv",'3'!G39,0))</f>
        <v/>
      </c>
      <c r="H39" s="19" t="str">
        <f>IF(ISBLANK('Raw counts'!H40),"",IF(IF('4'!H39="+1",IF('6'!H39&gt;='6'!$V$3,"adv",'4'!H39),'4'!H39)="adv",'3'!H39,0))</f>
        <v/>
      </c>
      <c r="I39" s="19" t="str">
        <f>IF(ISBLANK('Raw counts'!I40),"",IF(IF('4'!I39="+1",IF('6'!I39&gt;='6'!$V$3,"adv",'4'!I39),'4'!I39)="adv",'3'!I39,0))</f>
        <v/>
      </c>
      <c r="J39" s="19" t="str">
        <f>IF(ISBLANK('Raw counts'!J40),"",IF(IF('4'!J39="+1",IF('6'!J39&gt;='6'!$V$3,"adv",'4'!J39),'4'!J39)="adv",'3'!J39,0))</f>
        <v/>
      </c>
      <c r="K39" s="19" t="str">
        <f>IF(ISBLANK('Raw counts'!K40),"",IF(IF('4'!K39="+1",IF('6'!K39&gt;='6'!$V$3,"adv",'4'!K39),'4'!K39)="adv",'3'!K39,0))</f>
        <v/>
      </c>
      <c r="L39" s="19" t="str">
        <f>IF(ISBLANK('Raw counts'!L40),"",IF(IF('4'!L39="+1",IF('6'!L39&gt;='6'!$V$3,"adv",'4'!L39),'4'!L39)="adv",'3'!L39,0))</f>
        <v/>
      </c>
      <c r="M39" s="19" t="str">
        <f>IF(ISBLANK('Raw counts'!M40),"",IF(IF('4'!M39="+1",IF('6'!M39&gt;='6'!$V$3,"adv",'4'!M39),'4'!M39)="adv",'3'!M39,0))</f>
        <v/>
      </c>
      <c r="N39" s="19" t="str">
        <f>IF(ISBLANK('Raw counts'!N40),"",IF(IF('4'!N39="+1",IF('6'!N39&gt;='6'!$V$3,"adv",'4'!N39),'4'!N39)="adv",'3'!N39,0))</f>
        <v/>
      </c>
      <c r="O39" s="19" t="str">
        <f>IF(ISBLANK('Raw counts'!O40),"",IF(IF('4'!O39="+1",IF('6'!O39&gt;='6'!$V$3,"adv",'4'!O39),'4'!O39)="adv",'3'!O39,0))</f>
        <v/>
      </c>
      <c r="P39" s="19" t="str">
        <f>IF(ISBLANK('Raw counts'!P40),"",IF(IF('4'!P39="+1",IF('6'!P39&gt;='6'!$V$3,"adv",'4'!P39),'4'!P39)="adv",'3'!P39,0))</f>
        <v/>
      </c>
      <c r="Q39" s="19" t="str">
        <f>IF(ISBLANK('Raw counts'!Q40),"",IF(IF('4'!Q39="+1",IF('6'!Q39&gt;='6'!$V$3,"adv",'4'!Q39),'4'!Q39)="adv",'3'!Q39,0))</f>
        <v/>
      </c>
      <c r="R39" s="19" t="str">
        <f>IF(ISBLANK('Raw counts'!R40),"",IF(IF('4'!R39="+1",IF('6'!R39&gt;='6'!$V$3,"adv",'4'!R39),'4'!R39)="adv",'3'!R39,0))</f>
        <v/>
      </c>
      <c r="S39" s="19" t="str">
        <f>IF(ISBLANK('Raw counts'!S40),"",IF(IF('4'!S39="+1",IF('6'!S39&gt;='6'!$V$3,"adv",'4'!S39),'4'!S39)="adv",'3'!S39,0))</f>
        <v/>
      </c>
      <c r="T39" s="19" t="str">
        <f>IF(ISBLANK('Raw counts'!T40),"",IF(IF('4'!T39="+1",IF('6'!T39&gt;='6'!$V$3,"adv",'4'!T39),'4'!T39)="adv",'3'!T39,0))</f>
        <v/>
      </c>
      <c r="U39" s="19" t="str">
        <f>IF(ISBLANK('Raw counts'!U40),"",IF(IF('4'!U39="+1",IF('6'!U39&gt;='6'!$V$3,"adv",'4'!U39),'4'!U39)="adv",'3'!U39,0))</f>
        <v/>
      </c>
      <c r="V39" s="3">
        <f t="shared" si="0"/>
        <v>0</v>
      </c>
    </row>
    <row r="40" spans="1:22" x14ac:dyDescent="0.15">
      <c r="A40" s="18" t="str">
        <f>IF(ISBLANK('Raw counts'!A41),"",'Raw counts'!A41)</f>
        <v>Attr37</v>
      </c>
      <c r="B40" s="19" t="str">
        <f>IF(ISBLANK('Raw counts'!B41),"",IF(IF('4'!B40="+1",IF('6'!B40&gt;='6'!$V$3,"adv",'4'!B40),'4'!B40)="adv",'3'!B40,0))</f>
        <v/>
      </c>
      <c r="C40" s="19" t="str">
        <f>IF(ISBLANK('Raw counts'!C41),"",IF(IF('4'!C40="+1",IF('6'!C40&gt;='6'!$V$3,"adv",'4'!C40),'4'!C40)="adv",'3'!C40,0))</f>
        <v/>
      </c>
      <c r="D40" s="19" t="str">
        <f>IF(ISBLANK('Raw counts'!D41),"",IF(IF('4'!D40="+1",IF('6'!D40&gt;='6'!$V$3,"adv",'4'!D40),'4'!D40)="adv",'3'!D40,0))</f>
        <v/>
      </c>
      <c r="E40" s="19" t="str">
        <f>IF(ISBLANK('Raw counts'!E41),"",IF(IF('4'!E40="+1",IF('6'!E40&gt;='6'!$V$3,"adv",'4'!E40),'4'!E40)="adv",'3'!E40,0))</f>
        <v/>
      </c>
      <c r="F40" s="19" t="str">
        <f>IF(ISBLANK('Raw counts'!F41),"",IF(IF('4'!F40="+1",IF('6'!F40&gt;='6'!$V$3,"adv",'4'!F40),'4'!F40)="adv",'3'!F40,0))</f>
        <v/>
      </c>
      <c r="G40" s="19" t="str">
        <f>IF(ISBLANK('Raw counts'!G41),"",IF(IF('4'!G40="+1",IF('6'!G40&gt;='6'!$V$3,"adv",'4'!G40),'4'!G40)="adv",'3'!G40,0))</f>
        <v/>
      </c>
      <c r="H40" s="19" t="str">
        <f>IF(ISBLANK('Raw counts'!H41),"",IF(IF('4'!H40="+1",IF('6'!H40&gt;='6'!$V$3,"adv",'4'!H40),'4'!H40)="adv",'3'!H40,0))</f>
        <v/>
      </c>
      <c r="I40" s="19" t="str">
        <f>IF(ISBLANK('Raw counts'!I41),"",IF(IF('4'!I40="+1",IF('6'!I40&gt;='6'!$V$3,"adv",'4'!I40),'4'!I40)="adv",'3'!I40,0))</f>
        <v/>
      </c>
      <c r="J40" s="19" t="str">
        <f>IF(ISBLANK('Raw counts'!J41),"",IF(IF('4'!J40="+1",IF('6'!J40&gt;='6'!$V$3,"adv",'4'!J40),'4'!J40)="adv",'3'!J40,0))</f>
        <v/>
      </c>
      <c r="K40" s="19" t="str">
        <f>IF(ISBLANK('Raw counts'!K41),"",IF(IF('4'!K40="+1",IF('6'!K40&gt;='6'!$V$3,"adv",'4'!K40),'4'!K40)="adv",'3'!K40,0))</f>
        <v/>
      </c>
      <c r="L40" s="19" t="str">
        <f>IF(ISBLANK('Raw counts'!L41),"",IF(IF('4'!L40="+1",IF('6'!L40&gt;='6'!$V$3,"adv",'4'!L40),'4'!L40)="adv",'3'!L40,0))</f>
        <v/>
      </c>
      <c r="M40" s="19" t="str">
        <f>IF(ISBLANK('Raw counts'!M41),"",IF(IF('4'!M40="+1",IF('6'!M40&gt;='6'!$V$3,"adv",'4'!M40),'4'!M40)="adv",'3'!M40,0))</f>
        <v/>
      </c>
      <c r="N40" s="19" t="str">
        <f>IF(ISBLANK('Raw counts'!N41),"",IF(IF('4'!N40="+1",IF('6'!N40&gt;='6'!$V$3,"adv",'4'!N40),'4'!N40)="adv",'3'!N40,0))</f>
        <v/>
      </c>
      <c r="O40" s="19" t="str">
        <f>IF(ISBLANK('Raw counts'!O41),"",IF(IF('4'!O40="+1",IF('6'!O40&gt;='6'!$V$3,"adv",'4'!O40),'4'!O40)="adv",'3'!O40,0))</f>
        <v/>
      </c>
      <c r="P40" s="19" t="str">
        <f>IF(ISBLANK('Raw counts'!P41),"",IF(IF('4'!P40="+1",IF('6'!P40&gt;='6'!$V$3,"adv",'4'!P40),'4'!P40)="adv",'3'!P40,0))</f>
        <v/>
      </c>
      <c r="Q40" s="19" t="str">
        <f>IF(ISBLANK('Raw counts'!Q41),"",IF(IF('4'!Q40="+1",IF('6'!Q40&gt;='6'!$V$3,"adv",'4'!Q40),'4'!Q40)="adv",'3'!Q40,0))</f>
        <v/>
      </c>
      <c r="R40" s="19" t="str">
        <f>IF(ISBLANK('Raw counts'!R41),"",IF(IF('4'!R40="+1",IF('6'!R40&gt;='6'!$V$3,"adv",'4'!R40),'4'!R40)="adv",'3'!R40,0))</f>
        <v/>
      </c>
      <c r="S40" s="19" t="str">
        <f>IF(ISBLANK('Raw counts'!S41),"",IF(IF('4'!S40="+1",IF('6'!S40&gt;='6'!$V$3,"adv",'4'!S40),'4'!S40)="adv",'3'!S40,0))</f>
        <v/>
      </c>
      <c r="T40" s="19" t="str">
        <f>IF(ISBLANK('Raw counts'!T41),"",IF(IF('4'!T40="+1",IF('6'!T40&gt;='6'!$V$3,"adv",'4'!T40),'4'!T40)="adv",'3'!T40,0))</f>
        <v/>
      </c>
      <c r="U40" s="19" t="str">
        <f>IF(ISBLANK('Raw counts'!U41),"",IF(IF('4'!U40="+1",IF('6'!U40&gt;='6'!$V$3,"adv",'4'!U40),'4'!U40)="adv",'3'!U40,0))</f>
        <v/>
      </c>
      <c r="V40" s="3">
        <f t="shared" si="0"/>
        <v>0</v>
      </c>
    </row>
    <row r="41" spans="1:22" x14ac:dyDescent="0.15">
      <c r="A41" s="18" t="str">
        <f>IF(ISBLANK('Raw counts'!A42),"",'Raw counts'!A42)</f>
        <v>Attr38</v>
      </c>
      <c r="B41" s="19" t="str">
        <f>IF(ISBLANK('Raw counts'!B42),"",IF(IF('4'!B41="+1",IF('6'!B41&gt;='6'!$V$3,"adv",'4'!B41),'4'!B41)="adv",'3'!B41,0))</f>
        <v/>
      </c>
      <c r="C41" s="19" t="str">
        <f>IF(ISBLANK('Raw counts'!C42),"",IF(IF('4'!C41="+1",IF('6'!C41&gt;='6'!$V$3,"adv",'4'!C41),'4'!C41)="adv",'3'!C41,0))</f>
        <v/>
      </c>
      <c r="D41" s="19" t="str">
        <f>IF(ISBLANK('Raw counts'!D42),"",IF(IF('4'!D41="+1",IF('6'!D41&gt;='6'!$V$3,"adv",'4'!D41),'4'!D41)="adv",'3'!D41,0))</f>
        <v/>
      </c>
      <c r="E41" s="19" t="str">
        <f>IF(ISBLANK('Raw counts'!E42),"",IF(IF('4'!E41="+1",IF('6'!E41&gt;='6'!$V$3,"adv",'4'!E41),'4'!E41)="adv",'3'!E41,0))</f>
        <v/>
      </c>
      <c r="F41" s="19" t="str">
        <f>IF(ISBLANK('Raw counts'!F42),"",IF(IF('4'!F41="+1",IF('6'!F41&gt;='6'!$V$3,"adv",'4'!F41),'4'!F41)="adv",'3'!F41,0))</f>
        <v/>
      </c>
      <c r="G41" s="19" t="str">
        <f>IF(ISBLANK('Raw counts'!G42),"",IF(IF('4'!G41="+1",IF('6'!G41&gt;='6'!$V$3,"adv",'4'!G41),'4'!G41)="adv",'3'!G41,0))</f>
        <v/>
      </c>
      <c r="H41" s="19" t="str">
        <f>IF(ISBLANK('Raw counts'!H42),"",IF(IF('4'!H41="+1",IF('6'!H41&gt;='6'!$V$3,"adv",'4'!H41),'4'!H41)="adv",'3'!H41,0))</f>
        <v/>
      </c>
      <c r="I41" s="19" t="str">
        <f>IF(ISBLANK('Raw counts'!I42),"",IF(IF('4'!I41="+1",IF('6'!I41&gt;='6'!$V$3,"adv",'4'!I41),'4'!I41)="adv",'3'!I41,0))</f>
        <v/>
      </c>
      <c r="J41" s="19" t="str">
        <f>IF(ISBLANK('Raw counts'!J42),"",IF(IF('4'!J41="+1",IF('6'!J41&gt;='6'!$V$3,"adv",'4'!J41),'4'!J41)="adv",'3'!J41,0))</f>
        <v/>
      </c>
      <c r="K41" s="19" t="str">
        <f>IF(ISBLANK('Raw counts'!K42),"",IF(IF('4'!K41="+1",IF('6'!K41&gt;='6'!$V$3,"adv",'4'!K41),'4'!K41)="adv",'3'!K41,0))</f>
        <v/>
      </c>
      <c r="L41" s="19" t="str">
        <f>IF(ISBLANK('Raw counts'!L42),"",IF(IF('4'!L41="+1",IF('6'!L41&gt;='6'!$V$3,"adv",'4'!L41),'4'!L41)="adv",'3'!L41,0))</f>
        <v/>
      </c>
      <c r="M41" s="19" t="str">
        <f>IF(ISBLANK('Raw counts'!M42),"",IF(IF('4'!M41="+1",IF('6'!M41&gt;='6'!$V$3,"adv",'4'!M41),'4'!M41)="adv",'3'!M41,0))</f>
        <v/>
      </c>
      <c r="N41" s="19" t="str">
        <f>IF(ISBLANK('Raw counts'!N42),"",IF(IF('4'!N41="+1",IF('6'!N41&gt;='6'!$V$3,"adv",'4'!N41),'4'!N41)="adv",'3'!N41,0))</f>
        <v/>
      </c>
      <c r="O41" s="19" t="str">
        <f>IF(ISBLANK('Raw counts'!O42),"",IF(IF('4'!O41="+1",IF('6'!O41&gt;='6'!$V$3,"adv",'4'!O41),'4'!O41)="adv",'3'!O41,0))</f>
        <v/>
      </c>
      <c r="P41" s="19" t="str">
        <f>IF(ISBLANK('Raw counts'!P42),"",IF(IF('4'!P41="+1",IF('6'!P41&gt;='6'!$V$3,"adv",'4'!P41),'4'!P41)="adv",'3'!P41,0))</f>
        <v/>
      </c>
      <c r="Q41" s="19" t="str">
        <f>IF(ISBLANK('Raw counts'!Q42),"",IF(IF('4'!Q41="+1",IF('6'!Q41&gt;='6'!$V$3,"adv",'4'!Q41),'4'!Q41)="adv",'3'!Q41,0))</f>
        <v/>
      </c>
      <c r="R41" s="19" t="str">
        <f>IF(ISBLANK('Raw counts'!R42),"",IF(IF('4'!R41="+1",IF('6'!R41&gt;='6'!$V$3,"adv",'4'!R41),'4'!R41)="adv",'3'!R41,0))</f>
        <v/>
      </c>
      <c r="S41" s="19" t="str">
        <f>IF(ISBLANK('Raw counts'!S42),"",IF(IF('4'!S41="+1",IF('6'!S41&gt;='6'!$V$3,"adv",'4'!S41),'4'!S41)="adv",'3'!S41,0))</f>
        <v/>
      </c>
      <c r="T41" s="19" t="str">
        <f>IF(ISBLANK('Raw counts'!T42),"",IF(IF('4'!T41="+1",IF('6'!T41&gt;='6'!$V$3,"adv",'4'!T41),'4'!T41)="adv",'3'!T41,0))</f>
        <v/>
      </c>
      <c r="U41" s="19" t="str">
        <f>IF(ISBLANK('Raw counts'!U42),"",IF(IF('4'!U41="+1",IF('6'!U41&gt;='6'!$V$3,"adv",'4'!U41),'4'!U41)="adv",'3'!U41,0))</f>
        <v/>
      </c>
      <c r="V41" s="3">
        <f t="shared" si="0"/>
        <v>0</v>
      </c>
    </row>
    <row r="42" spans="1:22" x14ac:dyDescent="0.15">
      <c r="A42" s="18" t="str">
        <f>IF(ISBLANK('Raw counts'!A43),"",'Raw counts'!A43)</f>
        <v>Attr39</v>
      </c>
      <c r="B42" s="19" t="str">
        <f>IF(ISBLANK('Raw counts'!B43),"",IF(IF('4'!B42="+1",IF('6'!B42&gt;='6'!$V$3,"adv",'4'!B42),'4'!B42)="adv",'3'!B42,0))</f>
        <v/>
      </c>
      <c r="C42" s="19" t="str">
        <f>IF(ISBLANK('Raw counts'!C43),"",IF(IF('4'!C42="+1",IF('6'!C42&gt;='6'!$V$3,"adv",'4'!C42),'4'!C42)="adv",'3'!C42,0))</f>
        <v/>
      </c>
      <c r="D42" s="19" t="str">
        <f>IF(ISBLANK('Raw counts'!D43),"",IF(IF('4'!D42="+1",IF('6'!D42&gt;='6'!$V$3,"adv",'4'!D42),'4'!D42)="adv",'3'!D42,0))</f>
        <v/>
      </c>
      <c r="E42" s="19" t="str">
        <f>IF(ISBLANK('Raw counts'!E43),"",IF(IF('4'!E42="+1",IF('6'!E42&gt;='6'!$V$3,"adv",'4'!E42),'4'!E42)="adv",'3'!E42,0))</f>
        <v/>
      </c>
      <c r="F42" s="19" t="str">
        <f>IF(ISBLANK('Raw counts'!F43),"",IF(IF('4'!F42="+1",IF('6'!F42&gt;='6'!$V$3,"adv",'4'!F42),'4'!F42)="adv",'3'!F42,0))</f>
        <v/>
      </c>
      <c r="G42" s="19" t="str">
        <f>IF(ISBLANK('Raw counts'!G43),"",IF(IF('4'!G42="+1",IF('6'!G42&gt;='6'!$V$3,"adv",'4'!G42),'4'!G42)="adv",'3'!G42,0))</f>
        <v/>
      </c>
      <c r="H42" s="19" t="str">
        <f>IF(ISBLANK('Raw counts'!H43),"",IF(IF('4'!H42="+1",IF('6'!H42&gt;='6'!$V$3,"adv",'4'!H42),'4'!H42)="adv",'3'!H42,0))</f>
        <v/>
      </c>
      <c r="I42" s="19" t="str">
        <f>IF(ISBLANK('Raw counts'!I43),"",IF(IF('4'!I42="+1",IF('6'!I42&gt;='6'!$V$3,"adv",'4'!I42),'4'!I42)="adv",'3'!I42,0))</f>
        <v/>
      </c>
      <c r="J42" s="19" t="str">
        <f>IF(ISBLANK('Raw counts'!J43),"",IF(IF('4'!J42="+1",IF('6'!J42&gt;='6'!$V$3,"adv",'4'!J42),'4'!J42)="adv",'3'!J42,0))</f>
        <v/>
      </c>
      <c r="K42" s="19" t="str">
        <f>IF(ISBLANK('Raw counts'!K43),"",IF(IF('4'!K42="+1",IF('6'!K42&gt;='6'!$V$3,"adv",'4'!K42),'4'!K42)="adv",'3'!K42,0))</f>
        <v/>
      </c>
      <c r="L42" s="19" t="str">
        <f>IF(ISBLANK('Raw counts'!L43),"",IF(IF('4'!L42="+1",IF('6'!L42&gt;='6'!$V$3,"adv",'4'!L42),'4'!L42)="adv",'3'!L42,0))</f>
        <v/>
      </c>
      <c r="M42" s="19" t="str">
        <f>IF(ISBLANK('Raw counts'!M43),"",IF(IF('4'!M42="+1",IF('6'!M42&gt;='6'!$V$3,"adv",'4'!M42),'4'!M42)="adv",'3'!M42,0))</f>
        <v/>
      </c>
      <c r="N42" s="19" t="str">
        <f>IF(ISBLANK('Raw counts'!N43),"",IF(IF('4'!N42="+1",IF('6'!N42&gt;='6'!$V$3,"adv",'4'!N42),'4'!N42)="adv",'3'!N42,0))</f>
        <v/>
      </c>
      <c r="O42" s="19" t="str">
        <f>IF(ISBLANK('Raw counts'!O43),"",IF(IF('4'!O42="+1",IF('6'!O42&gt;='6'!$V$3,"adv",'4'!O42),'4'!O42)="adv",'3'!O42,0))</f>
        <v/>
      </c>
      <c r="P42" s="19" t="str">
        <f>IF(ISBLANK('Raw counts'!P43),"",IF(IF('4'!P42="+1",IF('6'!P42&gt;='6'!$V$3,"adv",'4'!P42),'4'!P42)="adv",'3'!P42,0))</f>
        <v/>
      </c>
      <c r="Q42" s="19" t="str">
        <f>IF(ISBLANK('Raw counts'!Q43),"",IF(IF('4'!Q42="+1",IF('6'!Q42&gt;='6'!$V$3,"adv",'4'!Q42),'4'!Q42)="adv",'3'!Q42,0))</f>
        <v/>
      </c>
      <c r="R42" s="19" t="str">
        <f>IF(ISBLANK('Raw counts'!R43),"",IF(IF('4'!R42="+1",IF('6'!R42&gt;='6'!$V$3,"adv",'4'!R42),'4'!R42)="adv",'3'!R42,0))</f>
        <v/>
      </c>
      <c r="S42" s="19" t="str">
        <f>IF(ISBLANK('Raw counts'!S43),"",IF(IF('4'!S42="+1",IF('6'!S42&gt;='6'!$V$3,"adv",'4'!S42),'4'!S42)="adv",'3'!S42,0))</f>
        <v/>
      </c>
      <c r="T42" s="19" t="str">
        <f>IF(ISBLANK('Raw counts'!T43),"",IF(IF('4'!T42="+1",IF('6'!T42&gt;='6'!$V$3,"adv",'4'!T42),'4'!T42)="adv",'3'!T42,0))</f>
        <v/>
      </c>
      <c r="U42" s="19" t="str">
        <f>IF(ISBLANK('Raw counts'!U43),"",IF(IF('4'!U42="+1",IF('6'!U42&gt;='6'!$V$3,"adv",'4'!U42),'4'!U42)="adv",'3'!U42,0))</f>
        <v/>
      </c>
      <c r="V42" s="3">
        <f t="shared" si="0"/>
        <v>0</v>
      </c>
    </row>
    <row r="43" spans="1:22" x14ac:dyDescent="0.15">
      <c r="A43" s="18" t="str">
        <f>IF(ISBLANK('Raw counts'!A44),"",'Raw counts'!A44)</f>
        <v>Attr40</v>
      </c>
      <c r="B43" s="19" t="str">
        <f>IF(ISBLANK('Raw counts'!B44),"",IF(IF('4'!B43="+1",IF('6'!B43&gt;='6'!$V$3,"adv",'4'!B43),'4'!B43)="adv",'3'!B43,0))</f>
        <v/>
      </c>
      <c r="C43" s="19" t="str">
        <f>IF(ISBLANK('Raw counts'!C44),"",IF(IF('4'!C43="+1",IF('6'!C43&gt;='6'!$V$3,"adv",'4'!C43),'4'!C43)="adv",'3'!C43,0))</f>
        <v/>
      </c>
      <c r="D43" s="19" t="str">
        <f>IF(ISBLANK('Raw counts'!D44),"",IF(IF('4'!D43="+1",IF('6'!D43&gt;='6'!$V$3,"adv",'4'!D43),'4'!D43)="adv",'3'!D43,0))</f>
        <v/>
      </c>
      <c r="E43" s="19" t="str">
        <f>IF(ISBLANK('Raw counts'!E44),"",IF(IF('4'!E43="+1",IF('6'!E43&gt;='6'!$V$3,"adv",'4'!E43),'4'!E43)="adv",'3'!E43,0))</f>
        <v/>
      </c>
      <c r="F43" s="19" t="str">
        <f>IF(ISBLANK('Raw counts'!F44),"",IF(IF('4'!F43="+1",IF('6'!F43&gt;='6'!$V$3,"adv",'4'!F43),'4'!F43)="adv",'3'!F43,0))</f>
        <v/>
      </c>
      <c r="G43" s="19" t="str">
        <f>IF(ISBLANK('Raw counts'!G44),"",IF(IF('4'!G43="+1",IF('6'!G43&gt;='6'!$V$3,"adv",'4'!G43),'4'!G43)="adv",'3'!G43,0))</f>
        <v/>
      </c>
      <c r="H43" s="19" t="str">
        <f>IF(ISBLANK('Raw counts'!H44),"",IF(IF('4'!H43="+1",IF('6'!H43&gt;='6'!$V$3,"adv",'4'!H43),'4'!H43)="adv",'3'!H43,0))</f>
        <v/>
      </c>
      <c r="I43" s="19" t="str">
        <f>IF(ISBLANK('Raw counts'!I44),"",IF(IF('4'!I43="+1",IF('6'!I43&gt;='6'!$V$3,"adv",'4'!I43),'4'!I43)="adv",'3'!I43,0))</f>
        <v/>
      </c>
      <c r="J43" s="19" t="str">
        <f>IF(ISBLANK('Raw counts'!J44),"",IF(IF('4'!J43="+1",IF('6'!J43&gt;='6'!$V$3,"adv",'4'!J43),'4'!J43)="adv",'3'!J43,0))</f>
        <v/>
      </c>
      <c r="K43" s="19" t="str">
        <f>IF(ISBLANK('Raw counts'!K44),"",IF(IF('4'!K43="+1",IF('6'!K43&gt;='6'!$V$3,"adv",'4'!K43),'4'!K43)="adv",'3'!K43,0))</f>
        <v/>
      </c>
      <c r="L43" s="19" t="str">
        <f>IF(ISBLANK('Raw counts'!L44),"",IF(IF('4'!L43="+1",IF('6'!L43&gt;='6'!$V$3,"adv",'4'!L43),'4'!L43)="adv",'3'!L43,0))</f>
        <v/>
      </c>
      <c r="M43" s="19" t="str">
        <f>IF(ISBLANK('Raw counts'!M44),"",IF(IF('4'!M43="+1",IF('6'!M43&gt;='6'!$V$3,"adv",'4'!M43),'4'!M43)="adv",'3'!M43,0))</f>
        <v/>
      </c>
      <c r="N43" s="19" t="str">
        <f>IF(ISBLANK('Raw counts'!N44),"",IF(IF('4'!N43="+1",IF('6'!N43&gt;='6'!$V$3,"adv",'4'!N43),'4'!N43)="adv",'3'!N43,0))</f>
        <v/>
      </c>
      <c r="O43" s="19" t="str">
        <f>IF(ISBLANK('Raw counts'!O44),"",IF(IF('4'!O43="+1",IF('6'!O43&gt;='6'!$V$3,"adv",'4'!O43),'4'!O43)="adv",'3'!O43,0))</f>
        <v/>
      </c>
      <c r="P43" s="19" t="str">
        <f>IF(ISBLANK('Raw counts'!P44),"",IF(IF('4'!P43="+1",IF('6'!P43&gt;='6'!$V$3,"adv",'4'!P43),'4'!P43)="adv",'3'!P43,0))</f>
        <v/>
      </c>
      <c r="Q43" s="19" t="str">
        <f>IF(ISBLANK('Raw counts'!Q44),"",IF(IF('4'!Q43="+1",IF('6'!Q43&gt;='6'!$V$3,"adv",'4'!Q43),'4'!Q43)="adv",'3'!Q43,0))</f>
        <v/>
      </c>
      <c r="R43" s="19" t="str">
        <f>IF(ISBLANK('Raw counts'!R44),"",IF(IF('4'!R43="+1",IF('6'!R43&gt;='6'!$V$3,"adv",'4'!R43),'4'!R43)="adv",'3'!R43,0))</f>
        <v/>
      </c>
      <c r="S43" s="19" t="str">
        <f>IF(ISBLANK('Raw counts'!S44),"",IF(IF('4'!S43="+1",IF('6'!S43&gt;='6'!$V$3,"adv",'4'!S43),'4'!S43)="adv",'3'!S43,0))</f>
        <v/>
      </c>
      <c r="T43" s="19" t="str">
        <f>IF(ISBLANK('Raw counts'!T44),"",IF(IF('4'!T43="+1",IF('6'!T43&gt;='6'!$V$3,"adv",'4'!T43),'4'!T43)="adv",'3'!T43,0))</f>
        <v/>
      </c>
      <c r="U43" s="19" t="str">
        <f>IF(ISBLANK('Raw counts'!U44),"",IF(IF('4'!U43="+1",IF('6'!U43&gt;='6'!$V$3,"adv",'4'!U43),'4'!U43)="adv",'3'!U43,0))</f>
        <v/>
      </c>
      <c r="V43" s="3">
        <f t="shared" si="0"/>
        <v>0</v>
      </c>
    </row>
    <row r="44" spans="1:22" x14ac:dyDescent="0.15">
      <c r="A44" s="18" t="str">
        <f>IF(ISBLANK('Raw counts'!A45),"",'Raw counts'!A45)</f>
        <v>Attr41</v>
      </c>
      <c r="B44" s="19" t="str">
        <f>IF(ISBLANK('Raw counts'!B45),"",IF(IF('4'!B44="+1",IF('6'!B44&gt;='6'!$V$3,"adv",'4'!B44),'4'!B44)="adv",'3'!B44,0))</f>
        <v/>
      </c>
      <c r="C44" s="19" t="str">
        <f>IF(ISBLANK('Raw counts'!C45),"",IF(IF('4'!C44="+1",IF('6'!C44&gt;='6'!$V$3,"adv",'4'!C44),'4'!C44)="adv",'3'!C44,0))</f>
        <v/>
      </c>
      <c r="D44" s="19" t="str">
        <f>IF(ISBLANK('Raw counts'!D45),"",IF(IF('4'!D44="+1",IF('6'!D44&gt;='6'!$V$3,"adv",'4'!D44),'4'!D44)="adv",'3'!D44,0))</f>
        <v/>
      </c>
      <c r="E44" s="19" t="str">
        <f>IF(ISBLANK('Raw counts'!E45),"",IF(IF('4'!E44="+1",IF('6'!E44&gt;='6'!$V$3,"adv",'4'!E44),'4'!E44)="adv",'3'!E44,0))</f>
        <v/>
      </c>
      <c r="F44" s="19" t="str">
        <f>IF(ISBLANK('Raw counts'!F45),"",IF(IF('4'!F44="+1",IF('6'!F44&gt;='6'!$V$3,"adv",'4'!F44),'4'!F44)="adv",'3'!F44,0))</f>
        <v/>
      </c>
      <c r="G44" s="19" t="str">
        <f>IF(ISBLANK('Raw counts'!G45),"",IF(IF('4'!G44="+1",IF('6'!G44&gt;='6'!$V$3,"adv",'4'!G44),'4'!G44)="adv",'3'!G44,0))</f>
        <v/>
      </c>
      <c r="H44" s="19" t="str">
        <f>IF(ISBLANK('Raw counts'!H45),"",IF(IF('4'!H44="+1",IF('6'!H44&gt;='6'!$V$3,"adv",'4'!H44),'4'!H44)="adv",'3'!H44,0))</f>
        <v/>
      </c>
      <c r="I44" s="19" t="str">
        <f>IF(ISBLANK('Raw counts'!I45),"",IF(IF('4'!I44="+1",IF('6'!I44&gt;='6'!$V$3,"adv",'4'!I44),'4'!I44)="adv",'3'!I44,0))</f>
        <v/>
      </c>
      <c r="J44" s="19" t="str">
        <f>IF(ISBLANK('Raw counts'!J45),"",IF(IF('4'!J44="+1",IF('6'!J44&gt;='6'!$V$3,"adv",'4'!J44),'4'!J44)="adv",'3'!J44,0))</f>
        <v/>
      </c>
      <c r="K44" s="19" t="str">
        <f>IF(ISBLANK('Raw counts'!K45),"",IF(IF('4'!K44="+1",IF('6'!K44&gt;='6'!$V$3,"adv",'4'!K44),'4'!K44)="adv",'3'!K44,0))</f>
        <v/>
      </c>
      <c r="L44" s="19" t="str">
        <f>IF(ISBLANK('Raw counts'!L45),"",IF(IF('4'!L44="+1",IF('6'!L44&gt;='6'!$V$3,"adv",'4'!L44),'4'!L44)="adv",'3'!L44,0))</f>
        <v/>
      </c>
      <c r="M44" s="19" t="str">
        <f>IF(ISBLANK('Raw counts'!M45),"",IF(IF('4'!M44="+1",IF('6'!M44&gt;='6'!$V$3,"adv",'4'!M44),'4'!M44)="adv",'3'!M44,0))</f>
        <v/>
      </c>
      <c r="N44" s="19" t="str">
        <f>IF(ISBLANK('Raw counts'!N45),"",IF(IF('4'!N44="+1",IF('6'!N44&gt;='6'!$V$3,"adv",'4'!N44),'4'!N44)="adv",'3'!N44,0))</f>
        <v/>
      </c>
      <c r="O44" s="19" t="str">
        <f>IF(ISBLANK('Raw counts'!O45),"",IF(IF('4'!O44="+1",IF('6'!O44&gt;='6'!$V$3,"adv",'4'!O44),'4'!O44)="adv",'3'!O44,0))</f>
        <v/>
      </c>
      <c r="P44" s="19" t="str">
        <f>IF(ISBLANK('Raw counts'!P45),"",IF(IF('4'!P44="+1",IF('6'!P44&gt;='6'!$V$3,"adv",'4'!P44),'4'!P44)="adv",'3'!P44,0))</f>
        <v/>
      </c>
      <c r="Q44" s="19" t="str">
        <f>IF(ISBLANK('Raw counts'!Q45),"",IF(IF('4'!Q44="+1",IF('6'!Q44&gt;='6'!$V$3,"adv",'4'!Q44),'4'!Q44)="adv",'3'!Q44,0))</f>
        <v/>
      </c>
      <c r="R44" s="19" t="str">
        <f>IF(ISBLANK('Raw counts'!R45),"",IF(IF('4'!R44="+1",IF('6'!R44&gt;='6'!$V$3,"adv",'4'!R44),'4'!R44)="adv",'3'!R44,0))</f>
        <v/>
      </c>
      <c r="S44" s="19" t="str">
        <f>IF(ISBLANK('Raw counts'!S45),"",IF(IF('4'!S44="+1",IF('6'!S44&gt;='6'!$V$3,"adv",'4'!S44),'4'!S44)="adv",'3'!S44,0))</f>
        <v/>
      </c>
      <c r="T44" s="19" t="str">
        <f>IF(ISBLANK('Raw counts'!T45),"",IF(IF('4'!T44="+1",IF('6'!T44&gt;='6'!$V$3,"adv",'4'!T44),'4'!T44)="adv",'3'!T44,0))</f>
        <v/>
      </c>
      <c r="U44" s="19" t="str">
        <f>IF(ISBLANK('Raw counts'!U45),"",IF(IF('4'!U44="+1",IF('6'!U44&gt;='6'!$V$3,"adv",'4'!U44),'4'!U44)="adv",'3'!U44,0))</f>
        <v/>
      </c>
      <c r="V44" s="3">
        <f t="shared" si="0"/>
        <v>0</v>
      </c>
    </row>
    <row r="45" spans="1:22" x14ac:dyDescent="0.15">
      <c r="A45" s="18" t="str">
        <f>IF(ISBLANK('Raw counts'!A46),"",'Raw counts'!A46)</f>
        <v>Attr42</v>
      </c>
      <c r="B45" s="19" t="str">
        <f>IF(ISBLANK('Raw counts'!B46),"",IF(IF('4'!B45="+1",IF('6'!B45&gt;='6'!$V$3,"adv",'4'!B45),'4'!B45)="adv",'3'!B45,0))</f>
        <v/>
      </c>
      <c r="C45" s="19" t="str">
        <f>IF(ISBLANK('Raw counts'!C46),"",IF(IF('4'!C45="+1",IF('6'!C45&gt;='6'!$V$3,"adv",'4'!C45),'4'!C45)="adv",'3'!C45,0))</f>
        <v/>
      </c>
      <c r="D45" s="19" t="str">
        <f>IF(ISBLANK('Raw counts'!D46),"",IF(IF('4'!D45="+1",IF('6'!D45&gt;='6'!$V$3,"adv",'4'!D45),'4'!D45)="adv",'3'!D45,0))</f>
        <v/>
      </c>
      <c r="E45" s="19" t="str">
        <f>IF(ISBLANK('Raw counts'!E46),"",IF(IF('4'!E45="+1",IF('6'!E45&gt;='6'!$V$3,"adv",'4'!E45),'4'!E45)="adv",'3'!E45,0))</f>
        <v/>
      </c>
      <c r="F45" s="19" t="str">
        <f>IF(ISBLANK('Raw counts'!F46),"",IF(IF('4'!F45="+1",IF('6'!F45&gt;='6'!$V$3,"adv",'4'!F45),'4'!F45)="adv",'3'!F45,0))</f>
        <v/>
      </c>
      <c r="G45" s="19" t="str">
        <f>IF(ISBLANK('Raw counts'!G46),"",IF(IF('4'!G45="+1",IF('6'!G45&gt;='6'!$V$3,"adv",'4'!G45),'4'!G45)="adv",'3'!G45,0))</f>
        <v/>
      </c>
      <c r="H45" s="19" t="str">
        <f>IF(ISBLANK('Raw counts'!H46),"",IF(IF('4'!H45="+1",IF('6'!H45&gt;='6'!$V$3,"adv",'4'!H45),'4'!H45)="adv",'3'!H45,0))</f>
        <v/>
      </c>
      <c r="I45" s="19" t="str">
        <f>IF(ISBLANK('Raw counts'!I46),"",IF(IF('4'!I45="+1",IF('6'!I45&gt;='6'!$V$3,"adv",'4'!I45),'4'!I45)="adv",'3'!I45,0))</f>
        <v/>
      </c>
      <c r="J45" s="19" t="str">
        <f>IF(ISBLANK('Raw counts'!J46),"",IF(IF('4'!J45="+1",IF('6'!J45&gt;='6'!$V$3,"adv",'4'!J45),'4'!J45)="adv",'3'!J45,0))</f>
        <v/>
      </c>
      <c r="K45" s="19" t="str">
        <f>IF(ISBLANK('Raw counts'!K46),"",IF(IF('4'!K45="+1",IF('6'!K45&gt;='6'!$V$3,"adv",'4'!K45),'4'!K45)="adv",'3'!K45,0))</f>
        <v/>
      </c>
      <c r="L45" s="19" t="str">
        <f>IF(ISBLANK('Raw counts'!L46),"",IF(IF('4'!L45="+1",IF('6'!L45&gt;='6'!$V$3,"adv",'4'!L45),'4'!L45)="adv",'3'!L45,0))</f>
        <v/>
      </c>
      <c r="M45" s="19" t="str">
        <f>IF(ISBLANK('Raw counts'!M46),"",IF(IF('4'!M45="+1",IF('6'!M45&gt;='6'!$V$3,"adv",'4'!M45),'4'!M45)="adv",'3'!M45,0))</f>
        <v/>
      </c>
      <c r="N45" s="19" t="str">
        <f>IF(ISBLANK('Raw counts'!N46),"",IF(IF('4'!N45="+1",IF('6'!N45&gt;='6'!$V$3,"adv",'4'!N45),'4'!N45)="adv",'3'!N45,0))</f>
        <v/>
      </c>
      <c r="O45" s="19" t="str">
        <f>IF(ISBLANK('Raw counts'!O46),"",IF(IF('4'!O45="+1",IF('6'!O45&gt;='6'!$V$3,"adv",'4'!O45),'4'!O45)="adv",'3'!O45,0))</f>
        <v/>
      </c>
      <c r="P45" s="19" t="str">
        <f>IF(ISBLANK('Raw counts'!P46),"",IF(IF('4'!P45="+1",IF('6'!P45&gt;='6'!$V$3,"adv",'4'!P45),'4'!P45)="adv",'3'!P45,0))</f>
        <v/>
      </c>
      <c r="Q45" s="19" t="str">
        <f>IF(ISBLANK('Raw counts'!Q46),"",IF(IF('4'!Q45="+1",IF('6'!Q45&gt;='6'!$V$3,"adv",'4'!Q45),'4'!Q45)="adv",'3'!Q45,0))</f>
        <v/>
      </c>
      <c r="R45" s="19" t="str">
        <f>IF(ISBLANK('Raw counts'!R46),"",IF(IF('4'!R45="+1",IF('6'!R45&gt;='6'!$V$3,"adv",'4'!R45),'4'!R45)="adv",'3'!R45,0))</f>
        <v/>
      </c>
      <c r="S45" s="19" t="str">
        <f>IF(ISBLANK('Raw counts'!S46),"",IF(IF('4'!S45="+1",IF('6'!S45&gt;='6'!$V$3,"adv",'4'!S45),'4'!S45)="adv",'3'!S45,0))</f>
        <v/>
      </c>
      <c r="T45" s="19" t="str">
        <f>IF(ISBLANK('Raw counts'!T46),"",IF(IF('4'!T45="+1",IF('6'!T45&gt;='6'!$V$3,"adv",'4'!T45),'4'!T45)="adv",'3'!T45,0))</f>
        <v/>
      </c>
      <c r="U45" s="19" t="str">
        <f>IF(ISBLANK('Raw counts'!U46),"",IF(IF('4'!U45="+1",IF('6'!U45&gt;='6'!$V$3,"adv",'4'!U45),'4'!U45)="adv",'3'!U45,0))</f>
        <v/>
      </c>
      <c r="V45" s="3">
        <f t="shared" si="0"/>
        <v>0</v>
      </c>
    </row>
    <row r="46" spans="1:22" x14ac:dyDescent="0.15">
      <c r="A46" s="18" t="str">
        <f>IF(ISBLANK('Raw counts'!A47),"",'Raw counts'!A47)</f>
        <v>Attr43</v>
      </c>
      <c r="B46" s="19" t="str">
        <f>IF(ISBLANK('Raw counts'!B47),"",IF(IF('4'!B46="+1",IF('6'!B46&gt;='6'!$V$3,"adv",'4'!B46),'4'!B46)="adv",'3'!B46,0))</f>
        <v/>
      </c>
      <c r="C46" s="19" t="str">
        <f>IF(ISBLANK('Raw counts'!C47),"",IF(IF('4'!C46="+1",IF('6'!C46&gt;='6'!$V$3,"adv",'4'!C46),'4'!C46)="adv",'3'!C46,0))</f>
        <v/>
      </c>
      <c r="D46" s="19" t="str">
        <f>IF(ISBLANK('Raw counts'!D47),"",IF(IF('4'!D46="+1",IF('6'!D46&gt;='6'!$V$3,"adv",'4'!D46),'4'!D46)="adv",'3'!D46,0))</f>
        <v/>
      </c>
      <c r="E46" s="19" t="str">
        <f>IF(ISBLANK('Raw counts'!E47),"",IF(IF('4'!E46="+1",IF('6'!E46&gt;='6'!$V$3,"adv",'4'!E46),'4'!E46)="adv",'3'!E46,0))</f>
        <v/>
      </c>
      <c r="F46" s="19" t="str">
        <f>IF(ISBLANK('Raw counts'!F47),"",IF(IF('4'!F46="+1",IF('6'!F46&gt;='6'!$V$3,"adv",'4'!F46),'4'!F46)="adv",'3'!F46,0))</f>
        <v/>
      </c>
      <c r="G46" s="19" t="str">
        <f>IF(ISBLANK('Raw counts'!G47),"",IF(IF('4'!G46="+1",IF('6'!G46&gt;='6'!$V$3,"adv",'4'!G46),'4'!G46)="adv",'3'!G46,0))</f>
        <v/>
      </c>
      <c r="H46" s="19" t="str">
        <f>IF(ISBLANK('Raw counts'!H47),"",IF(IF('4'!H46="+1",IF('6'!H46&gt;='6'!$V$3,"adv",'4'!H46),'4'!H46)="adv",'3'!H46,0))</f>
        <v/>
      </c>
      <c r="I46" s="19" t="str">
        <f>IF(ISBLANK('Raw counts'!I47),"",IF(IF('4'!I46="+1",IF('6'!I46&gt;='6'!$V$3,"adv",'4'!I46),'4'!I46)="adv",'3'!I46,0))</f>
        <v/>
      </c>
      <c r="J46" s="19" t="str">
        <f>IF(ISBLANK('Raw counts'!J47),"",IF(IF('4'!J46="+1",IF('6'!J46&gt;='6'!$V$3,"adv",'4'!J46),'4'!J46)="adv",'3'!J46,0))</f>
        <v/>
      </c>
      <c r="K46" s="19" t="str">
        <f>IF(ISBLANK('Raw counts'!K47),"",IF(IF('4'!K46="+1",IF('6'!K46&gt;='6'!$V$3,"adv",'4'!K46),'4'!K46)="adv",'3'!K46,0))</f>
        <v/>
      </c>
      <c r="L46" s="19" t="str">
        <f>IF(ISBLANK('Raw counts'!L47),"",IF(IF('4'!L46="+1",IF('6'!L46&gt;='6'!$V$3,"adv",'4'!L46),'4'!L46)="adv",'3'!L46,0))</f>
        <v/>
      </c>
      <c r="M46" s="19" t="str">
        <f>IF(ISBLANK('Raw counts'!M47),"",IF(IF('4'!M46="+1",IF('6'!M46&gt;='6'!$V$3,"adv",'4'!M46),'4'!M46)="adv",'3'!M46,0))</f>
        <v/>
      </c>
      <c r="N46" s="19" t="str">
        <f>IF(ISBLANK('Raw counts'!N47),"",IF(IF('4'!N46="+1",IF('6'!N46&gt;='6'!$V$3,"adv",'4'!N46),'4'!N46)="adv",'3'!N46,0))</f>
        <v/>
      </c>
      <c r="O46" s="19" t="str">
        <f>IF(ISBLANK('Raw counts'!O47),"",IF(IF('4'!O46="+1",IF('6'!O46&gt;='6'!$V$3,"adv",'4'!O46),'4'!O46)="adv",'3'!O46,0))</f>
        <v/>
      </c>
      <c r="P46" s="19" t="str">
        <f>IF(ISBLANK('Raw counts'!P47),"",IF(IF('4'!P46="+1",IF('6'!P46&gt;='6'!$V$3,"adv",'4'!P46),'4'!P46)="adv",'3'!P46,0))</f>
        <v/>
      </c>
      <c r="Q46" s="19" t="str">
        <f>IF(ISBLANK('Raw counts'!Q47),"",IF(IF('4'!Q46="+1",IF('6'!Q46&gt;='6'!$V$3,"adv",'4'!Q46),'4'!Q46)="adv",'3'!Q46,0))</f>
        <v/>
      </c>
      <c r="R46" s="19" t="str">
        <f>IF(ISBLANK('Raw counts'!R47),"",IF(IF('4'!R46="+1",IF('6'!R46&gt;='6'!$V$3,"adv",'4'!R46),'4'!R46)="adv",'3'!R46,0))</f>
        <v/>
      </c>
      <c r="S46" s="19" t="str">
        <f>IF(ISBLANK('Raw counts'!S47),"",IF(IF('4'!S46="+1",IF('6'!S46&gt;='6'!$V$3,"adv",'4'!S46),'4'!S46)="adv",'3'!S46,0))</f>
        <v/>
      </c>
      <c r="T46" s="19" t="str">
        <f>IF(ISBLANK('Raw counts'!T47),"",IF(IF('4'!T46="+1",IF('6'!T46&gt;='6'!$V$3,"adv",'4'!T46),'4'!T46)="adv",'3'!T46,0))</f>
        <v/>
      </c>
      <c r="U46" s="19" t="str">
        <f>IF(ISBLANK('Raw counts'!U47),"",IF(IF('4'!U46="+1",IF('6'!U46&gt;='6'!$V$3,"adv",'4'!U46),'4'!U46)="adv",'3'!U46,0))</f>
        <v/>
      </c>
      <c r="V46" s="3">
        <f t="shared" si="0"/>
        <v>0</v>
      </c>
    </row>
    <row r="47" spans="1:22" x14ac:dyDescent="0.15">
      <c r="A47" s="18" t="str">
        <f>IF(ISBLANK('Raw counts'!A48),"",'Raw counts'!A48)</f>
        <v>Attr44</v>
      </c>
      <c r="B47" s="19" t="str">
        <f>IF(ISBLANK('Raw counts'!B48),"",IF(IF('4'!B47="+1",IF('6'!B47&gt;='6'!$V$3,"adv",'4'!B47),'4'!B47)="adv",'3'!B47,0))</f>
        <v/>
      </c>
      <c r="C47" s="19" t="str">
        <f>IF(ISBLANK('Raw counts'!C48),"",IF(IF('4'!C47="+1",IF('6'!C47&gt;='6'!$V$3,"adv",'4'!C47),'4'!C47)="adv",'3'!C47,0))</f>
        <v/>
      </c>
      <c r="D47" s="19" t="str">
        <f>IF(ISBLANK('Raw counts'!D48),"",IF(IF('4'!D47="+1",IF('6'!D47&gt;='6'!$V$3,"adv",'4'!D47),'4'!D47)="adv",'3'!D47,0))</f>
        <v/>
      </c>
      <c r="E47" s="19" t="str">
        <f>IF(ISBLANK('Raw counts'!E48),"",IF(IF('4'!E47="+1",IF('6'!E47&gt;='6'!$V$3,"adv",'4'!E47),'4'!E47)="adv",'3'!E47,0))</f>
        <v/>
      </c>
      <c r="F47" s="19" t="str">
        <f>IF(ISBLANK('Raw counts'!F48),"",IF(IF('4'!F47="+1",IF('6'!F47&gt;='6'!$V$3,"adv",'4'!F47),'4'!F47)="adv",'3'!F47,0))</f>
        <v/>
      </c>
      <c r="G47" s="19" t="str">
        <f>IF(ISBLANK('Raw counts'!G48),"",IF(IF('4'!G47="+1",IF('6'!G47&gt;='6'!$V$3,"adv",'4'!G47),'4'!G47)="adv",'3'!G47,0))</f>
        <v/>
      </c>
      <c r="H47" s="19" t="str">
        <f>IF(ISBLANK('Raw counts'!H48),"",IF(IF('4'!H47="+1",IF('6'!H47&gt;='6'!$V$3,"adv",'4'!H47),'4'!H47)="adv",'3'!H47,0))</f>
        <v/>
      </c>
      <c r="I47" s="19" t="str">
        <f>IF(ISBLANK('Raw counts'!I48),"",IF(IF('4'!I47="+1",IF('6'!I47&gt;='6'!$V$3,"adv",'4'!I47),'4'!I47)="adv",'3'!I47,0))</f>
        <v/>
      </c>
      <c r="J47" s="19" t="str">
        <f>IF(ISBLANK('Raw counts'!J48),"",IF(IF('4'!J47="+1",IF('6'!J47&gt;='6'!$V$3,"adv",'4'!J47),'4'!J47)="adv",'3'!J47,0))</f>
        <v/>
      </c>
      <c r="K47" s="19" t="str">
        <f>IF(ISBLANK('Raw counts'!K48),"",IF(IF('4'!K47="+1",IF('6'!K47&gt;='6'!$V$3,"adv",'4'!K47),'4'!K47)="adv",'3'!K47,0))</f>
        <v/>
      </c>
      <c r="L47" s="19" t="str">
        <f>IF(ISBLANK('Raw counts'!L48),"",IF(IF('4'!L47="+1",IF('6'!L47&gt;='6'!$V$3,"adv",'4'!L47),'4'!L47)="adv",'3'!L47,0))</f>
        <v/>
      </c>
      <c r="M47" s="19" t="str">
        <f>IF(ISBLANK('Raw counts'!M48),"",IF(IF('4'!M47="+1",IF('6'!M47&gt;='6'!$V$3,"adv",'4'!M47),'4'!M47)="adv",'3'!M47,0))</f>
        <v/>
      </c>
      <c r="N47" s="19" t="str">
        <f>IF(ISBLANK('Raw counts'!N48),"",IF(IF('4'!N47="+1",IF('6'!N47&gt;='6'!$V$3,"adv",'4'!N47),'4'!N47)="adv",'3'!N47,0))</f>
        <v/>
      </c>
      <c r="O47" s="19" t="str">
        <f>IF(ISBLANK('Raw counts'!O48),"",IF(IF('4'!O47="+1",IF('6'!O47&gt;='6'!$V$3,"adv",'4'!O47),'4'!O47)="adv",'3'!O47,0))</f>
        <v/>
      </c>
      <c r="P47" s="19" t="str">
        <f>IF(ISBLANK('Raw counts'!P48),"",IF(IF('4'!P47="+1",IF('6'!P47&gt;='6'!$V$3,"adv",'4'!P47),'4'!P47)="adv",'3'!P47,0))</f>
        <v/>
      </c>
      <c r="Q47" s="19" t="str">
        <f>IF(ISBLANK('Raw counts'!Q48),"",IF(IF('4'!Q47="+1",IF('6'!Q47&gt;='6'!$V$3,"adv",'4'!Q47),'4'!Q47)="adv",'3'!Q47,0))</f>
        <v/>
      </c>
      <c r="R47" s="19" t="str">
        <f>IF(ISBLANK('Raw counts'!R48),"",IF(IF('4'!R47="+1",IF('6'!R47&gt;='6'!$V$3,"adv",'4'!R47),'4'!R47)="adv",'3'!R47,0))</f>
        <v/>
      </c>
      <c r="S47" s="19" t="str">
        <f>IF(ISBLANK('Raw counts'!S48),"",IF(IF('4'!S47="+1",IF('6'!S47&gt;='6'!$V$3,"adv",'4'!S47),'4'!S47)="adv",'3'!S47,0))</f>
        <v/>
      </c>
      <c r="T47" s="19" t="str">
        <f>IF(ISBLANK('Raw counts'!T48),"",IF(IF('4'!T47="+1",IF('6'!T47&gt;='6'!$V$3,"adv",'4'!T47),'4'!T47)="adv",'3'!T47,0))</f>
        <v/>
      </c>
      <c r="U47" s="19" t="str">
        <f>IF(ISBLANK('Raw counts'!U48),"",IF(IF('4'!U47="+1",IF('6'!U47&gt;='6'!$V$3,"adv",'4'!U47),'4'!U47)="adv",'3'!U47,0))</f>
        <v/>
      </c>
      <c r="V47" s="3">
        <f t="shared" si="0"/>
        <v>0</v>
      </c>
    </row>
    <row r="48" spans="1:22" x14ac:dyDescent="0.15">
      <c r="A48" s="18" t="str">
        <f>IF(ISBLANK('Raw counts'!A49),"",'Raw counts'!A49)</f>
        <v>Attr45</v>
      </c>
      <c r="B48" s="19" t="str">
        <f>IF(ISBLANK('Raw counts'!B49),"",IF(IF('4'!B48="+1",IF('6'!B48&gt;='6'!$V$3,"adv",'4'!B48),'4'!B48)="adv",'3'!B48,0))</f>
        <v/>
      </c>
      <c r="C48" s="19" t="str">
        <f>IF(ISBLANK('Raw counts'!C49),"",IF(IF('4'!C48="+1",IF('6'!C48&gt;='6'!$V$3,"adv",'4'!C48),'4'!C48)="adv",'3'!C48,0))</f>
        <v/>
      </c>
      <c r="D48" s="19" t="str">
        <f>IF(ISBLANK('Raw counts'!D49),"",IF(IF('4'!D48="+1",IF('6'!D48&gt;='6'!$V$3,"adv",'4'!D48),'4'!D48)="adv",'3'!D48,0))</f>
        <v/>
      </c>
      <c r="E48" s="19" t="str">
        <f>IF(ISBLANK('Raw counts'!E49),"",IF(IF('4'!E48="+1",IF('6'!E48&gt;='6'!$V$3,"adv",'4'!E48),'4'!E48)="adv",'3'!E48,0))</f>
        <v/>
      </c>
      <c r="F48" s="19" t="str">
        <f>IF(ISBLANK('Raw counts'!F49),"",IF(IF('4'!F48="+1",IF('6'!F48&gt;='6'!$V$3,"adv",'4'!F48),'4'!F48)="adv",'3'!F48,0))</f>
        <v/>
      </c>
      <c r="G48" s="19" t="str">
        <f>IF(ISBLANK('Raw counts'!G49),"",IF(IF('4'!G48="+1",IF('6'!G48&gt;='6'!$V$3,"adv",'4'!G48),'4'!G48)="adv",'3'!G48,0))</f>
        <v/>
      </c>
      <c r="H48" s="19" t="str">
        <f>IF(ISBLANK('Raw counts'!H49),"",IF(IF('4'!H48="+1",IF('6'!H48&gt;='6'!$V$3,"adv",'4'!H48),'4'!H48)="adv",'3'!H48,0))</f>
        <v/>
      </c>
      <c r="I48" s="19" t="str">
        <f>IF(ISBLANK('Raw counts'!I49),"",IF(IF('4'!I48="+1",IF('6'!I48&gt;='6'!$V$3,"adv",'4'!I48),'4'!I48)="adv",'3'!I48,0))</f>
        <v/>
      </c>
      <c r="J48" s="19" t="str">
        <f>IF(ISBLANK('Raw counts'!J49),"",IF(IF('4'!J48="+1",IF('6'!J48&gt;='6'!$V$3,"adv",'4'!J48),'4'!J48)="adv",'3'!J48,0))</f>
        <v/>
      </c>
      <c r="K48" s="19" t="str">
        <f>IF(ISBLANK('Raw counts'!K49),"",IF(IF('4'!K48="+1",IF('6'!K48&gt;='6'!$V$3,"adv",'4'!K48),'4'!K48)="adv",'3'!K48,0))</f>
        <v/>
      </c>
      <c r="L48" s="19" t="str">
        <f>IF(ISBLANK('Raw counts'!L49),"",IF(IF('4'!L48="+1",IF('6'!L48&gt;='6'!$V$3,"adv",'4'!L48),'4'!L48)="adv",'3'!L48,0))</f>
        <v/>
      </c>
      <c r="M48" s="19" t="str">
        <f>IF(ISBLANK('Raw counts'!M49),"",IF(IF('4'!M48="+1",IF('6'!M48&gt;='6'!$V$3,"adv",'4'!M48),'4'!M48)="adv",'3'!M48,0))</f>
        <v/>
      </c>
      <c r="N48" s="19" t="str">
        <f>IF(ISBLANK('Raw counts'!N49),"",IF(IF('4'!N48="+1",IF('6'!N48&gt;='6'!$V$3,"adv",'4'!N48),'4'!N48)="adv",'3'!N48,0))</f>
        <v/>
      </c>
      <c r="O48" s="19" t="str">
        <f>IF(ISBLANK('Raw counts'!O49),"",IF(IF('4'!O48="+1",IF('6'!O48&gt;='6'!$V$3,"adv",'4'!O48),'4'!O48)="adv",'3'!O48,0))</f>
        <v/>
      </c>
      <c r="P48" s="19" t="str">
        <f>IF(ISBLANK('Raw counts'!P49),"",IF(IF('4'!P48="+1",IF('6'!P48&gt;='6'!$V$3,"adv",'4'!P48),'4'!P48)="adv",'3'!P48,0))</f>
        <v/>
      </c>
      <c r="Q48" s="19" t="str">
        <f>IF(ISBLANK('Raw counts'!Q49),"",IF(IF('4'!Q48="+1",IF('6'!Q48&gt;='6'!$V$3,"adv",'4'!Q48),'4'!Q48)="adv",'3'!Q48,0))</f>
        <v/>
      </c>
      <c r="R48" s="19" t="str">
        <f>IF(ISBLANK('Raw counts'!R49),"",IF(IF('4'!R48="+1",IF('6'!R48&gt;='6'!$V$3,"adv",'4'!R48),'4'!R48)="adv",'3'!R48,0))</f>
        <v/>
      </c>
      <c r="S48" s="19" t="str">
        <f>IF(ISBLANK('Raw counts'!S49),"",IF(IF('4'!S48="+1",IF('6'!S48&gt;='6'!$V$3,"adv",'4'!S48),'4'!S48)="adv",'3'!S48,0))</f>
        <v/>
      </c>
      <c r="T48" s="19" t="str">
        <f>IF(ISBLANK('Raw counts'!T49),"",IF(IF('4'!T48="+1",IF('6'!T48&gt;='6'!$V$3,"adv",'4'!T48),'4'!T48)="adv",'3'!T48,0))</f>
        <v/>
      </c>
      <c r="U48" s="19" t="str">
        <f>IF(ISBLANK('Raw counts'!U49),"",IF(IF('4'!U48="+1",IF('6'!U48&gt;='6'!$V$3,"adv",'4'!U48),'4'!U48)="adv",'3'!U48,0))</f>
        <v/>
      </c>
      <c r="V48" s="3">
        <f t="shared" si="0"/>
        <v>0</v>
      </c>
    </row>
    <row r="49" spans="1:22" x14ac:dyDescent="0.15">
      <c r="A49" s="18" t="str">
        <f>IF(ISBLANK('Raw counts'!A50),"",'Raw counts'!A50)</f>
        <v>Attr46</v>
      </c>
      <c r="B49" s="19" t="str">
        <f>IF(ISBLANK('Raw counts'!B50),"",IF(IF('4'!B49="+1",IF('6'!B49&gt;='6'!$V$3,"adv",'4'!B49),'4'!B49)="adv",'3'!B49,0))</f>
        <v/>
      </c>
      <c r="C49" s="19" t="str">
        <f>IF(ISBLANK('Raw counts'!C50),"",IF(IF('4'!C49="+1",IF('6'!C49&gt;='6'!$V$3,"adv",'4'!C49),'4'!C49)="adv",'3'!C49,0))</f>
        <v/>
      </c>
      <c r="D49" s="19" t="str">
        <f>IF(ISBLANK('Raw counts'!D50),"",IF(IF('4'!D49="+1",IF('6'!D49&gt;='6'!$V$3,"adv",'4'!D49),'4'!D49)="adv",'3'!D49,0))</f>
        <v/>
      </c>
      <c r="E49" s="19" t="str">
        <f>IF(ISBLANK('Raw counts'!E50),"",IF(IF('4'!E49="+1",IF('6'!E49&gt;='6'!$V$3,"adv",'4'!E49),'4'!E49)="adv",'3'!E49,0))</f>
        <v/>
      </c>
      <c r="F49" s="19" t="str">
        <f>IF(ISBLANK('Raw counts'!F50),"",IF(IF('4'!F49="+1",IF('6'!F49&gt;='6'!$V$3,"adv",'4'!F49),'4'!F49)="adv",'3'!F49,0))</f>
        <v/>
      </c>
      <c r="G49" s="19" t="str">
        <f>IF(ISBLANK('Raw counts'!G50),"",IF(IF('4'!G49="+1",IF('6'!G49&gt;='6'!$V$3,"adv",'4'!G49),'4'!G49)="adv",'3'!G49,0))</f>
        <v/>
      </c>
      <c r="H49" s="19" t="str">
        <f>IF(ISBLANK('Raw counts'!H50),"",IF(IF('4'!H49="+1",IF('6'!H49&gt;='6'!$V$3,"adv",'4'!H49),'4'!H49)="adv",'3'!H49,0))</f>
        <v/>
      </c>
      <c r="I49" s="19" t="str">
        <f>IF(ISBLANK('Raw counts'!I50),"",IF(IF('4'!I49="+1",IF('6'!I49&gt;='6'!$V$3,"adv",'4'!I49),'4'!I49)="adv",'3'!I49,0))</f>
        <v/>
      </c>
      <c r="J49" s="19" t="str">
        <f>IF(ISBLANK('Raw counts'!J50),"",IF(IF('4'!J49="+1",IF('6'!J49&gt;='6'!$V$3,"adv",'4'!J49),'4'!J49)="adv",'3'!J49,0))</f>
        <v/>
      </c>
      <c r="K49" s="19" t="str">
        <f>IF(ISBLANK('Raw counts'!K50),"",IF(IF('4'!K49="+1",IF('6'!K49&gt;='6'!$V$3,"adv",'4'!K49),'4'!K49)="adv",'3'!K49,0))</f>
        <v/>
      </c>
      <c r="L49" s="19" t="str">
        <f>IF(ISBLANK('Raw counts'!L50),"",IF(IF('4'!L49="+1",IF('6'!L49&gt;='6'!$V$3,"adv",'4'!L49),'4'!L49)="adv",'3'!L49,0))</f>
        <v/>
      </c>
      <c r="M49" s="19" t="str">
        <f>IF(ISBLANK('Raw counts'!M50),"",IF(IF('4'!M49="+1",IF('6'!M49&gt;='6'!$V$3,"adv",'4'!M49),'4'!M49)="adv",'3'!M49,0))</f>
        <v/>
      </c>
      <c r="N49" s="19" t="str">
        <f>IF(ISBLANK('Raw counts'!N50),"",IF(IF('4'!N49="+1",IF('6'!N49&gt;='6'!$V$3,"adv",'4'!N49),'4'!N49)="adv",'3'!N49,0))</f>
        <v/>
      </c>
      <c r="O49" s="19" t="str">
        <f>IF(ISBLANK('Raw counts'!O50),"",IF(IF('4'!O49="+1",IF('6'!O49&gt;='6'!$V$3,"adv",'4'!O49),'4'!O49)="adv",'3'!O49,0))</f>
        <v/>
      </c>
      <c r="P49" s="19" t="str">
        <f>IF(ISBLANK('Raw counts'!P50),"",IF(IF('4'!P49="+1",IF('6'!P49&gt;='6'!$V$3,"adv",'4'!P49),'4'!P49)="adv",'3'!P49,0))</f>
        <v/>
      </c>
      <c r="Q49" s="19" t="str">
        <f>IF(ISBLANK('Raw counts'!Q50),"",IF(IF('4'!Q49="+1",IF('6'!Q49&gt;='6'!$V$3,"adv",'4'!Q49),'4'!Q49)="adv",'3'!Q49,0))</f>
        <v/>
      </c>
      <c r="R49" s="19" t="str">
        <f>IF(ISBLANK('Raw counts'!R50),"",IF(IF('4'!R49="+1",IF('6'!R49&gt;='6'!$V$3,"adv",'4'!R49),'4'!R49)="adv",'3'!R49,0))</f>
        <v/>
      </c>
      <c r="S49" s="19" t="str">
        <f>IF(ISBLANK('Raw counts'!S50),"",IF(IF('4'!S49="+1",IF('6'!S49&gt;='6'!$V$3,"adv",'4'!S49),'4'!S49)="adv",'3'!S49,0))</f>
        <v/>
      </c>
      <c r="T49" s="19" t="str">
        <f>IF(ISBLANK('Raw counts'!T50),"",IF(IF('4'!T49="+1",IF('6'!T49&gt;='6'!$V$3,"adv",'4'!T49),'4'!T49)="adv",'3'!T49,0))</f>
        <v/>
      </c>
      <c r="U49" s="19" t="str">
        <f>IF(ISBLANK('Raw counts'!U50),"",IF(IF('4'!U49="+1",IF('6'!U49&gt;='6'!$V$3,"adv",'4'!U49),'4'!U49)="adv",'3'!U49,0))</f>
        <v/>
      </c>
      <c r="V49" s="3">
        <f t="shared" si="0"/>
        <v>0</v>
      </c>
    </row>
    <row r="50" spans="1:22" x14ac:dyDescent="0.15">
      <c r="A50" s="18" t="str">
        <f>IF(ISBLANK('Raw counts'!A51),"",'Raw counts'!A51)</f>
        <v>Attr47</v>
      </c>
      <c r="B50" s="19" t="str">
        <f>IF(ISBLANK('Raw counts'!B51),"",IF(IF('4'!B50="+1",IF('6'!B50&gt;='6'!$V$3,"adv",'4'!B50),'4'!B50)="adv",'3'!B50,0))</f>
        <v/>
      </c>
      <c r="C50" s="19" t="str">
        <f>IF(ISBLANK('Raw counts'!C51),"",IF(IF('4'!C50="+1",IF('6'!C50&gt;='6'!$V$3,"adv",'4'!C50),'4'!C50)="adv",'3'!C50,0))</f>
        <v/>
      </c>
      <c r="D50" s="19" t="str">
        <f>IF(ISBLANK('Raw counts'!D51),"",IF(IF('4'!D50="+1",IF('6'!D50&gt;='6'!$V$3,"adv",'4'!D50),'4'!D50)="adv",'3'!D50,0))</f>
        <v/>
      </c>
      <c r="E50" s="19" t="str">
        <f>IF(ISBLANK('Raw counts'!E51),"",IF(IF('4'!E50="+1",IF('6'!E50&gt;='6'!$V$3,"adv",'4'!E50),'4'!E50)="adv",'3'!E50,0))</f>
        <v/>
      </c>
      <c r="F50" s="19" t="str">
        <f>IF(ISBLANK('Raw counts'!F51),"",IF(IF('4'!F50="+1",IF('6'!F50&gt;='6'!$V$3,"adv",'4'!F50),'4'!F50)="adv",'3'!F50,0))</f>
        <v/>
      </c>
      <c r="G50" s="19" t="str">
        <f>IF(ISBLANK('Raw counts'!G51),"",IF(IF('4'!G50="+1",IF('6'!G50&gt;='6'!$V$3,"adv",'4'!G50),'4'!G50)="adv",'3'!G50,0))</f>
        <v/>
      </c>
      <c r="H50" s="19" t="str">
        <f>IF(ISBLANK('Raw counts'!H51),"",IF(IF('4'!H50="+1",IF('6'!H50&gt;='6'!$V$3,"adv",'4'!H50),'4'!H50)="adv",'3'!H50,0))</f>
        <v/>
      </c>
      <c r="I50" s="19" t="str">
        <f>IF(ISBLANK('Raw counts'!I51),"",IF(IF('4'!I50="+1",IF('6'!I50&gt;='6'!$V$3,"adv",'4'!I50),'4'!I50)="adv",'3'!I50,0))</f>
        <v/>
      </c>
      <c r="J50" s="19" t="str">
        <f>IF(ISBLANK('Raw counts'!J51),"",IF(IF('4'!J50="+1",IF('6'!J50&gt;='6'!$V$3,"adv",'4'!J50),'4'!J50)="adv",'3'!J50,0))</f>
        <v/>
      </c>
      <c r="K50" s="19" t="str">
        <f>IF(ISBLANK('Raw counts'!K51),"",IF(IF('4'!K50="+1",IF('6'!K50&gt;='6'!$V$3,"adv",'4'!K50),'4'!K50)="adv",'3'!K50,0))</f>
        <v/>
      </c>
      <c r="L50" s="19" t="str">
        <f>IF(ISBLANK('Raw counts'!L51),"",IF(IF('4'!L50="+1",IF('6'!L50&gt;='6'!$V$3,"adv",'4'!L50),'4'!L50)="adv",'3'!L50,0))</f>
        <v/>
      </c>
      <c r="M50" s="19" t="str">
        <f>IF(ISBLANK('Raw counts'!M51),"",IF(IF('4'!M50="+1",IF('6'!M50&gt;='6'!$V$3,"adv",'4'!M50),'4'!M50)="adv",'3'!M50,0))</f>
        <v/>
      </c>
      <c r="N50" s="19" t="str">
        <f>IF(ISBLANK('Raw counts'!N51),"",IF(IF('4'!N50="+1",IF('6'!N50&gt;='6'!$V$3,"adv",'4'!N50),'4'!N50)="adv",'3'!N50,0))</f>
        <v/>
      </c>
      <c r="O50" s="19" t="str">
        <f>IF(ISBLANK('Raw counts'!O51),"",IF(IF('4'!O50="+1",IF('6'!O50&gt;='6'!$V$3,"adv",'4'!O50),'4'!O50)="adv",'3'!O50,0))</f>
        <v/>
      </c>
      <c r="P50" s="19" t="str">
        <f>IF(ISBLANK('Raw counts'!P51),"",IF(IF('4'!P50="+1",IF('6'!P50&gt;='6'!$V$3,"adv",'4'!P50),'4'!P50)="adv",'3'!P50,0))</f>
        <v/>
      </c>
      <c r="Q50" s="19" t="str">
        <f>IF(ISBLANK('Raw counts'!Q51),"",IF(IF('4'!Q50="+1",IF('6'!Q50&gt;='6'!$V$3,"adv",'4'!Q50),'4'!Q50)="adv",'3'!Q50,0))</f>
        <v/>
      </c>
      <c r="R50" s="19" t="str">
        <f>IF(ISBLANK('Raw counts'!R51),"",IF(IF('4'!R50="+1",IF('6'!R50&gt;='6'!$V$3,"adv",'4'!R50),'4'!R50)="adv",'3'!R50,0))</f>
        <v/>
      </c>
      <c r="S50" s="19" t="str">
        <f>IF(ISBLANK('Raw counts'!S51),"",IF(IF('4'!S50="+1",IF('6'!S50&gt;='6'!$V$3,"adv",'4'!S50),'4'!S50)="adv",'3'!S50,0))</f>
        <v/>
      </c>
      <c r="T50" s="19" t="str">
        <f>IF(ISBLANK('Raw counts'!T51),"",IF(IF('4'!T50="+1",IF('6'!T50&gt;='6'!$V$3,"adv",'4'!T50),'4'!T50)="adv",'3'!T50,0))</f>
        <v/>
      </c>
      <c r="U50" s="19" t="str">
        <f>IF(ISBLANK('Raw counts'!U51),"",IF(IF('4'!U50="+1",IF('6'!U50&gt;='6'!$V$3,"adv",'4'!U50),'4'!U50)="adv",'3'!U50,0))</f>
        <v/>
      </c>
      <c r="V50" s="3">
        <f t="shared" si="0"/>
        <v>0</v>
      </c>
    </row>
    <row r="51" spans="1:22" x14ac:dyDescent="0.15">
      <c r="A51" s="18" t="str">
        <f>IF(ISBLANK('Raw counts'!A52),"",'Raw counts'!A52)</f>
        <v>Attr48</v>
      </c>
      <c r="B51" s="19" t="str">
        <f>IF(ISBLANK('Raw counts'!B52),"",IF(IF('4'!B51="+1",IF('6'!B51&gt;='6'!$V$3,"adv",'4'!B51),'4'!B51)="adv",'3'!B51,0))</f>
        <v/>
      </c>
      <c r="C51" s="19" t="str">
        <f>IF(ISBLANK('Raw counts'!C52),"",IF(IF('4'!C51="+1",IF('6'!C51&gt;='6'!$V$3,"adv",'4'!C51),'4'!C51)="adv",'3'!C51,0))</f>
        <v/>
      </c>
      <c r="D51" s="19" t="str">
        <f>IF(ISBLANK('Raw counts'!D52),"",IF(IF('4'!D51="+1",IF('6'!D51&gt;='6'!$V$3,"adv",'4'!D51),'4'!D51)="adv",'3'!D51,0))</f>
        <v/>
      </c>
      <c r="E51" s="19" t="str">
        <f>IF(ISBLANK('Raw counts'!E52),"",IF(IF('4'!E51="+1",IF('6'!E51&gt;='6'!$V$3,"adv",'4'!E51),'4'!E51)="adv",'3'!E51,0))</f>
        <v/>
      </c>
      <c r="F51" s="19" t="str">
        <f>IF(ISBLANK('Raw counts'!F52),"",IF(IF('4'!F51="+1",IF('6'!F51&gt;='6'!$V$3,"adv",'4'!F51),'4'!F51)="adv",'3'!F51,0))</f>
        <v/>
      </c>
      <c r="G51" s="19" t="str">
        <f>IF(ISBLANK('Raw counts'!G52),"",IF(IF('4'!G51="+1",IF('6'!G51&gt;='6'!$V$3,"adv",'4'!G51),'4'!G51)="adv",'3'!G51,0))</f>
        <v/>
      </c>
      <c r="H51" s="19" t="str">
        <f>IF(ISBLANK('Raw counts'!H52),"",IF(IF('4'!H51="+1",IF('6'!H51&gt;='6'!$V$3,"adv",'4'!H51),'4'!H51)="adv",'3'!H51,0))</f>
        <v/>
      </c>
      <c r="I51" s="19" t="str">
        <f>IF(ISBLANK('Raw counts'!I52),"",IF(IF('4'!I51="+1",IF('6'!I51&gt;='6'!$V$3,"adv",'4'!I51),'4'!I51)="adv",'3'!I51,0))</f>
        <v/>
      </c>
      <c r="J51" s="19" t="str">
        <f>IF(ISBLANK('Raw counts'!J52),"",IF(IF('4'!J51="+1",IF('6'!J51&gt;='6'!$V$3,"adv",'4'!J51),'4'!J51)="adv",'3'!J51,0))</f>
        <v/>
      </c>
      <c r="K51" s="19" t="str">
        <f>IF(ISBLANK('Raw counts'!K52),"",IF(IF('4'!K51="+1",IF('6'!K51&gt;='6'!$V$3,"adv",'4'!K51),'4'!K51)="adv",'3'!K51,0))</f>
        <v/>
      </c>
      <c r="L51" s="19" t="str">
        <f>IF(ISBLANK('Raw counts'!L52),"",IF(IF('4'!L51="+1",IF('6'!L51&gt;='6'!$V$3,"adv",'4'!L51),'4'!L51)="adv",'3'!L51,0))</f>
        <v/>
      </c>
      <c r="M51" s="19" t="str">
        <f>IF(ISBLANK('Raw counts'!M52),"",IF(IF('4'!M51="+1",IF('6'!M51&gt;='6'!$V$3,"adv",'4'!M51),'4'!M51)="adv",'3'!M51,0))</f>
        <v/>
      </c>
      <c r="N51" s="19" t="str">
        <f>IF(ISBLANK('Raw counts'!N52),"",IF(IF('4'!N51="+1",IF('6'!N51&gt;='6'!$V$3,"adv",'4'!N51),'4'!N51)="adv",'3'!N51,0))</f>
        <v/>
      </c>
      <c r="O51" s="19" t="str">
        <f>IF(ISBLANK('Raw counts'!O52),"",IF(IF('4'!O51="+1",IF('6'!O51&gt;='6'!$V$3,"adv",'4'!O51),'4'!O51)="adv",'3'!O51,0))</f>
        <v/>
      </c>
      <c r="P51" s="19" t="str">
        <f>IF(ISBLANK('Raw counts'!P52),"",IF(IF('4'!P51="+1",IF('6'!P51&gt;='6'!$V$3,"adv",'4'!P51),'4'!P51)="adv",'3'!P51,0))</f>
        <v/>
      </c>
      <c r="Q51" s="19" t="str">
        <f>IF(ISBLANK('Raw counts'!Q52),"",IF(IF('4'!Q51="+1",IF('6'!Q51&gt;='6'!$V$3,"adv",'4'!Q51),'4'!Q51)="adv",'3'!Q51,0))</f>
        <v/>
      </c>
      <c r="R51" s="19" t="str">
        <f>IF(ISBLANK('Raw counts'!R52),"",IF(IF('4'!R51="+1",IF('6'!R51&gt;='6'!$V$3,"adv",'4'!R51),'4'!R51)="adv",'3'!R51,0))</f>
        <v/>
      </c>
      <c r="S51" s="19" t="str">
        <f>IF(ISBLANK('Raw counts'!S52),"",IF(IF('4'!S51="+1",IF('6'!S51&gt;='6'!$V$3,"adv",'4'!S51),'4'!S51)="adv",'3'!S51,0))</f>
        <v/>
      </c>
      <c r="T51" s="19" t="str">
        <f>IF(ISBLANK('Raw counts'!T52),"",IF(IF('4'!T51="+1",IF('6'!T51&gt;='6'!$V$3,"adv",'4'!T51),'4'!T51)="adv",'3'!T51,0))</f>
        <v/>
      </c>
      <c r="U51" s="19" t="str">
        <f>IF(ISBLANK('Raw counts'!U52),"",IF(IF('4'!U51="+1",IF('6'!U51&gt;='6'!$V$3,"adv",'4'!U51),'4'!U51)="adv",'3'!U51,0))</f>
        <v/>
      </c>
      <c r="V51" s="3">
        <f t="shared" si="0"/>
        <v>0</v>
      </c>
    </row>
    <row r="52" spans="1:22" x14ac:dyDescent="0.15">
      <c r="A52" s="18" t="str">
        <f>IF(ISBLANK('Raw counts'!A53),"",'Raw counts'!A53)</f>
        <v>Attr49</v>
      </c>
      <c r="B52" s="19" t="str">
        <f>IF(ISBLANK('Raw counts'!B53),"",IF(IF('4'!B52="+1",IF('6'!B52&gt;='6'!$V$3,"adv",'4'!B52),'4'!B52)="adv",'3'!B52,0))</f>
        <v/>
      </c>
      <c r="C52" s="19" t="str">
        <f>IF(ISBLANK('Raw counts'!C53),"",IF(IF('4'!C52="+1",IF('6'!C52&gt;='6'!$V$3,"adv",'4'!C52),'4'!C52)="adv",'3'!C52,0))</f>
        <v/>
      </c>
      <c r="D52" s="19" t="str">
        <f>IF(ISBLANK('Raw counts'!D53),"",IF(IF('4'!D52="+1",IF('6'!D52&gt;='6'!$V$3,"adv",'4'!D52),'4'!D52)="adv",'3'!D52,0))</f>
        <v/>
      </c>
      <c r="E52" s="19" t="str">
        <f>IF(ISBLANK('Raw counts'!E53),"",IF(IF('4'!E52="+1",IF('6'!E52&gt;='6'!$V$3,"adv",'4'!E52),'4'!E52)="adv",'3'!E52,0))</f>
        <v/>
      </c>
      <c r="F52" s="19" t="str">
        <f>IF(ISBLANK('Raw counts'!F53),"",IF(IF('4'!F52="+1",IF('6'!F52&gt;='6'!$V$3,"adv",'4'!F52),'4'!F52)="adv",'3'!F52,0))</f>
        <v/>
      </c>
      <c r="G52" s="19" t="str">
        <f>IF(ISBLANK('Raw counts'!G53),"",IF(IF('4'!G52="+1",IF('6'!G52&gt;='6'!$V$3,"adv",'4'!G52),'4'!G52)="adv",'3'!G52,0))</f>
        <v/>
      </c>
      <c r="H52" s="19" t="str">
        <f>IF(ISBLANK('Raw counts'!H53),"",IF(IF('4'!H52="+1",IF('6'!H52&gt;='6'!$V$3,"adv",'4'!H52),'4'!H52)="adv",'3'!H52,0))</f>
        <v/>
      </c>
      <c r="I52" s="19" t="str">
        <f>IF(ISBLANK('Raw counts'!I53),"",IF(IF('4'!I52="+1",IF('6'!I52&gt;='6'!$V$3,"adv",'4'!I52),'4'!I52)="adv",'3'!I52,0))</f>
        <v/>
      </c>
      <c r="J52" s="19" t="str">
        <f>IF(ISBLANK('Raw counts'!J53),"",IF(IF('4'!J52="+1",IF('6'!J52&gt;='6'!$V$3,"adv",'4'!J52),'4'!J52)="adv",'3'!J52,0))</f>
        <v/>
      </c>
      <c r="K52" s="19" t="str">
        <f>IF(ISBLANK('Raw counts'!K53),"",IF(IF('4'!K52="+1",IF('6'!K52&gt;='6'!$V$3,"adv",'4'!K52),'4'!K52)="adv",'3'!K52,0))</f>
        <v/>
      </c>
      <c r="L52" s="19" t="str">
        <f>IF(ISBLANK('Raw counts'!L53),"",IF(IF('4'!L52="+1",IF('6'!L52&gt;='6'!$V$3,"adv",'4'!L52),'4'!L52)="adv",'3'!L52,0))</f>
        <v/>
      </c>
      <c r="M52" s="19" t="str">
        <f>IF(ISBLANK('Raw counts'!M53),"",IF(IF('4'!M52="+1",IF('6'!M52&gt;='6'!$V$3,"adv",'4'!M52),'4'!M52)="adv",'3'!M52,0))</f>
        <v/>
      </c>
      <c r="N52" s="19" t="str">
        <f>IF(ISBLANK('Raw counts'!N53),"",IF(IF('4'!N52="+1",IF('6'!N52&gt;='6'!$V$3,"adv",'4'!N52),'4'!N52)="adv",'3'!N52,0))</f>
        <v/>
      </c>
      <c r="O52" s="19" t="str">
        <f>IF(ISBLANK('Raw counts'!O53),"",IF(IF('4'!O52="+1",IF('6'!O52&gt;='6'!$V$3,"adv",'4'!O52),'4'!O52)="adv",'3'!O52,0))</f>
        <v/>
      </c>
      <c r="P52" s="19" t="str">
        <f>IF(ISBLANK('Raw counts'!P53),"",IF(IF('4'!P52="+1",IF('6'!P52&gt;='6'!$V$3,"adv",'4'!P52),'4'!P52)="adv",'3'!P52,0))</f>
        <v/>
      </c>
      <c r="Q52" s="19" t="str">
        <f>IF(ISBLANK('Raw counts'!Q53),"",IF(IF('4'!Q52="+1",IF('6'!Q52&gt;='6'!$V$3,"adv",'4'!Q52),'4'!Q52)="adv",'3'!Q52,0))</f>
        <v/>
      </c>
      <c r="R52" s="19" t="str">
        <f>IF(ISBLANK('Raw counts'!R53),"",IF(IF('4'!R52="+1",IF('6'!R52&gt;='6'!$V$3,"adv",'4'!R52),'4'!R52)="adv",'3'!R52,0))</f>
        <v/>
      </c>
      <c r="S52" s="19" t="str">
        <f>IF(ISBLANK('Raw counts'!S53),"",IF(IF('4'!S52="+1",IF('6'!S52&gt;='6'!$V$3,"adv",'4'!S52),'4'!S52)="adv",'3'!S52,0))</f>
        <v/>
      </c>
      <c r="T52" s="19" t="str">
        <f>IF(ISBLANK('Raw counts'!T53),"",IF(IF('4'!T52="+1",IF('6'!T52&gt;='6'!$V$3,"adv",'4'!T52),'4'!T52)="adv",'3'!T52,0))</f>
        <v/>
      </c>
      <c r="U52" s="19" t="str">
        <f>IF(ISBLANK('Raw counts'!U53),"",IF(IF('4'!U52="+1",IF('6'!U52&gt;='6'!$V$3,"adv",'4'!U52),'4'!U52)="adv",'3'!U52,0))</f>
        <v/>
      </c>
      <c r="V52" s="3">
        <f t="shared" si="0"/>
        <v>0</v>
      </c>
    </row>
    <row r="53" spans="1:22" x14ac:dyDescent="0.15">
      <c r="A53" s="18" t="str">
        <f>IF(ISBLANK('Raw counts'!A54),"",'Raw counts'!A54)</f>
        <v>Attr50</v>
      </c>
      <c r="B53" s="19" t="str">
        <f>IF(ISBLANK('Raw counts'!B54),"",IF(IF('4'!B53="+1",IF('6'!B53&gt;='6'!$V$3,"adv",'4'!B53),'4'!B53)="adv",'3'!B53,0))</f>
        <v/>
      </c>
      <c r="C53" s="19" t="str">
        <f>IF(ISBLANK('Raw counts'!C54),"",IF(IF('4'!C53="+1",IF('6'!C53&gt;='6'!$V$3,"adv",'4'!C53),'4'!C53)="adv",'3'!C53,0))</f>
        <v/>
      </c>
      <c r="D53" s="19" t="str">
        <f>IF(ISBLANK('Raw counts'!D54),"",IF(IF('4'!D53="+1",IF('6'!D53&gt;='6'!$V$3,"adv",'4'!D53),'4'!D53)="adv",'3'!D53,0))</f>
        <v/>
      </c>
      <c r="E53" s="19" t="str">
        <f>IF(ISBLANK('Raw counts'!E54),"",IF(IF('4'!E53="+1",IF('6'!E53&gt;='6'!$V$3,"adv",'4'!E53),'4'!E53)="adv",'3'!E53,0))</f>
        <v/>
      </c>
      <c r="F53" s="19" t="str">
        <f>IF(ISBLANK('Raw counts'!F54),"",IF(IF('4'!F53="+1",IF('6'!F53&gt;='6'!$V$3,"adv",'4'!F53),'4'!F53)="adv",'3'!F53,0))</f>
        <v/>
      </c>
      <c r="G53" s="19" t="str">
        <f>IF(ISBLANK('Raw counts'!G54),"",IF(IF('4'!G53="+1",IF('6'!G53&gt;='6'!$V$3,"adv",'4'!G53),'4'!G53)="adv",'3'!G53,0))</f>
        <v/>
      </c>
      <c r="H53" s="19" t="str">
        <f>IF(ISBLANK('Raw counts'!H54),"",IF(IF('4'!H53="+1",IF('6'!H53&gt;='6'!$V$3,"adv",'4'!H53),'4'!H53)="adv",'3'!H53,0))</f>
        <v/>
      </c>
      <c r="I53" s="19" t="str">
        <f>IF(ISBLANK('Raw counts'!I54),"",IF(IF('4'!I53="+1",IF('6'!I53&gt;='6'!$V$3,"adv",'4'!I53),'4'!I53)="adv",'3'!I53,0))</f>
        <v/>
      </c>
      <c r="J53" s="19" t="str">
        <f>IF(ISBLANK('Raw counts'!J54),"",IF(IF('4'!J53="+1",IF('6'!J53&gt;='6'!$V$3,"adv",'4'!J53),'4'!J53)="adv",'3'!J53,0))</f>
        <v/>
      </c>
      <c r="K53" s="19" t="str">
        <f>IF(ISBLANK('Raw counts'!K54),"",IF(IF('4'!K53="+1",IF('6'!K53&gt;='6'!$V$3,"adv",'4'!K53),'4'!K53)="adv",'3'!K53,0))</f>
        <v/>
      </c>
      <c r="L53" s="19" t="str">
        <f>IF(ISBLANK('Raw counts'!L54),"",IF(IF('4'!L53="+1",IF('6'!L53&gt;='6'!$V$3,"adv",'4'!L53),'4'!L53)="adv",'3'!L53,0))</f>
        <v/>
      </c>
      <c r="M53" s="19" t="str">
        <f>IF(ISBLANK('Raw counts'!M54),"",IF(IF('4'!M53="+1",IF('6'!M53&gt;='6'!$V$3,"adv",'4'!M53),'4'!M53)="adv",'3'!M53,0))</f>
        <v/>
      </c>
      <c r="N53" s="19" t="str">
        <f>IF(ISBLANK('Raw counts'!N54),"",IF(IF('4'!N53="+1",IF('6'!N53&gt;='6'!$V$3,"adv",'4'!N53),'4'!N53)="adv",'3'!N53,0))</f>
        <v/>
      </c>
      <c r="O53" s="19" t="str">
        <f>IF(ISBLANK('Raw counts'!O54),"",IF(IF('4'!O53="+1",IF('6'!O53&gt;='6'!$V$3,"adv",'4'!O53),'4'!O53)="adv",'3'!O53,0))</f>
        <v/>
      </c>
      <c r="P53" s="19" t="str">
        <f>IF(ISBLANK('Raw counts'!P54),"",IF(IF('4'!P53="+1",IF('6'!P53&gt;='6'!$V$3,"adv",'4'!P53),'4'!P53)="adv",'3'!P53,0))</f>
        <v/>
      </c>
      <c r="Q53" s="19" t="str">
        <f>IF(ISBLANK('Raw counts'!Q54),"",IF(IF('4'!Q53="+1",IF('6'!Q53&gt;='6'!$V$3,"adv",'4'!Q53),'4'!Q53)="adv",'3'!Q53,0))</f>
        <v/>
      </c>
      <c r="R53" s="19" t="str">
        <f>IF(ISBLANK('Raw counts'!R54),"",IF(IF('4'!R53="+1",IF('6'!R53&gt;='6'!$V$3,"adv",'4'!R53),'4'!R53)="adv",'3'!R53,0))</f>
        <v/>
      </c>
      <c r="S53" s="19" t="str">
        <f>IF(ISBLANK('Raw counts'!S54),"",IF(IF('4'!S53="+1",IF('6'!S53&gt;='6'!$V$3,"adv",'4'!S53),'4'!S53)="adv",'3'!S53,0))</f>
        <v/>
      </c>
      <c r="T53" s="19" t="str">
        <f>IF(ISBLANK('Raw counts'!T54),"",IF(IF('4'!T53="+1",IF('6'!T53&gt;='6'!$V$3,"adv",'4'!T53),'4'!T53)="adv",'3'!T53,0))</f>
        <v/>
      </c>
      <c r="U53" s="19" t="str">
        <f>IF(ISBLANK('Raw counts'!U54),"",IF(IF('4'!U53="+1",IF('6'!U53&gt;='6'!$V$3,"adv",'4'!U53),'4'!U53)="adv",'3'!U53,0))</f>
        <v/>
      </c>
      <c r="V53" s="3">
        <f t="shared" si="0"/>
        <v>0</v>
      </c>
    </row>
    <row r="54" spans="1:22" x14ac:dyDescent="0.15">
      <c r="A54" s="18" t="str">
        <f>IF(ISBLANK('Raw counts'!A55),"",'Raw counts'!A55)</f>
        <v>Attr51</v>
      </c>
      <c r="B54" s="19" t="str">
        <f>IF(ISBLANK('Raw counts'!B55),"",IF(IF('4'!B54="+1",IF('6'!B54&gt;='6'!$V$3,"adv",'4'!B54),'4'!B54)="adv",'3'!B54,0))</f>
        <v/>
      </c>
      <c r="C54" s="19" t="str">
        <f>IF(ISBLANK('Raw counts'!C55),"",IF(IF('4'!C54="+1",IF('6'!C54&gt;='6'!$V$3,"adv",'4'!C54),'4'!C54)="adv",'3'!C54,0))</f>
        <v/>
      </c>
      <c r="D54" s="19" t="str">
        <f>IF(ISBLANK('Raw counts'!D55),"",IF(IF('4'!D54="+1",IF('6'!D54&gt;='6'!$V$3,"adv",'4'!D54),'4'!D54)="adv",'3'!D54,0))</f>
        <v/>
      </c>
      <c r="E54" s="19" t="str">
        <f>IF(ISBLANK('Raw counts'!E55),"",IF(IF('4'!E54="+1",IF('6'!E54&gt;='6'!$V$3,"adv",'4'!E54),'4'!E54)="adv",'3'!E54,0))</f>
        <v/>
      </c>
      <c r="F54" s="19" t="str">
        <f>IF(ISBLANK('Raw counts'!F55),"",IF(IF('4'!F54="+1",IF('6'!F54&gt;='6'!$V$3,"adv",'4'!F54),'4'!F54)="adv",'3'!F54,0))</f>
        <v/>
      </c>
      <c r="G54" s="19" t="str">
        <f>IF(ISBLANK('Raw counts'!G55),"",IF(IF('4'!G54="+1",IF('6'!G54&gt;='6'!$V$3,"adv",'4'!G54),'4'!G54)="adv",'3'!G54,0))</f>
        <v/>
      </c>
      <c r="H54" s="19" t="str">
        <f>IF(ISBLANK('Raw counts'!H55),"",IF(IF('4'!H54="+1",IF('6'!H54&gt;='6'!$V$3,"adv",'4'!H54),'4'!H54)="adv",'3'!H54,0))</f>
        <v/>
      </c>
      <c r="I54" s="19" t="str">
        <f>IF(ISBLANK('Raw counts'!I55),"",IF(IF('4'!I54="+1",IF('6'!I54&gt;='6'!$V$3,"adv",'4'!I54),'4'!I54)="adv",'3'!I54,0))</f>
        <v/>
      </c>
      <c r="J54" s="19" t="str">
        <f>IF(ISBLANK('Raw counts'!J55),"",IF(IF('4'!J54="+1",IF('6'!J54&gt;='6'!$V$3,"adv",'4'!J54),'4'!J54)="adv",'3'!J54,0))</f>
        <v/>
      </c>
      <c r="K54" s="19" t="str">
        <f>IF(ISBLANK('Raw counts'!K55),"",IF(IF('4'!K54="+1",IF('6'!K54&gt;='6'!$V$3,"adv",'4'!K54),'4'!K54)="adv",'3'!K54,0))</f>
        <v/>
      </c>
      <c r="L54" s="19" t="str">
        <f>IF(ISBLANK('Raw counts'!L55),"",IF(IF('4'!L54="+1",IF('6'!L54&gt;='6'!$V$3,"adv",'4'!L54),'4'!L54)="adv",'3'!L54,0))</f>
        <v/>
      </c>
      <c r="M54" s="19" t="str">
        <f>IF(ISBLANK('Raw counts'!M55),"",IF(IF('4'!M54="+1",IF('6'!M54&gt;='6'!$V$3,"adv",'4'!M54),'4'!M54)="adv",'3'!M54,0))</f>
        <v/>
      </c>
      <c r="N54" s="19" t="str">
        <f>IF(ISBLANK('Raw counts'!N55),"",IF(IF('4'!N54="+1",IF('6'!N54&gt;='6'!$V$3,"adv",'4'!N54),'4'!N54)="adv",'3'!N54,0))</f>
        <v/>
      </c>
      <c r="O54" s="19" t="str">
        <f>IF(ISBLANK('Raw counts'!O55),"",IF(IF('4'!O54="+1",IF('6'!O54&gt;='6'!$V$3,"adv",'4'!O54),'4'!O54)="adv",'3'!O54,0))</f>
        <v/>
      </c>
      <c r="P54" s="19" t="str">
        <f>IF(ISBLANK('Raw counts'!P55),"",IF(IF('4'!P54="+1",IF('6'!P54&gt;='6'!$V$3,"adv",'4'!P54),'4'!P54)="adv",'3'!P54,0))</f>
        <v/>
      </c>
      <c r="Q54" s="19" t="str">
        <f>IF(ISBLANK('Raw counts'!Q55),"",IF(IF('4'!Q54="+1",IF('6'!Q54&gt;='6'!$V$3,"adv",'4'!Q54),'4'!Q54)="adv",'3'!Q54,0))</f>
        <v/>
      </c>
      <c r="R54" s="19" t="str">
        <f>IF(ISBLANK('Raw counts'!R55),"",IF(IF('4'!R54="+1",IF('6'!R54&gt;='6'!$V$3,"adv",'4'!R54),'4'!R54)="adv",'3'!R54,0))</f>
        <v/>
      </c>
      <c r="S54" s="19" t="str">
        <f>IF(ISBLANK('Raw counts'!S55),"",IF(IF('4'!S54="+1",IF('6'!S54&gt;='6'!$V$3,"adv",'4'!S54),'4'!S54)="adv",'3'!S54,0))</f>
        <v/>
      </c>
      <c r="T54" s="19" t="str">
        <f>IF(ISBLANK('Raw counts'!T55),"",IF(IF('4'!T54="+1",IF('6'!T54&gt;='6'!$V$3,"adv",'4'!T54),'4'!T54)="adv",'3'!T54,0))</f>
        <v/>
      </c>
      <c r="U54" s="19" t="str">
        <f>IF(ISBLANK('Raw counts'!U55),"",IF(IF('4'!U54="+1",IF('6'!U54&gt;='6'!$V$3,"adv",'4'!U54),'4'!U54)="adv",'3'!U54,0))</f>
        <v/>
      </c>
      <c r="V54" s="3">
        <f t="shared" si="0"/>
        <v>0</v>
      </c>
    </row>
    <row r="55" spans="1:22" x14ac:dyDescent="0.15">
      <c r="A55" s="18" t="str">
        <f>IF(ISBLANK('Raw counts'!A56),"",'Raw counts'!A56)</f>
        <v>Attr52</v>
      </c>
      <c r="B55" s="19" t="str">
        <f>IF(ISBLANK('Raw counts'!B56),"",IF(IF('4'!B55="+1",IF('6'!B55&gt;='6'!$V$3,"adv",'4'!B55),'4'!B55)="adv",'3'!B55,0))</f>
        <v/>
      </c>
      <c r="C55" s="19" t="str">
        <f>IF(ISBLANK('Raw counts'!C56),"",IF(IF('4'!C55="+1",IF('6'!C55&gt;='6'!$V$3,"adv",'4'!C55),'4'!C55)="adv",'3'!C55,0))</f>
        <v/>
      </c>
      <c r="D55" s="19" t="str">
        <f>IF(ISBLANK('Raw counts'!D56),"",IF(IF('4'!D55="+1",IF('6'!D55&gt;='6'!$V$3,"adv",'4'!D55),'4'!D55)="adv",'3'!D55,0))</f>
        <v/>
      </c>
      <c r="E55" s="19" t="str">
        <f>IF(ISBLANK('Raw counts'!E56),"",IF(IF('4'!E55="+1",IF('6'!E55&gt;='6'!$V$3,"adv",'4'!E55),'4'!E55)="adv",'3'!E55,0))</f>
        <v/>
      </c>
      <c r="F55" s="19" t="str">
        <f>IF(ISBLANK('Raw counts'!F56),"",IF(IF('4'!F55="+1",IF('6'!F55&gt;='6'!$V$3,"adv",'4'!F55),'4'!F55)="adv",'3'!F55,0))</f>
        <v/>
      </c>
      <c r="G55" s="19" t="str">
        <f>IF(ISBLANK('Raw counts'!G56),"",IF(IF('4'!G55="+1",IF('6'!G55&gt;='6'!$V$3,"adv",'4'!G55),'4'!G55)="adv",'3'!G55,0))</f>
        <v/>
      </c>
      <c r="H55" s="19" t="str">
        <f>IF(ISBLANK('Raw counts'!H56),"",IF(IF('4'!H55="+1",IF('6'!H55&gt;='6'!$V$3,"adv",'4'!H55),'4'!H55)="adv",'3'!H55,0))</f>
        <v/>
      </c>
      <c r="I55" s="19" t="str">
        <f>IF(ISBLANK('Raw counts'!I56),"",IF(IF('4'!I55="+1",IF('6'!I55&gt;='6'!$V$3,"adv",'4'!I55),'4'!I55)="adv",'3'!I55,0))</f>
        <v/>
      </c>
      <c r="J55" s="19" t="str">
        <f>IF(ISBLANK('Raw counts'!J56),"",IF(IF('4'!J55="+1",IF('6'!J55&gt;='6'!$V$3,"adv",'4'!J55),'4'!J55)="adv",'3'!J55,0))</f>
        <v/>
      </c>
      <c r="K55" s="19" t="str">
        <f>IF(ISBLANK('Raw counts'!K56),"",IF(IF('4'!K55="+1",IF('6'!K55&gt;='6'!$V$3,"adv",'4'!K55),'4'!K55)="adv",'3'!K55,0))</f>
        <v/>
      </c>
      <c r="L55" s="19" t="str">
        <f>IF(ISBLANK('Raw counts'!L56),"",IF(IF('4'!L55="+1",IF('6'!L55&gt;='6'!$V$3,"adv",'4'!L55),'4'!L55)="adv",'3'!L55,0))</f>
        <v/>
      </c>
      <c r="M55" s="19" t="str">
        <f>IF(ISBLANK('Raw counts'!M56),"",IF(IF('4'!M55="+1",IF('6'!M55&gt;='6'!$V$3,"adv",'4'!M55),'4'!M55)="adv",'3'!M55,0))</f>
        <v/>
      </c>
      <c r="N55" s="19" t="str">
        <f>IF(ISBLANK('Raw counts'!N56),"",IF(IF('4'!N55="+1",IF('6'!N55&gt;='6'!$V$3,"adv",'4'!N55),'4'!N55)="adv",'3'!N55,0))</f>
        <v/>
      </c>
      <c r="O55" s="19" t="str">
        <f>IF(ISBLANK('Raw counts'!O56),"",IF(IF('4'!O55="+1",IF('6'!O55&gt;='6'!$V$3,"adv",'4'!O55),'4'!O55)="adv",'3'!O55,0))</f>
        <v/>
      </c>
      <c r="P55" s="19" t="str">
        <f>IF(ISBLANK('Raw counts'!P56),"",IF(IF('4'!P55="+1",IF('6'!P55&gt;='6'!$V$3,"adv",'4'!P55),'4'!P55)="adv",'3'!P55,0))</f>
        <v/>
      </c>
      <c r="Q55" s="19" t="str">
        <f>IF(ISBLANK('Raw counts'!Q56),"",IF(IF('4'!Q55="+1",IF('6'!Q55&gt;='6'!$V$3,"adv",'4'!Q55),'4'!Q55)="adv",'3'!Q55,0))</f>
        <v/>
      </c>
      <c r="R55" s="19" t="str">
        <f>IF(ISBLANK('Raw counts'!R56),"",IF(IF('4'!R55="+1",IF('6'!R55&gt;='6'!$V$3,"adv",'4'!R55),'4'!R55)="adv",'3'!R55,0))</f>
        <v/>
      </c>
      <c r="S55" s="19" t="str">
        <f>IF(ISBLANK('Raw counts'!S56),"",IF(IF('4'!S55="+1",IF('6'!S55&gt;='6'!$V$3,"adv",'4'!S55),'4'!S55)="adv",'3'!S55,0))</f>
        <v/>
      </c>
      <c r="T55" s="19" t="str">
        <f>IF(ISBLANK('Raw counts'!T56),"",IF(IF('4'!T55="+1",IF('6'!T55&gt;='6'!$V$3,"adv",'4'!T55),'4'!T55)="adv",'3'!T55,0))</f>
        <v/>
      </c>
      <c r="U55" s="19" t="str">
        <f>IF(ISBLANK('Raw counts'!U56),"",IF(IF('4'!U55="+1",IF('6'!U55&gt;='6'!$V$3,"adv",'4'!U55),'4'!U55)="adv",'3'!U55,0))</f>
        <v/>
      </c>
      <c r="V55" s="3">
        <f t="shared" si="0"/>
        <v>0</v>
      </c>
    </row>
    <row r="56" spans="1:22" x14ac:dyDescent="0.15">
      <c r="A56" s="18" t="str">
        <f>IF(ISBLANK('Raw counts'!A57),"",'Raw counts'!A57)</f>
        <v>Attr53</v>
      </c>
      <c r="B56" s="19" t="str">
        <f>IF(ISBLANK('Raw counts'!B57),"",IF(IF('4'!B56="+1",IF('6'!B56&gt;='6'!$V$3,"adv",'4'!B56),'4'!B56)="adv",'3'!B56,0))</f>
        <v/>
      </c>
      <c r="C56" s="19" t="str">
        <f>IF(ISBLANK('Raw counts'!C57),"",IF(IF('4'!C56="+1",IF('6'!C56&gt;='6'!$V$3,"adv",'4'!C56),'4'!C56)="adv",'3'!C56,0))</f>
        <v/>
      </c>
      <c r="D56" s="19" t="str">
        <f>IF(ISBLANK('Raw counts'!D57),"",IF(IF('4'!D56="+1",IF('6'!D56&gt;='6'!$V$3,"adv",'4'!D56),'4'!D56)="adv",'3'!D56,0))</f>
        <v/>
      </c>
      <c r="E56" s="19" t="str">
        <f>IF(ISBLANK('Raw counts'!E57),"",IF(IF('4'!E56="+1",IF('6'!E56&gt;='6'!$V$3,"adv",'4'!E56),'4'!E56)="adv",'3'!E56,0))</f>
        <v/>
      </c>
      <c r="F56" s="19" t="str">
        <f>IF(ISBLANK('Raw counts'!F57),"",IF(IF('4'!F56="+1",IF('6'!F56&gt;='6'!$V$3,"adv",'4'!F56),'4'!F56)="adv",'3'!F56,0))</f>
        <v/>
      </c>
      <c r="G56" s="19" t="str">
        <f>IF(ISBLANK('Raw counts'!G57),"",IF(IF('4'!G56="+1",IF('6'!G56&gt;='6'!$V$3,"adv",'4'!G56),'4'!G56)="adv",'3'!G56,0))</f>
        <v/>
      </c>
      <c r="H56" s="19" t="str">
        <f>IF(ISBLANK('Raw counts'!H57),"",IF(IF('4'!H56="+1",IF('6'!H56&gt;='6'!$V$3,"adv",'4'!H56),'4'!H56)="adv",'3'!H56,0))</f>
        <v/>
      </c>
      <c r="I56" s="19" t="str">
        <f>IF(ISBLANK('Raw counts'!I57),"",IF(IF('4'!I56="+1",IF('6'!I56&gt;='6'!$V$3,"adv",'4'!I56),'4'!I56)="adv",'3'!I56,0))</f>
        <v/>
      </c>
      <c r="J56" s="19" t="str">
        <f>IF(ISBLANK('Raw counts'!J57),"",IF(IF('4'!J56="+1",IF('6'!J56&gt;='6'!$V$3,"adv",'4'!J56),'4'!J56)="adv",'3'!J56,0))</f>
        <v/>
      </c>
      <c r="K56" s="19" t="str">
        <f>IF(ISBLANK('Raw counts'!K57),"",IF(IF('4'!K56="+1",IF('6'!K56&gt;='6'!$V$3,"adv",'4'!K56),'4'!K56)="adv",'3'!K56,0))</f>
        <v/>
      </c>
      <c r="L56" s="19" t="str">
        <f>IF(ISBLANK('Raw counts'!L57),"",IF(IF('4'!L56="+1",IF('6'!L56&gt;='6'!$V$3,"adv",'4'!L56),'4'!L56)="adv",'3'!L56,0))</f>
        <v/>
      </c>
      <c r="M56" s="19" t="str">
        <f>IF(ISBLANK('Raw counts'!M57),"",IF(IF('4'!M56="+1",IF('6'!M56&gt;='6'!$V$3,"adv",'4'!M56),'4'!M56)="adv",'3'!M56,0))</f>
        <v/>
      </c>
      <c r="N56" s="19" t="str">
        <f>IF(ISBLANK('Raw counts'!N57),"",IF(IF('4'!N56="+1",IF('6'!N56&gt;='6'!$V$3,"adv",'4'!N56),'4'!N56)="adv",'3'!N56,0))</f>
        <v/>
      </c>
      <c r="O56" s="19" t="str">
        <f>IF(ISBLANK('Raw counts'!O57),"",IF(IF('4'!O56="+1",IF('6'!O56&gt;='6'!$V$3,"adv",'4'!O56),'4'!O56)="adv",'3'!O56,0))</f>
        <v/>
      </c>
      <c r="P56" s="19" t="str">
        <f>IF(ISBLANK('Raw counts'!P57),"",IF(IF('4'!P56="+1",IF('6'!P56&gt;='6'!$V$3,"adv",'4'!P56),'4'!P56)="adv",'3'!P56,0))</f>
        <v/>
      </c>
      <c r="Q56" s="19" t="str">
        <f>IF(ISBLANK('Raw counts'!Q57),"",IF(IF('4'!Q56="+1",IF('6'!Q56&gt;='6'!$V$3,"adv",'4'!Q56),'4'!Q56)="adv",'3'!Q56,0))</f>
        <v/>
      </c>
      <c r="R56" s="19" t="str">
        <f>IF(ISBLANK('Raw counts'!R57),"",IF(IF('4'!R56="+1",IF('6'!R56&gt;='6'!$V$3,"adv",'4'!R56),'4'!R56)="adv",'3'!R56,0))</f>
        <v/>
      </c>
      <c r="S56" s="19" t="str">
        <f>IF(ISBLANK('Raw counts'!S57),"",IF(IF('4'!S56="+1",IF('6'!S56&gt;='6'!$V$3,"adv",'4'!S56),'4'!S56)="adv",'3'!S56,0))</f>
        <v/>
      </c>
      <c r="T56" s="19" t="str">
        <f>IF(ISBLANK('Raw counts'!T57),"",IF(IF('4'!T56="+1",IF('6'!T56&gt;='6'!$V$3,"adv",'4'!T56),'4'!T56)="adv",'3'!T56,0))</f>
        <v/>
      </c>
      <c r="U56" s="19" t="str">
        <f>IF(ISBLANK('Raw counts'!U57),"",IF(IF('4'!U56="+1",IF('6'!U56&gt;='6'!$V$3,"adv",'4'!U56),'4'!U56)="adv",'3'!U56,0))</f>
        <v/>
      </c>
      <c r="V56" s="3">
        <f t="shared" si="0"/>
        <v>0</v>
      </c>
    </row>
    <row r="57" spans="1:22" x14ac:dyDescent="0.15">
      <c r="A57" s="18" t="str">
        <f>IF(ISBLANK('Raw counts'!A58),"",'Raw counts'!A58)</f>
        <v>Attr54</v>
      </c>
      <c r="B57" s="19" t="str">
        <f>IF(ISBLANK('Raw counts'!B58),"",IF(IF('4'!B57="+1",IF('6'!B57&gt;='6'!$V$3,"adv",'4'!B57),'4'!B57)="adv",'3'!B57,0))</f>
        <v/>
      </c>
      <c r="C57" s="19" t="str">
        <f>IF(ISBLANK('Raw counts'!C58),"",IF(IF('4'!C57="+1",IF('6'!C57&gt;='6'!$V$3,"adv",'4'!C57),'4'!C57)="adv",'3'!C57,0))</f>
        <v/>
      </c>
      <c r="D57" s="19" t="str">
        <f>IF(ISBLANK('Raw counts'!D58),"",IF(IF('4'!D57="+1",IF('6'!D57&gt;='6'!$V$3,"adv",'4'!D57),'4'!D57)="adv",'3'!D57,0))</f>
        <v/>
      </c>
      <c r="E57" s="19" t="str">
        <f>IF(ISBLANK('Raw counts'!E58),"",IF(IF('4'!E57="+1",IF('6'!E57&gt;='6'!$V$3,"adv",'4'!E57),'4'!E57)="adv",'3'!E57,0))</f>
        <v/>
      </c>
      <c r="F57" s="19" t="str">
        <f>IF(ISBLANK('Raw counts'!F58),"",IF(IF('4'!F57="+1",IF('6'!F57&gt;='6'!$V$3,"adv",'4'!F57),'4'!F57)="adv",'3'!F57,0))</f>
        <v/>
      </c>
      <c r="G57" s="19" t="str">
        <f>IF(ISBLANK('Raw counts'!G58),"",IF(IF('4'!G57="+1",IF('6'!G57&gt;='6'!$V$3,"adv",'4'!G57),'4'!G57)="adv",'3'!G57,0))</f>
        <v/>
      </c>
      <c r="H57" s="19" t="str">
        <f>IF(ISBLANK('Raw counts'!H58),"",IF(IF('4'!H57="+1",IF('6'!H57&gt;='6'!$V$3,"adv",'4'!H57),'4'!H57)="adv",'3'!H57,0))</f>
        <v/>
      </c>
      <c r="I57" s="19" t="str">
        <f>IF(ISBLANK('Raw counts'!I58),"",IF(IF('4'!I57="+1",IF('6'!I57&gt;='6'!$V$3,"adv",'4'!I57),'4'!I57)="adv",'3'!I57,0))</f>
        <v/>
      </c>
      <c r="J57" s="19" t="str">
        <f>IF(ISBLANK('Raw counts'!J58),"",IF(IF('4'!J57="+1",IF('6'!J57&gt;='6'!$V$3,"adv",'4'!J57),'4'!J57)="adv",'3'!J57,0))</f>
        <v/>
      </c>
      <c r="K57" s="19" t="str">
        <f>IF(ISBLANK('Raw counts'!K58),"",IF(IF('4'!K57="+1",IF('6'!K57&gt;='6'!$V$3,"adv",'4'!K57),'4'!K57)="adv",'3'!K57,0))</f>
        <v/>
      </c>
      <c r="L57" s="19" t="str">
        <f>IF(ISBLANK('Raw counts'!L58),"",IF(IF('4'!L57="+1",IF('6'!L57&gt;='6'!$V$3,"adv",'4'!L57),'4'!L57)="adv",'3'!L57,0))</f>
        <v/>
      </c>
      <c r="M57" s="19" t="str">
        <f>IF(ISBLANK('Raw counts'!M58),"",IF(IF('4'!M57="+1",IF('6'!M57&gt;='6'!$V$3,"adv",'4'!M57),'4'!M57)="adv",'3'!M57,0))</f>
        <v/>
      </c>
      <c r="N57" s="19" t="str">
        <f>IF(ISBLANK('Raw counts'!N58),"",IF(IF('4'!N57="+1",IF('6'!N57&gt;='6'!$V$3,"adv",'4'!N57),'4'!N57)="adv",'3'!N57,0))</f>
        <v/>
      </c>
      <c r="O57" s="19" t="str">
        <f>IF(ISBLANK('Raw counts'!O58),"",IF(IF('4'!O57="+1",IF('6'!O57&gt;='6'!$V$3,"adv",'4'!O57),'4'!O57)="adv",'3'!O57,0))</f>
        <v/>
      </c>
      <c r="P57" s="19" t="str">
        <f>IF(ISBLANK('Raw counts'!P58),"",IF(IF('4'!P57="+1",IF('6'!P57&gt;='6'!$V$3,"adv",'4'!P57),'4'!P57)="adv",'3'!P57,0))</f>
        <v/>
      </c>
      <c r="Q57" s="19" t="str">
        <f>IF(ISBLANK('Raw counts'!Q58),"",IF(IF('4'!Q57="+1",IF('6'!Q57&gt;='6'!$V$3,"adv",'4'!Q57),'4'!Q57)="adv",'3'!Q57,0))</f>
        <v/>
      </c>
      <c r="R57" s="19" t="str">
        <f>IF(ISBLANK('Raw counts'!R58),"",IF(IF('4'!R57="+1",IF('6'!R57&gt;='6'!$V$3,"adv",'4'!R57),'4'!R57)="adv",'3'!R57,0))</f>
        <v/>
      </c>
      <c r="S57" s="19" t="str">
        <f>IF(ISBLANK('Raw counts'!S58),"",IF(IF('4'!S57="+1",IF('6'!S57&gt;='6'!$V$3,"adv",'4'!S57),'4'!S57)="adv",'3'!S57,0))</f>
        <v/>
      </c>
      <c r="T57" s="19" t="str">
        <f>IF(ISBLANK('Raw counts'!T58),"",IF(IF('4'!T57="+1",IF('6'!T57&gt;='6'!$V$3,"adv",'4'!T57),'4'!T57)="adv",'3'!T57,0))</f>
        <v/>
      </c>
      <c r="U57" s="19" t="str">
        <f>IF(ISBLANK('Raw counts'!U58),"",IF(IF('4'!U57="+1",IF('6'!U57&gt;='6'!$V$3,"adv",'4'!U57),'4'!U57)="adv",'3'!U57,0))</f>
        <v/>
      </c>
      <c r="V57" s="3">
        <f t="shared" si="0"/>
        <v>0</v>
      </c>
    </row>
    <row r="58" spans="1:22" x14ac:dyDescent="0.15">
      <c r="A58" s="18" t="str">
        <f>IF(ISBLANK('Raw counts'!A59),"",'Raw counts'!A59)</f>
        <v>Attr55</v>
      </c>
      <c r="B58" s="19" t="str">
        <f>IF(ISBLANK('Raw counts'!B59),"",IF(IF('4'!B58="+1",IF('6'!B58&gt;='6'!$V$3,"adv",'4'!B58),'4'!B58)="adv",'3'!B58,0))</f>
        <v/>
      </c>
      <c r="C58" s="19" t="str">
        <f>IF(ISBLANK('Raw counts'!C59),"",IF(IF('4'!C58="+1",IF('6'!C58&gt;='6'!$V$3,"adv",'4'!C58),'4'!C58)="adv",'3'!C58,0))</f>
        <v/>
      </c>
      <c r="D58" s="19" t="str">
        <f>IF(ISBLANK('Raw counts'!D59),"",IF(IF('4'!D58="+1",IF('6'!D58&gt;='6'!$V$3,"adv",'4'!D58),'4'!D58)="adv",'3'!D58,0))</f>
        <v/>
      </c>
      <c r="E58" s="19" t="str">
        <f>IF(ISBLANK('Raw counts'!E59),"",IF(IF('4'!E58="+1",IF('6'!E58&gt;='6'!$V$3,"adv",'4'!E58),'4'!E58)="adv",'3'!E58,0))</f>
        <v/>
      </c>
      <c r="F58" s="19" t="str">
        <f>IF(ISBLANK('Raw counts'!F59),"",IF(IF('4'!F58="+1",IF('6'!F58&gt;='6'!$V$3,"adv",'4'!F58),'4'!F58)="adv",'3'!F58,0))</f>
        <v/>
      </c>
      <c r="G58" s="19" t="str">
        <f>IF(ISBLANK('Raw counts'!G59),"",IF(IF('4'!G58="+1",IF('6'!G58&gt;='6'!$V$3,"adv",'4'!G58),'4'!G58)="adv",'3'!G58,0))</f>
        <v/>
      </c>
      <c r="H58" s="19" t="str">
        <f>IF(ISBLANK('Raw counts'!H59),"",IF(IF('4'!H58="+1",IF('6'!H58&gt;='6'!$V$3,"adv",'4'!H58),'4'!H58)="adv",'3'!H58,0))</f>
        <v/>
      </c>
      <c r="I58" s="19" t="str">
        <f>IF(ISBLANK('Raw counts'!I59),"",IF(IF('4'!I58="+1",IF('6'!I58&gt;='6'!$V$3,"adv",'4'!I58),'4'!I58)="adv",'3'!I58,0))</f>
        <v/>
      </c>
      <c r="J58" s="19" t="str">
        <f>IF(ISBLANK('Raw counts'!J59),"",IF(IF('4'!J58="+1",IF('6'!J58&gt;='6'!$V$3,"adv",'4'!J58),'4'!J58)="adv",'3'!J58,0))</f>
        <v/>
      </c>
      <c r="K58" s="19" t="str">
        <f>IF(ISBLANK('Raw counts'!K59),"",IF(IF('4'!K58="+1",IF('6'!K58&gt;='6'!$V$3,"adv",'4'!K58),'4'!K58)="adv",'3'!K58,0))</f>
        <v/>
      </c>
      <c r="L58" s="19" t="str">
        <f>IF(ISBLANK('Raw counts'!L59),"",IF(IF('4'!L58="+1",IF('6'!L58&gt;='6'!$V$3,"adv",'4'!L58),'4'!L58)="adv",'3'!L58,0))</f>
        <v/>
      </c>
      <c r="M58" s="19" t="str">
        <f>IF(ISBLANK('Raw counts'!M59),"",IF(IF('4'!M58="+1",IF('6'!M58&gt;='6'!$V$3,"adv",'4'!M58),'4'!M58)="adv",'3'!M58,0))</f>
        <v/>
      </c>
      <c r="N58" s="19" t="str">
        <f>IF(ISBLANK('Raw counts'!N59),"",IF(IF('4'!N58="+1",IF('6'!N58&gt;='6'!$V$3,"adv",'4'!N58),'4'!N58)="adv",'3'!N58,0))</f>
        <v/>
      </c>
      <c r="O58" s="19" t="str">
        <f>IF(ISBLANK('Raw counts'!O59),"",IF(IF('4'!O58="+1",IF('6'!O58&gt;='6'!$V$3,"adv",'4'!O58),'4'!O58)="adv",'3'!O58,0))</f>
        <v/>
      </c>
      <c r="P58" s="19" t="str">
        <f>IF(ISBLANK('Raw counts'!P59),"",IF(IF('4'!P58="+1",IF('6'!P58&gt;='6'!$V$3,"adv",'4'!P58),'4'!P58)="adv",'3'!P58,0))</f>
        <v/>
      </c>
      <c r="Q58" s="19" t="str">
        <f>IF(ISBLANK('Raw counts'!Q59),"",IF(IF('4'!Q58="+1",IF('6'!Q58&gt;='6'!$V$3,"adv",'4'!Q58),'4'!Q58)="adv",'3'!Q58,0))</f>
        <v/>
      </c>
      <c r="R58" s="19" t="str">
        <f>IF(ISBLANK('Raw counts'!R59),"",IF(IF('4'!R58="+1",IF('6'!R58&gt;='6'!$V$3,"adv",'4'!R58),'4'!R58)="adv",'3'!R58,0))</f>
        <v/>
      </c>
      <c r="S58" s="19" t="str">
        <f>IF(ISBLANK('Raw counts'!S59),"",IF(IF('4'!S58="+1",IF('6'!S58&gt;='6'!$V$3,"adv",'4'!S58),'4'!S58)="adv",'3'!S58,0))</f>
        <v/>
      </c>
      <c r="T58" s="19" t="str">
        <f>IF(ISBLANK('Raw counts'!T59),"",IF(IF('4'!T58="+1",IF('6'!T58&gt;='6'!$V$3,"adv",'4'!T58),'4'!T58)="adv",'3'!T58,0))</f>
        <v/>
      </c>
      <c r="U58" s="19" t="str">
        <f>IF(ISBLANK('Raw counts'!U59),"",IF(IF('4'!U58="+1",IF('6'!U58&gt;='6'!$V$3,"adv",'4'!U58),'4'!U58)="adv",'3'!U58,0))</f>
        <v/>
      </c>
      <c r="V58" s="3">
        <f t="shared" si="0"/>
        <v>0</v>
      </c>
    </row>
    <row r="59" spans="1:22" x14ac:dyDescent="0.15">
      <c r="A59" s="18" t="str">
        <f>IF(ISBLANK('Raw counts'!A60),"",'Raw counts'!A60)</f>
        <v>Attr56</v>
      </c>
      <c r="B59" s="19" t="str">
        <f>IF(ISBLANK('Raw counts'!B60),"",IF(IF('4'!B59="+1",IF('6'!B59&gt;='6'!$V$3,"adv",'4'!B59),'4'!B59)="adv",'3'!B59,0))</f>
        <v/>
      </c>
      <c r="C59" s="19" t="str">
        <f>IF(ISBLANK('Raw counts'!C60),"",IF(IF('4'!C59="+1",IF('6'!C59&gt;='6'!$V$3,"adv",'4'!C59),'4'!C59)="adv",'3'!C59,0))</f>
        <v/>
      </c>
      <c r="D59" s="19" t="str">
        <f>IF(ISBLANK('Raw counts'!D60),"",IF(IF('4'!D59="+1",IF('6'!D59&gt;='6'!$V$3,"adv",'4'!D59),'4'!D59)="adv",'3'!D59,0))</f>
        <v/>
      </c>
      <c r="E59" s="19" t="str">
        <f>IF(ISBLANK('Raw counts'!E60),"",IF(IF('4'!E59="+1",IF('6'!E59&gt;='6'!$V$3,"adv",'4'!E59),'4'!E59)="adv",'3'!E59,0))</f>
        <v/>
      </c>
      <c r="F59" s="19" t="str">
        <f>IF(ISBLANK('Raw counts'!F60),"",IF(IF('4'!F59="+1",IF('6'!F59&gt;='6'!$V$3,"adv",'4'!F59),'4'!F59)="adv",'3'!F59,0))</f>
        <v/>
      </c>
      <c r="G59" s="19" t="str">
        <f>IF(ISBLANK('Raw counts'!G60),"",IF(IF('4'!G59="+1",IF('6'!G59&gt;='6'!$V$3,"adv",'4'!G59),'4'!G59)="adv",'3'!G59,0))</f>
        <v/>
      </c>
      <c r="H59" s="19" t="str">
        <f>IF(ISBLANK('Raw counts'!H60),"",IF(IF('4'!H59="+1",IF('6'!H59&gt;='6'!$V$3,"adv",'4'!H59),'4'!H59)="adv",'3'!H59,0))</f>
        <v/>
      </c>
      <c r="I59" s="19" t="str">
        <f>IF(ISBLANK('Raw counts'!I60),"",IF(IF('4'!I59="+1",IF('6'!I59&gt;='6'!$V$3,"adv",'4'!I59),'4'!I59)="adv",'3'!I59,0))</f>
        <v/>
      </c>
      <c r="J59" s="19" t="str">
        <f>IF(ISBLANK('Raw counts'!J60),"",IF(IF('4'!J59="+1",IF('6'!J59&gt;='6'!$V$3,"adv",'4'!J59),'4'!J59)="adv",'3'!J59,0))</f>
        <v/>
      </c>
      <c r="K59" s="19" t="str">
        <f>IF(ISBLANK('Raw counts'!K60),"",IF(IF('4'!K59="+1",IF('6'!K59&gt;='6'!$V$3,"adv",'4'!K59),'4'!K59)="adv",'3'!K59,0))</f>
        <v/>
      </c>
      <c r="L59" s="19" t="str">
        <f>IF(ISBLANK('Raw counts'!L60),"",IF(IF('4'!L59="+1",IF('6'!L59&gt;='6'!$V$3,"adv",'4'!L59),'4'!L59)="adv",'3'!L59,0))</f>
        <v/>
      </c>
      <c r="M59" s="19" t="str">
        <f>IF(ISBLANK('Raw counts'!M60),"",IF(IF('4'!M59="+1",IF('6'!M59&gt;='6'!$V$3,"adv",'4'!M59),'4'!M59)="adv",'3'!M59,0))</f>
        <v/>
      </c>
      <c r="N59" s="19" t="str">
        <f>IF(ISBLANK('Raw counts'!N60),"",IF(IF('4'!N59="+1",IF('6'!N59&gt;='6'!$V$3,"adv",'4'!N59),'4'!N59)="adv",'3'!N59,0))</f>
        <v/>
      </c>
      <c r="O59" s="19" t="str">
        <f>IF(ISBLANK('Raw counts'!O60),"",IF(IF('4'!O59="+1",IF('6'!O59&gt;='6'!$V$3,"adv",'4'!O59),'4'!O59)="adv",'3'!O59,0))</f>
        <v/>
      </c>
      <c r="P59" s="19" t="str">
        <f>IF(ISBLANK('Raw counts'!P60),"",IF(IF('4'!P59="+1",IF('6'!P59&gt;='6'!$V$3,"adv",'4'!P59),'4'!P59)="adv",'3'!P59,0))</f>
        <v/>
      </c>
      <c r="Q59" s="19" t="str">
        <f>IF(ISBLANK('Raw counts'!Q60),"",IF(IF('4'!Q59="+1",IF('6'!Q59&gt;='6'!$V$3,"adv",'4'!Q59),'4'!Q59)="adv",'3'!Q59,0))</f>
        <v/>
      </c>
      <c r="R59" s="19" t="str">
        <f>IF(ISBLANK('Raw counts'!R60),"",IF(IF('4'!R59="+1",IF('6'!R59&gt;='6'!$V$3,"adv",'4'!R59),'4'!R59)="adv",'3'!R59,0))</f>
        <v/>
      </c>
      <c r="S59" s="19" t="str">
        <f>IF(ISBLANK('Raw counts'!S60),"",IF(IF('4'!S59="+1",IF('6'!S59&gt;='6'!$V$3,"adv",'4'!S59),'4'!S59)="adv",'3'!S59,0))</f>
        <v/>
      </c>
      <c r="T59" s="19" t="str">
        <f>IF(ISBLANK('Raw counts'!T60),"",IF(IF('4'!T59="+1",IF('6'!T59&gt;='6'!$V$3,"adv",'4'!T59),'4'!T59)="adv",'3'!T59,0))</f>
        <v/>
      </c>
      <c r="U59" s="19" t="str">
        <f>IF(ISBLANK('Raw counts'!U60),"",IF(IF('4'!U59="+1",IF('6'!U59&gt;='6'!$V$3,"adv",'4'!U59),'4'!U59)="adv",'3'!U59,0))</f>
        <v/>
      </c>
      <c r="V59" s="3">
        <f t="shared" si="0"/>
        <v>0</v>
      </c>
    </row>
    <row r="60" spans="1:22" x14ac:dyDescent="0.15">
      <c r="A60" s="18" t="str">
        <f>IF(ISBLANK('Raw counts'!A61),"",'Raw counts'!A61)</f>
        <v>Attr57</v>
      </c>
      <c r="B60" s="19" t="str">
        <f>IF(ISBLANK('Raw counts'!B61),"",IF(IF('4'!B60="+1",IF('6'!B60&gt;='6'!$V$3,"adv",'4'!B60),'4'!B60)="adv",'3'!B60,0))</f>
        <v/>
      </c>
      <c r="C60" s="19" t="str">
        <f>IF(ISBLANK('Raw counts'!C61),"",IF(IF('4'!C60="+1",IF('6'!C60&gt;='6'!$V$3,"adv",'4'!C60),'4'!C60)="adv",'3'!C60,0))</f>
        <v/>
      </c>
      <c r="D60" s="19" t="str">
        <f>IF(ISBLANK('Raw counts'!D61),"",IF(IF('4'!D60="+1",IF('6'!D60&gt;='6'!$V$3,"adv",'4'!D60),'4'!D60)="adv",'3'!D60,0))</f>
        <v/>
      </c>
      <c r="E60" s="19" t="str">
        <f>IF(ISBLANK('Raw counts'!E61),"",IF(IF('4'!E60="+1",IF('6'!E60&gt;='6'!$V$3,"adv",'4'!E60),'4'!E60)="adv",'3'!E60,0))</f>
        <v/>
      </c>
      <c r="F60" s="19" t="str">
        <f>IF(ISBLANK('Raw counts'!F61),"",IF(IF('4'!F60="+1",IF('6'!F60&gt;='6'!$V$3,"adv",'4'!F60),'4'!F60)="adv",'3'!F60,0))</f>
        <v/>
      </c>
      <c r="G60" s="19" t="str">
        <f>IF(ISBLANK('Raw counts'!G61),"",IF(IF('4'!G60="+1",IF('6'!G60&gt;='6'!$V$3,"adv",'4'!G60),'4'!G60)="adv",'3'!G60,0))</f>
        <v/>
      </c>
      <c r="H60" s="19" t="str">
        <f>IF(ISBLANK('Raw counts'!H61),"",IF(IF('4'!H60="+1",IF('6'!H60&gt;='6'!$V$3,"adv",'4'!H60),'4'!H60)="adv",'3'!H60,0))</f>
        <v/>
      </c>
      <c r="I60" s="19" t="str">
        <f>IF(ISBLANK('Raw counts'!I61),"",IF(IF('4'!I60="+1",IF('6'!I60&gt;='6'!$V$3,"adv",'4'!I60),'4'!I60)="adv",'3'!I60,0))</f>
        <v/>
      </c>
      <c r="J60" s="19" t="str">
        <f>IF(ISBLANK('Raw counts'!J61),"",IF(IF('4'!J60="+1",IF('6'!J60&gt;='6'!$V$3,"adv",'4'!J60),'4'!J60)="adv",'3'!J60,0))</f>
        <v/>
      </c>
      <c r="K60" s="19" t="str">
        <f>IF(ISBLANK('Raw counts'!K61),"",IF(IF('4'!K60="+1",IF('6'!K60&gt;='6'!$V$3,"adv",'4'!K60),'4'!K60)="adv",'3'!K60,0))</f>
        <v/>
      </c>
      <c r="L60" s="19" t="str">
        <f>IF(ISBLANK('Raw counts'!L61),"",IF(IF('4'!L60="+1",IF('6'!L60&gt;='6'!$V$3,"adv",'4'!L60),'4'!L60)="adv",'3'!L60,0))</f>
        <v/>
      </c>
      <c r="M60" s="19" t="str">
        <f>IF(ISBLANK('Raw counts'!M61),"",IF(IF('4'!M60="+1",IF('6'!M60&gt;='6'!$V$3,"adv",'4'!M60),'4'!M60)="adv",'3'!M60,0))</f>
        <v/>
      </c>
      <c r="N60" s="19" t="str">
        <f>IF(ISBLANK('Raw counts'!N61),"",IF(IF('4'!N60="+1",IF('6'!N60&gt;='6'!$V$3,"adv",'4'!N60),'4'!N60)="adv",'3'!N60,0))</f>
        <v/>
      </c>
      <c r="O60" s="19" t="str">
        <f>IF(ISBLANK('Raw counts'!O61),"",IF(IF('4'!O60="+1",IF('6'!O60&gt;='6'!$V$3,"adv",'4'!O60),'4'!O60)="adv",'3'!O60,0))</f>
        <v/>
      </c>
      <c r="P60" s="19" t="str">
        <f>IF(ISBLANK('Raw counts'!P61),"",IF(IF('4'!P60="+1",IF('6'!P60&gt;='6'!$V$3,"adv",'4'!P60),'4'!P60)="adv",'3'!P60,0))</f>
        <v/>
      </c>
      <c r="Q60" s="19" t="str">
        <f>IF(ISBLANK('Raw counts'!Q61),"",IF(IF('4'!Q60="+1",IF('6'!Q60&gt;='6'!$V$3,"adv",'4'!Q60),'4'!Q60)="adv",'3'!Q60,0))</f>
        <v/>
      </c>
      <c r="R60" s="19" t="str">
        <f>IF(ISBLANK('Raw counts'!R61),"",IF(IF('4'!R60="+1",IF('6'!R60&gt;='6'!$V$3,"adv",'4'!R60),'4'!R60)="adv",'3'!R60,0))</f>
        <v/>
      </c>
      <c r="S60" s="19" t="str">
        <f>IF(ISBLANK('Raw counts'!S61),"",IF(IF('4'!S60="+1",IF('6'!S60&gt;='6'!$V$3,"adv",'4'!S60),'4'!S60)="adv",'3'!S60,0))</f>
        <v/>
      </c>
      <c r="T60" s="19" t="str">
        <f>IF(ISBLANK('Raw counts'!T61),"",IF(IF('4'!T60="+1",IF('6'!T60&gt;='6'!$V$3,"adv",'4'!T60),'4'!T60)="adv",'3'!T60,0))</f>
        <v/>
      </c>
      <c r="U60" s="19" t="str">
        <f>IF(ISBLANK('Raw counts'!U61),"",IF(IF('4'!U60="+1",IF('6'!U60&gt;='6'!$V$3,"adv",'4'!U60),'4'!U60)="adv",'3'!U60,0))</f>
        <v/>
      </c>
      <c r="V60" s="3">
        <f t="shared" si="0"/>
        <v>0</v>
      </c>
    </row>
    <row r="61" spans="1:22" x14ac:dyDescent="0.15">
      <c r="A61" s="18" t="str">
        <f>IF(ISBLANK('Raw counts'!A62),"",'Raw counts'!A62)</f>
        <v>Attr58</v>
      </c>
      <c r="B61" s="19" t="str">
        <f>IF(ISBLANK('Raw counts'!B62),"",IF(IF('4'!B61="+1",IF('6'!B61&gt;='6'!$V$3,"adv",'4'!B61),'4'!B61)="adv",'3'!B61,0))</f>
        <v/>
      </c>
      <c r="C61" s="19" t="str">
        <f>IF(ISBLANK('Raw counts'!C62),"",IF(IF('4'!C61="+1",IF('6'!C61&gt;='6'!$V$3,"adv",'4'!C61),'4'!C61)="adv",'3'!C61,0))</f>
        <v/>
      </c>
      <c r="D61" s="19" t="str">
        <f>IF(ISBLANK('Raw counts'!D62),"",IF(IF('4'!D61="+1",IF('6'!D61&gt;='6'!$V$3,"adv",'4'!D61),'4'!D61)="adv",'3'!D61,0))</f>
        <v/>
      </c>
      <c r="E61" s="19" t="str">
        <f>IF(ISBLANK('Raw counts'!E62),"",IF(IF('4'!E61="+1",IF('6'!E61&gt;='6'!$V$3,"adv",'4'!E61),'4'!E61)="adv",'3'!E61,0))</f>
        <v/>
      </c>
      <c r="F61" s="19" t="str">
        <f>IF(ISBLANK('Raw counts'!F62),"",IF(IF('4'!F61="+1",IF('6'!F61&gt;='6'!$V$3,"adv",'4'!F61),'4'!F61)="adv",'3'!F61,0))</f>
        <v/>
      </c>
      <c r="G61" s="19" t="str">
        <f>IF(ISBLANK('Raw counts'!G62),"",IF(IF('4'!G61="+1",IF('6'!G61&gt;='6'!$V$3,"adv",'4'!G61),'4'!G61)="adv",'3'!G61,0))</f>
        <v/>
      </c>
      <c r="H61" s="19" t="str">
        <f>IF(ISBLANK('Raw counts'!H62),"",IF(IF('4'!H61="+1",IF('6'!H61&gt;='6'!$V$3,"adv",'4'!H61),'4'!H61)="adv",'3'!H61,0))</f>
        <v/>
      </c>
      <c r="I61" s="19" t="str">
        <f>IF(ISBLANK('Raw counts'!I62),"",IF(IF('4'!I61="+1",IF('6'!I61&gt;='6'!$V$3,"adv",'4'!I61),'4'!I61)="adv",'3'!I61,0))</f>
        <v/>
      </c>
      <c r="J61" s="19" t="str">
        <f>IF(ISBLANK('Raw counts'!J62),"",IF(IF('4'!J61="+1",IF('6'!J61&gt;='6'!$V$3,"adv",'4'!J61),'4'!J61)="adv",'3'!J61,0))</f>
        <v/>
      </c>
      <c r="K61" s="19" t="str">
        <f>IF(ISBLANK('Raw counts'!K62),"",IF(IF('4'!K61="+1",IF('6'!K61&gt;='6'!$V$3,"adv",'4'!K61),'4'!K61)="adv",'3'!K61,0))</f>
        <v/>
      </c>
      <c r="L61" s="19" t="str">
        <f>IF(ISBLANK('Raw counts'!L62),"",IF(IF('4'!L61="+1",IF('6'!L61&gt;='6'!$V$3,"adv",'4'!L61),'4'!L61)="adv",'3'!L61,0))</f>
        <v/>
      </c>
      <c r="M61" s="19" t="str">
        <f>IF(ISBLANK('Raw counts'!M62),"",IF(IF('4'!M61="+1",IF('6'!M61&gt;='6'!$V$3,"adv",'4'!M61),'4'!M61)="adv",'3'!M61,0))</f>
        <v/>
      </c>
      <c r="N61" s="19" t="str">
        <f>IF(ISBLANK('Raw counts'!N62),"",IF(IF('4'!N61="+1",IF('6'!N61&gt;='6'!$V$3,"adv",'4'!N61),'4'!N61)="adv",'3'!N61,0))</f>
        <v/>
      </c>
      <c r="O61" s="19" t="str">
        <f>IF(ISBLANK('Raw counts'!O62),"",IF(IF('4'!O61="+1",IF('6'!O61&gt;='6'!$V$3,"adv",'4'!O61),'4'!O61)="adv",'3'!O61,0))</f>
        <v/>
      </c>
      <c r="P61" s="19" t="str">
        <f>IF(ISBLANK('Raw counts'!P62),"",IF(IF('4'!P61="+1",IF('6'!P61&gt;='6'!$V$3,"adv",'4'!P61),'4'!P61)="adv",'3'!P61,0))</f>
        <v/>
      </c>
      <c r="Q61" s="19" t="str">
        <f>IF(ISBLANK('Raw counts'!Q62),"",IF(IF('4'!Q61="+1",IF('6'!Q61&gt;='6'!$V$3,"adv",'4'!Q61),'4'!Q61)="adv",'3'!Q61,0))</f>
        <v/>
      </c>
      <c r="R61" s="19" t="str">
        <f>IF(ISBLANK('Raw counts'!R62),"",IF(IF('4'!R61="+1",IF('6'!R61&gt;='6'!$V$3,"adv",'4'!R61),'4'!R61)="adv",'3'!R61,0))</f>
        <v/>
      </c>
      <c r="S61" s="19" t="str">
        <f>IF(ISBLANK('Raw counts'!S62),"",IF(IF('4'!S61="+1",IF('6'!S61&gt;='6'!$V$3,"adv",'4'!S61),'4'!S61)="adv",'3'!S61,0))</f>
        <v/>
      </c>
      <c r="T61" s="19" t="str">
        <f>IF(ISBLANK('Raw counts'!T62),"",IF(IF('4'!T61="+1",IF('6'!T61&gt;='6'!$V$3,"adv",'4'!T61),'4'!T61)="adv",'3'!T61,0))</f>
        <v/>
      </c>
      <c r="U61" s="19" t="str">
        <f>IF(ISBLANK('Raw counts'!U62),"",IF(IF('4'!U61="+1",IF('6'!U61&gt;='6'!$V$3,"adv",'4'!U61),'4'!U61)="adv",'3'!U61,0))</f>
        <v/>
      </c>
      <c r="V61" s="3">
        <f t="shared" si="0"/>
        <v>0</v>
      </c>
    </row>
    <row r="62" spans="1:22" x14ac:dyDescent="0.15">
      <c r="A62" s="18" t="str">
        <f>IF(ISBLANK('Raw counts'!A63),"",'Raw counts'!A63)</f>
        <v>Attr59</v>
      </c>
      <c r="B62" s="19" t="str">
        <f>IF(ISBLANK('Raw counts'!B63),"",IF(IF('4'!B62="+1",IF('6'!B62&gt;='6'!$V$3,"adv",'4'!B62),'4'!B62)="adv",'3'!B62,0))</f>
        <v/>
      </c>
      <c r="C62" s="19" t="str">
        <f>IF(ISBLANK('Raw counts'!C63),"",IF(IF('4'!C62="+1",IF('6'!C62&gt;='6'!$V$3,"adv",'4'!C62),'4'!C62)="adv",'3'!C62,0))</f>
        <v/>
      </c>
      <c r="D62" s="19" t="str">
        <f>IF(ISBLANK('Raw counts'!D63),"",IF(IF('4'!D62="+1",IF('6'!D62&gt;='6'!$V$3,"adv",'4'!D62),'4'!D62)="adv",'3'!D62,0))</f>
        <v/>
      </c>
      <c r="E62" s="19" t="str">
        <f>IF(ISBLANK('Raw counts'!E63),"",IF(IF('4'!E62="+1",IF('6'!E62&gt;='6'!$V$3,"adv",'4'!E62),'4'!E62)="adv",'3'!E62,0))</f>
        <v/>
      </c>
      <c r="F62" s="19" t="str">
        <f>IF(ISBLANK('Raw counts'!F63),"",IF(IF('4'!F62="+1",IF('6'!F62&gt;='6'!$V$3,"adv",'4'!F62),'4'!F62)="adv",'3'!F62,0))</f>
        <v/>
      </c>
      <c r="G62" s="19" t="str">
        <f>IF(ISBLANK('Raw counts'!G63),"",IF(IF('4'!G62="+1",IF('6'!G62&gt;='6'!$V$3,"adv",'4'!G62),'4'!G62)="adv",'3'!G62,0))</f>
        <v/>
      </c>
      <c r="H62" s="19" t="str">
        <f>IF(ISBLANK('Raw counts'!H63),"",IF(IF('4'!H62="+1",IF('6'!H62&gt;='6'!$V$3,"adv",'4'!H62),'4'!H62)="adv",'3'!H62,0))</f>
        <v/>
      </c>
      <c r="I62" s="19" t="str">
        <f>IF(ISBLANK('Raw counts'!I63),"",IF(IF('4'!I62="+1",IF('6'!I62&gt;='6'!$V$3,"adv",'4'!I62),'4'!I62)="adv",'3'!I62,0))</f>
        <v/>
      </c>
      <c r="J62" s="19" t="str">
        <f>IF(ISBLANK('Raw counts'!J63),"",IF(IF('4'!J62="+1",IF('6'!J62&gt;='6'!$V$3,"adv",'4'!J62),'4'!J62)="adv",'3'!J62,0))</f>
        <v/>
      </c>
      <c r="K62" s="19" t="str">
        <f>IF(ISBLANK('Raw counts'!K63),"",IF(IF('4'!K62="+1",IF('6'!K62&gt;='6'!$V$3,"adv",'4'!K62),'4'!K62)="adv",'3'!K62,0))</f>
        <v/>
      </c>
      <c r="L62" s="19" t="str">
        <f>IF(ISBLANK('Raw counts'!L63),"",IF(IF('4'!L62="+1",IF('6'!L62&gt;='6'!$V$3,"adv",'4'!L62),'4'!L62)="adv",'3'!L62,0))</f>
        <v/>
      </c>
      <c r="M62" s="19" t="str">
        <f>IF(ISBLANK('Raw counts'!M63),"",IF(IF('4'!M62="+1",IF('6'!M62&gt;='6'!$V$3,"adv",'4'!M62),'4'!M62)="adv",'3'!M62,0))</f>
        <v/>
      </c>
      <c r="N62" s="19" t="str">
        <f>IF(ISBLANK('Raw counts'!N63),"",IF(IF('4'!N62="+1",IF('6'!N62&gt;='6'!$V$3,"adv",'4'!N62),'4'!N62)="adv",'3'!N62,0))</f>
        <v/>
      </c>
      <c r="O62" s="19" t="str">
        <f>IF(ISBLANK('Raw counts'!O63),"",IF(IF('4'!O62="+1",IF('6'!O62&gt;='6'!$V$3,"adv",'4'!O62),'4'!O62)="adv",'3'!O62,0))</f>
        <v/>
      </c>
      <c r="P62" s="19" t="str">
        <f>IF(ISBLANK('Raw counts'!P63),"",IF(IF('4'!P62="+1",IF('6'!P62&gt;='6'!$V$3,"adv",'4'!P62),'4'!P62)="adv",'3'!P62,0))</f>
        <v/>
      </c>
      <c r="Q62" s="19" t="str">
        <f>IF(ISBLANK('Raw counts'!Q63),"",IF(IF('4'!Q62="+1",IF('6'!Q62&gt;='6'!$V$3,"adv",'4'!Q62),'4'!Q62)="adv",'3'!Q62,0))</f>
        <v/>
      </c>
      <c r="R62" s="19" t="str">
        <f>IF(ISBLANK('Raw counts'!R63),"",IF(IF('4'!R62="+1",IF('6'!R62&gt;='6'!$V$3,"adv",'4'!R62),'4'!R62)="adv",'3'!R62,0))</f>
        <v/>
      </c>
      <c r="S62" s="19" t="str">
        <f>IF(ISBLANK('Raw counts'!S63),"",IF(IF('4'!S62="+1",IF('6'!S62&gt;='6'!$V$3,"adv",'4'!S62),'4'!S62)="adv",'3'!S62,0))</f>
        <v/>
      </c>
      <c r="T62" s="19" t="str">
        <f>IF(ISBLANK('Raw counts'!T63),"",IF(IF('4'!T62="+1",IF('6'!T62&gt;='6'!$V$3,"adv",'4'!T62),'4'!T62)="adv",'3'!T62,0))</f>
        <v/>
      </c>
      <c r="U62" s="19" t="str">
        <f>IF(ISBLANK('Raw counts'!U63),"",IF(IF('4'!U62="+1",IF('6'!U62&gt;='6'!$V$3,"adv",'4'!U62),'4'!U62)="adv",'3'!U62,0))</f>
        <v/>
      </c>
      <c r="V62" s="3">
        <f t="shared" si="0"/>
        <v>0</v>
      </c>
    </row>
    <row r="63" spans="1:22" x14ac:dyDescent="0.15">
      <c r="A63" s="18" t="str">
        <f>IF(ISBLANK('Raw counts'!A64),"",'Raw counts'!A64)</f>
        <v>Attr60</v>
      </c>
      <c r="B63" s="19" t="str">
        <f>IF(ISBLANK('Raw counts'!B64),"",IF(IF('4'!B63="+1",IF('6'!B63&gt;='6'!$V$3,"adv",'4'!B63),'4'!B63)="adv",'3'!B63,0))</f>
        <v/>
      </c>
      <c r="C63" s="19" t="str">
        <f>IF(ISBLANK('Raw counts'!C64),"",IF(IF('4'!C63="+1",IF('6'!C63&gt;='6'!$V$3,"adv",'4'!C63),'4'!C63)="adv",'3'!C63,0))</f>
        <v/>
      </c>
      <c r="D63" s="19" t="str">
        <f>IF(ISBLANK('Raw counts'!D64),"",IF(IF('4'!D63="+1",IF('6'!D63&gt;='6'!$V$3,"adv",'4'!D63),'4'!D63)="adv",'3'!D63,0))</f>
        <v/>
      </c>
      <c r="E63" s="19" t="str">
        <f>IF(ISBLANK('Raw counts'!E64),"",IF(IF('4'!E63="+1",IF('6'!E63&gt;='6'!$V$3,"adv",'4'!E63),'4'!E63)="adv",'3'!E63,0))</f>
        <v/>
      </c>
      <c r="F63" s="19" t="str">
        <f>IF(ISBLANK('Raw counts'!F64),"",IF(IF('4'!F63="+1",IF('6'!F63&gt;='6'!$V$3,"adv",'4'!F63),'4'!F63)="adv",'3'!F63,0))</f>
        <v/>
      </c>
      <c r="G63" s="19" t="str">
        <f>IF(ISBLANK('Raw counts'!G64),"",IF(IF('4'!G63="+1",IF('6'!G63&gt;='6'!$V$3,"adv",'4'!G63),'4'!G63)="adv",'3'!G63,0))</f>
        <v/>
      </c>
      <c r="H63" s="19" t="str">
        <f>IF(ISBLANK('Raw counts'!H64),"",IF(IF('4'!H63="+1",IF('6'!H63&gt;='6'!$V$3,"adv",'4'!H63),'4'!H63)="adv",'3'!H63,0))</f>
        <v/>
      </c>
      <c r="I63" s="19" t="str">
        <f>IF(ISBLANK('Raw counts'!I64),"",IF(IF('4'!I63="+1",IF('6'!I63&gt;='6'!$V$3,"adv",'4'!I63),'4'!I63)="adv",'3'!I63,0))</f>
        <v/>
      </c>
      <c r="J63" s="19" t="str">
        <f>IF(ISBLANK('Raw counts'!J64),"",IF(IF('4'!J63="+1",IF('6'!J63&gt;='6'!$V$3,"adv",'4'!J63),'4'!J63)="adv",'3'!J63,0))</f>
        <v/>
      </c>
      <c r="K63" s="19" t="str">
        <f>IF(ISBLANK('Raw counts'!K64),"",IF(IF('4'!K63="+1",IF('6'!K63&gt;='6'!$V$3,"adv",'4'!K63),'4'!K63)="adv",'3'!K63,0))</f>
        <v/>
      </c>
      <c r="L63" s="19" t="str">
        <f>IF(ISBLANK('Raw counts'!L64),"",IF(IF('4'!L63="+1",IF('6'!L63&gt;='6'!$V$3,"adv",'4'!L63),'4'!L63)="adv",'3'!L63,0))</f>
        <v/>
      </c>
      <c r="M63" s="19" t="str">
        <f>IF(ISBLANK('Raw counts'!M64),"",IF(IF('4'!M63="+1",IF('6'!M63&gt;='6'!$V$3,"adv",'4'!M63),'4'!M63)="adv",'3'!M63,0))</f>
        <v/>
      </c>
      <c r="N63" s="19" t="str">
        <f>IF(ISBLANK('Raw counts'!N64),"",IF(IF('4'!N63="+1",IF('6'!N63&gt;='6'!$V$3,"adv",'4'!N63),'4'!N63)="adv",'3'!N63,0))</f>
        <v/>
      </c>
      <c r="O63" s="19" t="str">
        <f>IF(ISBLANK('Raw counts'!O64),"",IF(IF('4'!O63="+1",IF('6'!O63&gt;='6'!$V$3,"adv",'4'!O63),'4'!O63)="adv",'3'!O63,0))</f>
        <v/>
      </c>
      <c r="P63" s="19" t="str">
        <f>IF(ISBLANK('Raw counts'!P64),"",IF(IF('4'!P63="+1",IF('6'!P63&gt;='6'!$V$3,"adv",'4'!P63),'4'!P63)="adv",'3'!P63,0))</f>
        <v/>
      </c>
      <c r="Q63" s="19" t="str">
        <f>IF(ISBLANK('Raw counts'!Q64),"",IF(IF('4'!Q63="+1",IF('6'!Q63&gt;='6'!$V$3,"adv",'4'!Q63),'4'!Q63)="adv",'3'!Q63,0))</f>
        <v/>
      </c>
      <c r="R63" s="19" t="str">
        <f>IF(ISBLANK('Raw counts'!R64),"",IF(IF('4'!R63="+1",IF('6'!R63&gt;='6'!$V$3,"adv",'4'!R63),'4'!R63)="adv",'3'!R63,0))</f>
        <v/>
      </c>
      <c r="S63" s="19" t="str">
        <f>IF(ISBLANK('Raw counts'!S64),"",IF(IF('4'!S63="+1",IF('6'!S63&gt;='6'!$V$3,"adv",'4'!S63),'4'!S63)="adv",'3'!S63,0))</f>
        <v/>
      </c>
      <c r="T63" s="19" t="str">
        <f>IF(ISBLANK('Raw counts'!T64),"",IF(IF('4'!T63="+1",IF('6'!T63&gt;='6'!$V$3,"adv",'4'!T63),'4'!T63)="adv",'3'!T63,0))</f>
        <v/>
      </c>
      <c r="U63" s="19" t="str">
        <f>IF(ISBLANK('Raw counts'!U64),"",IF(IF('4'!U63="+1",IF('6'!U63&gt;='6'!$V$3,"adv",'4'!U63),'4'!U63)="adv",'3'!U63,0))</f>
        <v/>
      </c>
      <c r="V63" s="3">
        <f t="shared" si="0"/>
        <v>0</v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3"/>
  <sheetViews>
    <sheetView zoomScale="70" zoomScaleNormal="70" workbookViewId="0">
      <pane xSplit="1" ySplit="3" topLeftCell="B4" activePane="bottomRight" state="frozen"/>
      <selection activeCell="U3" sqref="A1:U3"/>
      <selection pane="topRight" activeCell="U3" sqref="A1:U3"/>
      <selection pane="bottomLeft" activeCell="U3" sqref="A1:U3"/>
      <selection pane="bottomRight" activeCell="U3" sqref="A1:U3"/>
    </sheetView>
  </sheetViews>
  <sheetFormatPr defaultRowHeight="12.75" x14ac:dyDescent="0.15"/>
  <cols>
    <col min="1" max="1" width="20.62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22" width="12.5" style="1" hidden="1" customWidth="1"/>
    <col min="23" max="16384" width="9" style="1"/>
  </cols>
  <sheetData>
    <row r="1" spans="1:22" ht="25.5" x14ac:dyDescent="0.15">
      <c r="A1" s="15" t="str">
        <f>IF(ISBLANK('Raw counts'!A2),"",'Raw counts'!A2)</f>
        <v>Brand name --&gt;</v>
      </c>
      <c r="B1" s="16" t="str">
        <f>IF(ISBLANK('Raw counts'!B2),"",'Raw counts'!B2)</f>
        <v>Braun</v>
      </c>
      <c r="C1" s="16" t="str">
        <f>IF(ISBLANK('Raw counts'!C2),"",'Raw counts'!C2)</f>
        <v>Colgate</v>
      </c>
      <c r="D1" s="16" t="str">
        <f>IF(ISBLANK('Raw counts'!D2),"",'Raw counts'!D2)</f>
        <v>Lansung</v>
      </c>
      <c r="E1" s="16" t="str">
        <f>IF(ISBLANK('Raw counts'!E2),"",'Raw counts'!E2)</f>
        <v>Lebond</v>
      </c>
      <c r="F1" s="16" t="str">
        <f>IF(ISBLANK('Raw counts'!F2),"",'Raw counts'!F2)</f>
        <v>Oral-B</v>
      </c>
      <c r="G1" s="16" t="str">
        <f>IF(ISBLANK('Raw counts'!G2),"",'Raw counts'!G2)</f>
        <v>Panasonic</v>
      </c>
      <c r="H1" s="16" t="str">
        <f>IF(ISBLANK('Raw counts'!H2),"",'Raw counts'!H2)</f>
        <v>Phillips</v>
      </c>
      <c r="I1" s="16" t="str">
        <f>IF(ISBLANK('Raw counts'!I2),"",'Raw counts'!I2)</f>
        <v>Prooral</v>
      </c>
      <c r="J1" s="16" t="str">
        <f>IF(ISBLANK('Raw counts'!J2),"",'Raw counts'!J2)</f>
        <v>Qianbeimei</v>
      </c>
      <c r="K1" s="16" t="str">
        <f>IF(ISBLANK('Raw counts'!K2),"",'Raw counts'!K2)</f>
        <v>Saky</v>
      </c>
      <c r="L1" s="16" t="str">
        <f>IF(ISBLANK('Raw counts'!L2),"",'Raw counts'!L2)</f>
        <v>Wavebetter</v>
      </c>
      <c r="M1" s="16" t="str">
        <f>IF(ISBLANK('Raw counts'!M2),"",'Raw counts'!M2)</f>
        <v>Brd12</v>
      </c>
      <c r="N1" s="16" t="str">
        <f>IF(ISBLANK('Raw counts'!N2),"",'Raw counts'!N2)</f>
        <v>Brd13</v>
      </c>
      <c r="O1" s="16" t="str">
        <f>IF(ISBLANK('Raw counts'!O2),"",'Raw counts'!O2)</f>
        <v>Brd14</v>
      </c>
      <c r="P1" s="16" t="str">
        <f>IF(ISBLANK('Raw counts'!P2),"",'Raw counts'!P2)</f>
        <v>Brd15</v>
      </c>
      <c r="Q1" s="16" t="str">
        <f>IF(ISBLANK('Raw counts'!Q2),"",'Raw counts'!Q2)</f>
        <v>Brd16</v>
      </c>
      <c r="R1" s="16" t="str">
        <f>IF(ISBLANK('Raw counts'!R2),"",'Raw counts'!R2)</f>
        <v>Brd17</v>
      </c>
      <c r="S1" s="16" t="str">
        <f>IF(ISBLANK('Raw counts'!S2),"",'Raw counts'!S2)</f>
        <v>Brd18</v>
      </c>
      <c r="T1" s="16" t="str">
        <f>IF(ISBLANK('Raw counts'!T2),"",'Raw counts'!T2)</f>
        <v>Brd19</v>
      </c>
      <c r="U1" s="16" t="str">
        <f>IF(ISBLANK('Raw counts'!U2),"",'Raw counts'!U2)</f>
        <v>Brd20</v>
      </c>
      <c r="V1" s="2" t="s">
        <v>50</v>
      </c>
    </row>
    <row r="2" spans="1:22" x14ac:dyDescent="0.15">
      <c r="A2" s="15" t="str">
        <f>IF(ISBLANK('Raw counts'!A3),"",'Raw counts'!A3)</f>
        <v>Base1: Total resp.</v>
      </c>
      <c r="B2" s="17" t="str">
        <f>IF(ISBLANK('Raw counts'!B3),"",'Raw counts'!B3)</f>
        <v/>
      </c>
      <c r="C2" s="17" t="str">
        <f>IF(ISBLANK('Raw counts'!C3),"",'Raw counts'!C3)</f>
        <v/>
      </c>
      <c r="D2" s="17" t="str">
        <f>IF(ISBLANK('Raw counts'!D3),"",'Raw counts'!D3)</f>
        <v/>
      </c>
      <c r="E2" s="17" t="str">
        <f>IF(ISBLANK('Raw counts'!E3),"",'Raw counts'!E3)</f>
        <v/>
      </c>
      <c r="F2" s="17" t="str">
        <f>IF(ISBLANK('Raw counts'!F3),"",'Raw counts'!F3)</f>
        <v/>
      </c>
      <c r="G2" s="17" t="str">
        <f>IF(ISBLANK('Raw counts'!G3),"",'Raw counts'!G3)</f>
        <v/>
      </c>
      <c r="H2" s="17" t="str">
        <f>IF(ISBLANK('Raw counts'!H3),"",'Raw counts'!H3)</f>
        <v/>
      </c>
      <c r="I2" s="17" t="str">
        <f>IF(ISBLANK('Raw counts'!I3),"",'Raw counts'!I3)</f>
        <v/>
      </c>
      <c r="J2" s="17" t="str">
        <f>IF(ISBLANK('Raw counts'!J3),"",'Raw counts'!J3)</f>
        <v/>
      </c>
      <c r="K2" s="17" t="str">
        <f>IF(ISBLANK('Raw counts'!K3),"",'Raw counts'!K3)</f>
        <v/>
      </c>
      <c r="L2" s="17" t="str">
        <f>IF(ISBLANK('Raw counts'!L3),"",'Raw counts'!L3)</f>
        <v/>
      </c>
      <c r="M2" s="17" t="str">
        <f>IF(ISBLANK('Raw counts'!M3),"",'Raw counts'!M3)</f>
        <v/>
      </c>
      <c r="N2" s="17" t="str">
        <f>IF(ISBLANK('Raw counts'!N3),"",'Raw counts'!N3)</f>
        <v/>
      </c>
      <c r="O2" s="17" t="str">
        <f>IF(ISBLANK('Raw counts'!O3),"",'Raw counts'!O3)</f>
        <v/>
      </c>
      <c r="P2" s="17" t="str">
        <f>IF(ISBLANK('Raw counts'!P3),"",'Raw counts'!P3)</f>
        <v/>
      </c>
      <c r="Q2" s="17" t="str">
        <f>IF(ISBLANK('Raw counts'!Q3),"",'Raw counts'!Q3)</f>
        <v/>
      </c>
      <c r="R2" s="17" t="str">
        <f>IF(ISBLANK('Raw counts'!R3),"",'Raw counts'!R3)</f>
        <v/>
      </c>
      <c r="S2" s="17" t="str">
        <f>IF(ISBLANK('Raw counts'!S3),"",'Raw counts'!S3)</f>
        <v/>
      </c>
      <c r="T2" s="17" t="str">
        <f>IF(ISBLANK('Raw counts'!T3),"",'Raw counts'!T3)</f>
        <v/>
      </c>
      <c r="U2" s="17" t="str">
        <f>IF(ISBLANK('Raw counts'!U3),"",'Raw counts'!U3)</f>
        <v/>
      </c>
      <c r="V2" s="2" t="s">
        <v>53</v>
      </c>
    </row>
    <row r="3" spans="1:22" ht="38.25" x14ac:dyDescent="0.15">
      <c r="A3" s="15" t="str">
        <f>IF(ISBLANK('Raw counts'!A4),"",'Raw counts'!A4)</f>
        <v>Base - Total Aware of brand AND Primary Category Purchasers</v>
      </c>
      <c r="B3" s="17">
        <f>IF(ISBLANK('Raw counts'!B4),"",'Raw counts'!B4)</f>
        <v>259</v>
      </c>
      <c r="C3" s="17">
        <f>IF(ISBLANK('Raw counts'!C4),"",'Raw counts'!C4)</f>
        <v>207</v>
      </c>
      <c r="D3" s="17">
        <f>IF(ISBLANK('Raw counts'!D4),"",'Raw counts'!D4)</f>
        <v>30</v>
      </c>
      <c r="E3" s="17">
        <f>IF(ISBLANK('Raw counts'!E4),"",'Raw counts'!E4)</f>
        <v>50</v>
      </c>
      <c r="F3" s="17">
        <f>IF(ISBLANK('Raw counts'!F4),"",'Raw counts'!F4)</f>
        <v>257</v>
      </c>
      <c r="G3" s="17">
        <f>IF(ISBLANK('Raw counts'!G4),"",'Raw counts'!G4)</f>
        <v>254</v>
      </c>
      <c r="H3" s="17">
        <f>IF(ISBLANK('Raw counts'!H4),"",'Raw counts'!H4)</f>
        <v>404</v>
      </c>
      <c r="I3" s="17">
        <f>IF(ISBLANK('Raw counts'!I4),"",'Raw counts'!I4)</f>
        <v>51</v>
      </c>
      <c r="J3" s="17">
        <f>IF(ISBLANK('Raw counts'!J4),"",'Raw counts'!J4)</f>
        <v>29</v>
      </c>
      <c r="K3" s="17">
        <f>IF(ISBLANK('Raw counts'!K4),"",'Raw counts'!K4)</f>
        <v>92</v>
      </c>
      <c r="L3" s="17">
        <f>IF(ISBLANK('Raw counts'!L4),"",'Raw counts'!L4)</f>
        <v>26</v>
      </c>
      <c r="M3" s="17" t="str">
        <f>IF(ISBLANK('Raw counts'!M4),"",'Raw counts'!M4)</f>
        <v/>
      </c>
      <c r="N3" s="17" t="str">
        <f>IF(ISBLANK('Raw counts'!N4),"",'Raw counts'!N4)</f>
        <v/>
      </c>
      <c r="O3" s="17" t="str">
        <f>IF(ISBLANK('Raw counts'!O4),"",'Raw counts'!O4)</f>
        <v/>
      </c>
      <c r="P3" s="17" t="str">
        <f>IF(ISBLANK('Raw counts'!P4),"",'Raw counts'!P4)</f>
        <v/>
      </c>
      <c r="Q3" s="17" t="str">
        <f>IF(ISBLANK('Raw counts'!Q4),"",'Raw counts'!Q4)</f>
        <v/>
      </c>
      <c r="R3" s="17" t="str">
        <f>IF(ISBLANK('Raw counts'!R4),"",'Raw counts'!R4)</f>
        <v/>
      </c>
      <c r="S3" s="17" t="str">
        <f>IF(ISBLANK('Raw counts'!S4),"",'Raw counts'!S4)</f>
        <v/>
      </c>
      <c r="T3" s="17" t="str">
        <f>IF(ISBLANK('Raw counts'!T4),"",'Raw counts'!T4)</f>
        <v/>
      </c>
      <c r="U3" s="17" t="str">
        <f>IF(ISBLANK('Raw counts'!U4),"",'Raw counts'!U4)</f>
        <v/>
      </c>
      <c r="V3" s="2" t="s">
        <v>54</v>
      </c>
    </row>
    <row r="4" spans="1:22" ht="38.25" x14ac:dyDescent="0.15">
      <c r="A4" s="18" t="str">
        <f>IF(ISBLANK('Raw counts'!A5),"",'Raw counts'!A5)</f>
        <v xml:space="preserve">Doesn't offer version I want                                                </v>
      </c>
      <c r="B4" s="19" t="str">
        <f>IF(ISBLANK('Raw counts'!B5),"",IF('7'!$V4=1,IF('3'!B4='7'!$V4,"sol",'4'!B4),IF('7'!$V4=2,IF('3'!B4&lt;='7'!$V4,"dul",'4'!B4),IF('7'!$V4&gt;=3,IF('3'!B4&lt;='7'!$V4,"shr",'4'!B4),'4'!B4))))</f>
        <v>-</v>
      </c>
      <c r="C4" s="19" t="str">
        <f>IF(ISBLANK('Raw counts'!C5),"",IF('7'!$V4=1,IF('3'!C4='7'!$V4,"sol",'4'!C4),IF('7'!$V4=2,IF('3'!C4&lt;='7'!$V4,"dul",'4'!C4),IF('7'!$V4&gt;=3,IF('3'!C4&lt;='7'!$V4,"shr",'4'!C4),'4'!C4))))</f>
        <v>+1</v>
      </c>
      <c r="D4" s="19" t="str">
        <f>IF(ISBLANK('Raw counts'!D5),"",IF('7'!$V4=1,IF('3'!D4='7'!$V4,"sol",'4'!D4),IF('7'!$V4=2,IF('3'!D4&lt;='7'!$V4,"dul",'4'!D4),IF('7'!$V4&gt;=3,IF('3'!D4&lt;='7'!$V4,"shr",'4'!D4),'4'!D4))))</f>
        <v>+</v>
      </c>
      <c r="E4" s="19" t="str">
        <f>IF(ISBLANK('Raw counts'!E5),"",IF('7'!$V4=1,IF('3'!E4='7'!$V4,"sol",'4'!E4),IF('7'!$V4=2,IF('3'!E4&lt;='7'!$V4,"dul",'4'!E4),IF('7'!$V4&gt;=3,IF('3'!E4&lt;='7'!$V4,"shr",'4'!E4),'4'!E4))))</f>
        <v>-</v>
      </c>
      <c r="F4" s="19" t="str">
        <f>IF(ISBLANK('Raw counts'!F5),"",IF('7'!$V4=1,IF('3'!F4='7'!$V4,"sol",'4'!F4),IF('7'!$V4=2,IF('3'!F4&lt;='7'!$V4,"dul",'4'!F4),IF('7'!$V4&gt;=3,IF('3'!F4&lt;='7'!$V4,"shr",'4'!F4),'4'!F4))))</f>
        <v>+</v>
      </c>
      <c r="G4" s="19" t="str">
        <f>IF(ISBLANK('Raw counts'!G5),"",IF('7'!$V4=1,IF('3'!G4='7'!$V4,"sol",'4'!G4),IF('7'!$V4=2,IF('3'!G4&lt;='7'!$V4,"dul",'4'!G4),IF('7'!$V4&gt;=3,IF('3'!G4&lt;='7'!$V4,"shr",'4'!G4),'4'!G4))))</f>
        <v>-</v>
      </c>
      <c r="H4" s="19" t="str">
        <f>IF(ISBLANK('Raw counts'!H5),"",IF('7'!$V4=1,IF('3'!H4='7'!$V4,"sol",'4'!H4),IF('7'!$V4=2,IF('3'!H4&lt;='7'!$V4,"dul",'4'!H4),IF('7'!$V4&gt;=3,IF('3'!H4&lt;='7'!$V4,"shr",'4'!H4),'4'!H4))))</f>
        <v>+</v>
      </c>
      <c r="I4" s="19" t="str">
        <f>IF(ISBLANK('Raw counts'!I5),"",IF('7'!$V4=1,IF('3'!I4='7'!$V4,"sol",'4'!I4),IF('7'!$V4=2,IF('3'!I4&lt;='7'!$V4,"dul",'4'!I4),IF('7'!$V4&gt;=3,IF('3'!I4&lt;='7'!$V4,"shr",'4'!I4),'4'!I4))))</f>
        <v>-</v>
      </c>
      <c r="J4" s="19" t="str">
        <f>IF(ISBLANK('Raw counts'!J5),"",IF('7'!$V4=1,IF('3'!J4='7'!$V4,"sol",'4'!J4),IF('7'!$V4=2,IF('3'!J4&lt;='7'!$V4,"dul",'4'!J4),IF('7'!$V4&gt;=3,IF('3'!J4&lt;='7'!$V4,"shr",'4'!J4),'4'!J4))))</f>
        <v>+</v>
      </c>
      <c r="K4" s="19" t="str">
        <f>IF(ISBLANK('Raw counts'!K5),"",IF('7'!$V4=1,IF('3'!K4='7'!$V4,"sol",'4'!K4),IF('7'!$V4=2,IF('3'!K4&lt;='7'!$V4,"dul",'4'!K4),IF('7'!$V4&gt;=3,IF('3'!K4&lt;='7'!$V4,"shr",'4'!K4),'4'!K4))))</f>
        <v>-</v>
      </c>
      <c r="L4" s="19" t="str">
        <f>IF(ISBLANK('Raw counts'!L5),"",IF('7'!$V4=1,IF('3'!L4='7'!$V4,"sol",'4'!L4),IF('7'!$V4=2,IF('3'!L4&lt;='7'!$V4,"dul",'4'!L4),IF('7'!$V4&gt;=3,IF('3'!L4&lt;='7'!$V4,"shr",'4'!L4),'4'!L4))))</f>
        <v>-</v>
      </c>
      <c r="M4" s="19" t="str">
        <f>IF(ISBLANK('Raw counts'!M5),"",IF('7'!$V4=1,IF('3'!M4='7'!$V4,"sol",'4'!M4),IF('7'!$V4=2,IF('3'!M4&lt;='7'!$V4,"dul",'4'!M4),IF('7'!$V4&gt;=3,IF('3'!M4&lt;='7'!$V4,"shr",'4'!M4),'4'!M4))))</f>
        <v/>
      </c>
      <c r="N4" s="19" t="str">
        <f>IF(ISBLANK('Raw counts'!N5),"",IF('7'!$V4=1,IF('3'!N4='7'!$V4,"sol",'4'!N4),IF('7'!$V4=2,IF('3'!N4&lt;='7'!$V4,"dul",'4'!N4),IF('7'!$V4&gt;=3,IF('3'!N4&lt;='7'!$V4,"shr",'4'!N4),'4'!N4))))</f>
        <v/>
      </c>
      <c r="O4" s="19" t="str">
        <f>IF(ISBLANK('Raw counts'!O5),"",IF('7'!$V4=1,IF('3'!O4='7'!$V4,"sol",'4'!O4),IF('7'!$V4=2,IF('3'!O4&lt;='7'!$V4,"dul",'4'!O4),IF('7'!$V4&gt;=3,IF('3'!O4&lt;='7'!$V4,"shr",'4'!O4),'4'!O4))))</f>
        <v/>
      </c>
      <c r="P4" s="19" t="str">
        <f>IF(ISBLANK('Raw counts'!P5),"",IF('7'!$V4=1,IF('3'!P4='7'!$V4,"sol",'4'!P4),IF('7'!$V4=2,IF('3'!P4&lt;='7'!$V4,"dul",'4'!P4),IF('7'!$V4&gt;=3,IF('3'!P4&lt;='7'!$V4,"shr",'4'!P4),'4'!P4))))</f>
        <v/>
      </c>
      <c r="Q4" s="19" t="str">
        <f>IF(ISBLANK('Raw counts'!Q5),"",IF('7'!$V4=1,IF('3'!Q4='7'!$V4,"sol",'4'!Q4),IF('7'!$V4=2,IF('3'!Q4&lt;='7'!$V4,"dul",'4'!Q4),IF('7'!$V4&gt;=3,IF('3'!Q4&lt;='7'!$V4,"shr",'4'!Q4),'4'!Q4))))</f>
        <v/>
      </c>
      <c r="R4" s="19" t="str">
        <f>IF(ISBLANK('Raw counts'!R5),"",IF('7'!$V4=1,IF('3'!R4='7'!$V4,"sol",'4'!R4),IF('7'!$V4=2,IF('3'!R4&lt;='7'!$V4,"dul",'4'!R4),IF('7'!$V4&gt;=3,IF('3'!R4&lt;='7'!$V4,"shr",'4'!R4),'4'!R4))))</f>
        <v/>
      </c>
      <c r="S4" s="19" t="str">
        <f>IF(ISBLANK('Raw counts'!S5),"",IF('7'!$V4=1,IF('3'!S4='7'!$V4,"sol",'4'!S4),IF('7'!$V4=2,IF('3'!S4&lt;='7'!$V4,"dul",'4'!S4),IF('7'!$V4&gt;=3,IF('3'!S4&lt;='7'!$V4,"shr",'4'!S4),'4'!S4))))</f>
        <v/>
      </c>
      <c r="T4" s="19" t="str">
        <f>IF(ISBLANK('Raw counts'!T5),"",IF('7'!$V4=1,IF('3'!T4='7'!$V4,"sol",'4'!T4),IF('7'!$V4=2,IF('3'!T4&lt;='7'!$V4,"dul",'4'!T4),IF('7'!$V4&gt;=3,IF('3'!T4&lt;='7'!$V4,"shr",'4'!T4),'4'!T4))))</f>
        <v/>
      </c>
      <c r="U4" s="19" t="str">
        <f>IF(ISBLANK('Raw counts'!U5),"",IF('7'!$V4=1,IF('3'!U4='7'!$V4,"sol",'4'!U4),IF('7'!$V4=2,IF('3'!U4&lt;='7'!$V4,"dul",'4'!U4),IF('7'!$V4&gt;=3,IF('3'!U4&lt;='7'!$V4,"shr",'4'!U4),'4'!U4))))</f>
        <v/>
      </c>
      <c r="V4" s="3">
        <f>'7'!V4</f>
        <v>0</v>
      </c>
    </row>
    <row r="5" spans="1:22" ht="38.25" x14ac:dyDescent="0.15">
      <c r="A5" s="18" t="str">
        <f>IF(ISBLANK('Raw counts'!A6),"",'Raw counts'!A6)</f>
        <v xml:space="preserve">Doesn't offer enough variety or versions in the store/online                </v>
      </c>
      <c r="B5" s="19" t="str">
        <f>IF(ISBLANK('Raw counts'!B6),"",IF('7'!$V5=1,IF('3'!B5='7'!$V5,"sol",'4'!B5),IF('7'!$V5=2,IF('3'!B5&lt;='7'!$V5,"dul",'4'!B5),IF('7'!$V5&gt;=3,IF('3'!B5&lt;='7'!$V5,"shr",'4'!B5),'4'!B5))))</f>
        <v>+</v>
      </c>
      <c r="C5" s="19" t="str">
        <f>IF(ISBLANK('Raw counts'!C6),"",IF('7'!$V5=1,IF('3'!C5='7'!$V5,"sol",'4'!C5),IF('7'!$V5=2,IF('3'!C5&lt;='7'!$V5,"dul",'4'!C5),IF('7'!$V5&gt;=3,IF('3'!C5&lt;='7'!$V5,"shr",'4'!C5),'4'!C5))))</f>
        <v>-</v>
      </c>
      <c r="D5" s="19" t="str">
        <f>IF(ISBLANK('Raw counts'!D6),"",IF('7'!$V5=1,IF('3'!D5='7'!$V5,"sol",'4'!D5),IF('7'!$V5=2,IF('3'!D5&lt;='7'!$V5,"dul",'4'!D5),IF('7'!$V5&gt;=3,IF('3'!D5&lt;='7'!$V5,"shr",'4'!D5),'4'!D5))))</f>
        <v>-</v>
      </c>
      <c r="E5" s="19" t="str">
        <f>IF(ISBLANK('Raw counts'!E6),"",IF('7'!$V5=1,IF('3'!E5='7'!$V5,"sol",'4'!E5),IF('7'!$V5=2,IF('3'!E5&lt;='7'!$V5,"dul",'4'!E5),IF('7'!$V5&gt;=3,IF('3'!E5&lt;='7'!$V5,"shr",'4'!E5),'4'!E5))))</f>
        <v>-</v>
      </c>
      <c r="F5" s="19" t="str">
        <f>IF(ISBLANK('Raw counts'!F6),"",IF('7'!$V5=1,IF('3'!F5='7'!$V5,"sol",'4'!F5),IF('7'!$V5=2,IF('3'!F5&lt;='7'!$V5,"dul",'4'!F5),IF('7'!$V5&gt;=3,IF('3'!F5&lt;='7'!$V5,"shr",'4'!F5),'4'!F5))))</f>
        <v>+1</v>
      </c>
      <c r="G5" s="19" t="str">
        <f>IF(ISBLANK('Raw counts'!G6),"",IF('7'!$V5=1,IF('3'!G5='7'!$V5,"sol",'4'!G5),IF('7'!$V5=2,IF('3'!G5&lt;='7'!$V5,"dul",'4'!G5),IF('7'!$V5&gt;=3,IF('3'!G5&lt;='7'!$V5,"shr",'4'!G5),'4'!G5))))</f>
        <v>sol</v>
      </c>
      <c r="H5" s="19" t="str">
        <f>IF(ISBLANK('Raw counts'!H6),"",IF('7'!$V5=1,IF('3'!H5='7'!$V5,"sol",'4'!H5),IF('7'!$V5=2,IF('3'!H5&lt;='7'!$V5,"dul",'4'!H5),IF('7'!$V5&gt;=3,IF('3'!H5&lt;='7'!$V5,"shr",'4'!H5),'4'!H5))))</f>
        <v>-1</v>
      </c>
      <c r="I5" s="19" t="str">
        <f>IF(ISBLANK('Raw counts'!I6),"",IF('7'!$V5=1,IF('3'!I5='7'!$V5,"sol",'4'!I5),IF('7'!$V5=2,IF('3'!I5&lt;='7'!$V5,"dul",'4'!I5),IF('7'!$V5&gt;=3,IF('3'!I5&lt;='7'!$V5,"shr",'4'!I5),'4'!I5))))</f>
        <v>-</v>
      </c>
      <c r="J5" s="19" t="str">
        <f>IF(ISBLANK('Raw counts'!J6),"",IF('7'!$V5=1,IF('3'!J5='7'!$V5,"sol",'4'!J5),IF('7'!$V5=2,IF('3'!J5&lt;='7'!$V5,"dul",'4'!J5),IF('7'!$V5&gt;=3,IF('3'!J5&lt;='7'!$V5,"shr",'4'!J5),'4'!J5))))</f>
        <v>-</v>
      </c>
      <c r="K5" s="19" t="str">
        <f>IF(ISBLANK('Raw counts'!K6),"",IF('7'!$V5=1,IF('3'!K5='7'!$V5,"sol",'4'!K5),IF('7'!$V5=2,IF('3'!K5&lt;='7'!$V5,"dul",'4'!K5),IF('7'!$V5&gt;=3,IF('3'!K5&lt;='7'!$V5,"shr",'4'!K5),'4'!K5))))</f>
        <v>-</v>
      </c>
      <c r="L5" s="19" t="str">
        <f>IF(ISBLANK('Raw counts'!L6),"",IF('7'!$V5=1,IF('3'!L5='7'!$V5,"sol",'4'!L5),IF('7'!$V5=2,IF('3'!L5&lt;='7'!$V5,"dul",'4'!L5),IF('7'!$V5&gt;=3,IF('3'!L5&lt;='7'!$V5,"shr",'4'!L5),'4'!L5))))</f>
        <v>-</v>
      </c>
      <c r="M5" s="19" t="str">
        <f>IF(ISBLANK('Raw counts'!M6),"",IF('7'!$V5=1,IF('3'!M5='7'!$V5,"sol",'4'!M5),IF('7'!$V5=2,IF('3'!M5&lt;='7'!$V5,"dul",'4'!M5),IF('7'!$V5&gt;=3,IF('3'!M5&lt;='7'!$V5,"shr",'4'!M5),'4'!M5))))</f>
        <v/>
      </c>
      <c r="N5" s="19" t="str">
        <f>IF(ISBLANK('Raw counts'!N6),"",IF('7'!$V5=1,IF('3'!N5='7'!$V5,"sol",'4'!N5),IF('7'!$V5=2,IF('3'!N5&lt;='7'!$V5,"dul",'4'!N5),IF('7'!$V5&gt;=3,IF('3'!N5&lt;='7'!$V5,"shr",'4'!N5),'4'!N5))))</f>
        <v/>
      </c>
      <c r="O5" s="19" t="str">
        <f>IF(ISBLANK('Raw counts'!O6),"",IF('7'!$V5=1,IF('3'!O5='7'!$V5,"sol",'4'!O5),IF('7'!$V5=2,IF('3'!O5&lt;='7'!$V5,"dul",'4'!O5),IF('7'!$V5&gt;=3,IF('3'!O5&lt;='7'!$V5,"shr",'4'!O5),'4'!O5))))</f>
        <v/>
      </c>
      <c r="P5" s="19" t="str">
        <f>IF(ISBLANK('Raw counts'!P6),"",IF('7'!$V5=1,IF('3'!P5='7'!$V5,"sol",'4'!P5),IF('7'!$V5=2,IF('3'!P5&lt;='7'!$V5,"dul",'4'!P5),IF('7'!$V5&gt;=3,IF('3'!P5&lt;='7'!$V5,"shr",'4'!P5),'4'!P5))))</f>
        <v/>
      </c>
      <c r="Q5" s="19" t="str">
        <f>IF(ISBLANK('Raw counts'!Q6),"",IF('7'!$V5=1,IF('3'!Q5='7'!$V5,"sol",'4'!Q5),IF('7'!$V5=2,IF('3'!Q5&lt;='7'!$V5,"dul",'4'!Q5),IF('7'!$V5&gt;=3,IF('3'!Q5&lt;='7'!$V5,"shr",'4'!Q5),'4'!Q5))))</f>
        <v/>
      </c>
      <c r="R5" s="19" t="str">
        <f>IF(ISBLANK('Raw counts'!R6),"",IF('7'!$V5=1,IF('3'!R5='7'!$V5,"sol",'4'!R5),IF('7'!$V5=2,IF('3'!R5&lt;='7'!$V5,"dul",'4'!R5),IF('7'!$V5&gt;=3,IF('3'!R5&lt;='7'!$V5,"shr",'4'!R5),'4'!R5))))</f>
        <v/>
      </c>
      <c r="S5" s="19" t="str">
        <f>IF(ISBLANK('Raw counts'!S6),"",IF('7'!$V5=1,IF('3'!S5='7'!$V5,"sol",'4'!S5),IF('7'!$V5=2,IF('3'!S5&lt;='7'!$V5,"dul",'4'!S5),IF('7'!$V5&gt;=3,IF('3'!S5&lt;='7'!$V5,"shr",'4'!S5),'4'!S5))))</f>
        <v/>
      </c>
      <c r="T5" s="19" t="str">
        <f>IF(ISBLANK('Raw counts'!T6),"",IF('7'!$V5=1,IF('3'!T5='7'!$V5,"sol",'4'!T5),IF('7'!$V5=2,IF('3'!T5&lt;='7'!$V5,"dul",'4'!T5),IF('7'!$V5&gt;=3,IF('3'!T5&lt;='7'!$V5,"shr",'4'!T5),'4'!T5))))</f>
        <v/>
      </c>
      <c r="U5" s="19" t="str">
        <f>IF(ISBLANK('Raw counts'!U6),"",IF('7'!$V5=1,IF('3'!U5='7'!$V5,"sol",'4'!U5),IF('7'!$V5=2,IF('3'!U5&lt;='7'!$V5,"dul",'4'!U5),IF('7'!$V5&gt;=3,IF('3'!U5&lt;='7'!$V5,"shr",'4'!U5),'4'!U5))))</f>
        <v/>
      </c>
      <c r="V5" s="3">
        <f>'7'!V5</f>
        <v>1</v>
      </c>
    </row>
    <row r="6" spans="1:22" ht="25.5" x14ac:dyDescent="0.15">
      <c r="A6" s="18" t="str">
        <f>IF(ISBLANK('Raw counts'!A7),"",'Raw counts'!A7)</f>
        <v xml:space="preserve">Doesn't offer newest/latest products                                        </v>
      </c>
      <c r="B6" s="19" t="str">
        <f>IF(ISBLANK('Raw counts'!B7),"",IF('7'!$V6=1,IF('3'!B6='7'!$V6,"sol",'4'!B6),IF('7'!$V6=2,IF('3'!B6&lt;='7'!$V6,"dul",'4'!B6),IF('7'!$V6&gt;=3,IF('3'!B6&lt;='7'!$V6,"shr",'4'!B6),'4'!B6))))</f>
        <v>-</v>
      </c>
      <c r="C6" s="19" t="str">
        <f>IF(ISBLANK('Raw counts'!C7),"",IF('7'!$V6=1,IF('3'!C6='7'!$V6,"sol",'4'!C6),IF('7'!$V6=2,IF('3'!C6&lt;='7'!$V6,"dul",'4'!C6),IF('7'!$V6&gt;=3,IF('3'!C6&lt;='7'!$V6,"shr",'4'!C6),'4'!C6))))</f>
        <v>+</v>
      </c>
      <c r="D6" s="19" t="str">
        <f>IF(ISBLANK('Raw counts'!D7),"",IF('7'!$V6=1,IF('3'!D6='7'!$V6,"sol",'4'!D6),IF('7'!$V6=2,IF('3'!D6&lt;='7'!$V6,"dul",'4'!D6),IF('7'!$V6&gt;=3,IF('3'!D6&lt;='7'!$V6,"shr",'4'!D6),'4'!D6))))</f>
        <v>-</v>
      </c>
      <c r="E6" s="19" t="str">
        <f>IF(ISBLANK('Raw counts'!E7),"",IF('7'!$V6=1,IF('3'!E6='7'!$V6,"sol",'4'!E6),IF('7'!$V6=2,IF('3'!E6&lt;='7'!$V6,"dul",'4'!E6),IF('7'!$V6&gt;=3,IF('3'!E6&lt;='7'!$V6,"shr",'4'!E6),'4'!E6))))</f>
        <v>+</v>
      </c>
      <c r="F6" s="19" t="str">
        <f>IF(ISBLANK('Raw counts'!F7),"",IF('7'!$V6=1,IF('3'!F6='7'!$V6,"sol",'4'!F6),IF('7'!$V6=2,IF('3'!F6&lt;='7'!$V6,"dul",'4'!F6),IF('7'!$V6&gt;=3,IF('3'!F6&lt;='7'!$V6,"shr",'4'!F6),'4'!F6))))</f>
        <v>+1</v>
      </c>
      <c r="G6" s="19" t="str">
        <f>IF(ISBLANK('Raw counts'!G7),"",IF('7'!$V6=1,IF('3'!G6='7'!$V6,"sol",'4'!G6),IF('7'!$V6=2,IF('3'!G6&lt;='7'!$V6,"dul",'4'!G6),IF('7'!$V6&gt;=3,IF('3'!G6&lt;='7'!$V6,"shr",'4'!G6),'4'!G6))))</f>
        <v>+</v>
      </c>
      <c r="H6" s="19" t="str">
        <f>IF(ISBLANK('Raw counts'!H7),"",IF('7'!$V6=1,IF('3'!H6='7'!$V6,"sol",'4'!H6),IF('7'!$V6=2,IF('3'!H6&lt;='7'!$V6,"dul",'4'!H6),IF('7'!$V6&gt;=3,IF('3'!H6&lt;='7'!$V6,"shr",'4'!H6),'4'!H6))))</f>
        <v>-1</v>
      </c>
      <c r="I6" s="19" t="str">
        <f>IF(ISBLANK('Raw counts'!I7),"",IF('7'!$V6=1,IF('3'!I6='7'!$V6,"sol",'4'!I6),IF('7'!$V6=2,IF('3'!I6&lt;='7'!$V6,"dul",'4'!I6),IF('7'!$V6&gt;=3,IF('3'!I6&lt;='7'!$V6,"shr",'4'!I6),'4'!I6))))</f>
        <v>+</v>
      </c>
      <c r="J6" s="19" t="str">
        <f>IF(ISBLANK('Raw counts'!J7),"",IF('7'!$V6=1,IF('3'!J6='7'!$V6,"sol",'4'!J6),IF('7'!$V6=2,IF('3'!J6&lt;='7'!$V6,"dul",'4'!J6),IF('7'!$V6&gt;=3,IF('3'!J6&lt;='7'!$V6,"shr",'4'!J6),'4'!J6))))</f>
        <v>+</v>
      </c>
      <c r="K6" s="19" t="str">
        <f>IF(ISBLANK('Raw counts'!K7),"",IF('7'!$V6=1,IF('3'!K6='7'!$V6,"sol",'4'!K6),IF('7'!$V6=2,IF('3'!K6&lt;='7'!$V6,"dul",'4'!K6),IF('7'!$V6&gt;=3,IF('3'!K6&lt;='7'!$V6,"shr",'4'!K6),'4'!K6))))</f>
        <v>+</v>
      </c>
      <c r="L6" s="19" t="str">
        <f>IF(ISBLANK('Raw counts'!L7),"",IF('7'!$V6=1,IF('3'!L6='7'!$V6,"sol",'4'!L6),IF('7'!$V6=2,IF('3'!L6&lt;='7'!$V6,"dul",'4'!L6),IF('7'!$V6&gt;=3,IF('3'!L6&lt;='7'!$V6,"shr",'4'!L6),'4'!L6))))</f>
        <v>-</v>
      </c>
      <c r="M6" s="19" t="str">
        <f>IF(ISBLANK('Raw counts'!M7),"",IF('7'!$V6=1,IF('3'!M6='7'!$V6,"sol",'4'!M6),IF('7'!$V6=2,IF('3'!M6&lt;='7'!$V6,"dul",'4'!M6),IF('7'!$V6&gt;=3,IF('3'!M6&lt;='7'!$V6,"shr",'4'!M6),'4'!M6))))</f>
        <v/>
      </c>
      <c r="N6" s="19" t="str">
        <f>IF(ISBLANK('Raw counts'!N7),"",IF('7'!$V6=1,IF('3'!N6='7'!$V6,"sol",'4'!N6),IF('7'!$V6=2,IF('3'!N6&lt;='7'!$V6,"dul",'4'!N6),IF('7'!$V6&gt;=3,IF('3'!N6&lt;='7'!$V6,"shr",'4'!N6),'4'!N6))))</f>
        <v/>
      </c>
      <c r="O6" s="19" t="str">
        <f>IF(ISBLANK('Raw counts'!O7),"",IF('7'!$V6=1,IF('3'!O6='7'!$V6,"sol",'4'!O6),IF('7'!$V6=2,IF('3'!O6&lt;='7'!$V6,"dul",'4'!O6),IF('7'!$V6&gt;=3,IF('3'!O6&lt;='7'!$V6,"shr",'4'!O6),'4'!O6))))</f>
        <v/>
      </c>
      <c r="P6" s="19" t="str">
        <f>IF(ISBLANK('Raw counts'!P7),"",IF('7'!$V6=1,IF('3'!P6='7'!$V6,"sol",'4'!P6),IF('7'!$V6=2,IF('3'!P6&lt;='7'!$V6,"dul",'4'!P6),IF('7'!$V6&gt;=3,IF('3'!P6&lt;='7'!$V6,"shr",'4'!P6),'4'!P6))))</f>
        <v/>
      </c>
      <c r="Q6" s="19" t="str">
        <f>IF(ISBLANK('Raw counts'!Q7),"",IF('7'!$V6=1,IF('3'!Q6='7'!$V6,"sol",'4'!Q6),IF('7'!$V6=2,IF('3'!Q6&lt;='7'!$V6,"dul",'4'!Q6),IF('7'!$V6&gt;=3,IF('3'!Q6&lt;='7'!$V6,"shr",'4'!Q6),'4'!Q6))))</f>
        <v/>
      </c>
      <c r="R6" s="19" t="str">
        <f>IF(ISBLANK('Raw counts'!R7),"",IF('7'!$V6=1,IF('3'!R6='7'!$V6,"sol",'4'!R6),IF('7'!$V6=2,IF('3'!R6&lt;='7'!$V6,"dul",'4'!R6),IF('7'!$V6&gt;=3,IF('3'!R6&lt;='7'!$V6,"shr",'4'!R6),'4'!R6))))</f>
        <v/>
      </c>
      <c r="S6" s="19" t="str">
        <f>IF(ISBLANK('Raw counts'!S7),"",IF('7'!$V6=1,IF('3'!S6='7'!$V6,"sol",'4'!S6),IF('7'!$V6=2,IF('3'!S6&lt;='7'!$V6,"dul",'4'!S6),IF('7'!$V6&gt;=3,IF('3'!S6&lt;='7'!$V6,"shr",'4'!S6),'4'!S6))))</f>
        <v/>
      </c>
      <c r="T6" s="19" t="str">
        <f>IF(ISBLANK('Raw counts'!T7),"",IF('7'!$V6=1,IF('3'!T6='7'!$V6,"sol",'4'!T6),IF('7'!$V6=2,IF('3'!T6&lt;='7'!$V6,"dul",'4'!T6),IF('7'!$V6&gt;=3,IF('3'!T6&lt;='7'!$V6,"shr",'4'!T6),'4'!T6))))</f>
        <v/>
      </c>
      <c r="U6" s="19" t="str">
        <f>IF(ISBLANK('Raw counts'!U7),"",IF('7'!$V6=1,IF('3'!U6='7'!$V6,"sol",'4'!U6),IF('7'!$V6=2,IF('3'!U6&lt;='7'!$V6,"dul",'4'!U6),IF('7'!$V6&gt;=3,IF('3'!U6&lt;='7'!$V6,"shr",'4'!U6),'4'!U6))))</f>
        <v/>
      </c>
      <c r="V6" s="3">
        <f>'7'!V6</f>
        <v>0</v>
      </c>
    </row>
    <row r="7" spans="1:22" ht="25.5" x14ac:dyDescent="0.15">
      <c r="A7" s="18" t="str">
        <f>IF(ISBLANK('Raw counts'!A8),"",'Raw counts'!A8)</f>
        <v xml:space="preserve">Brand not carried in the store/online                                       </v>
      </c>
      <c r="B7" s="19" t="str">
        <f>IF(ISBLANK('Raw counts'!B8),"",IF('7'!$V7=1,IF('3'!B7='7'!$V7,"sol",'4'!B7),IF('7'!$V7=2,IF('3'!B7&lt;='7'!$V7,"dul",'4'!B7),IF('7'!$V7&gt;=3,IF('3'!B7&lt;='7'!$V7,"shr",'4'!B7),'4'!B7))))</f>
        <v>+</v>
      </c>
      <c r="C7" s="19" t="str">
        <f>IF(ISBLANK('Raw counts'!C8),"",IF('7'!$V7=1,IF('3'!C7='7'!$V7,"sol",'4'!C7),IF('7'!$V7=2,IF('3'!C7&lt;='7'!$V7,"dul",'4'!C7),IF('7'!$V7&gt;=3,IF('3'!C7&lt;='7'!$V7,"shr",'4'!C7),'4'!C7))))</f>
        <v>+</v>
      </c>
      <c r="D7" s="19" t="str">
        <f>IF(ISBLANK('Raw counts'!D8),"",IF('7'!$V7=1,IF('3'!D7='7'!$V7,"sol",'4'!D7),IF('7'!$V7=2,IF('3'!D7&lt;='7'!$V7,"dul",'4'!D7),IF('7'!$V7&gt;=3,IF('3'!D7&lt;='7'!$V7,"shr",'4'!D7),'4'!D7))))</f>
        <v>+</v>
      </c>
      <c r="E7" s="19" t="str">
        <f>IF(ISBLANK('Raw counts'!E8),"",IF('7'!$V7=1,IF('3'!E7='7'!$V7,"sol",'4'!E7),IF('7'!$V7=2,IF('3'!E7&lt;='7'!$V7,"dul",'4'!E7),IF('7'!$V7&gt;=3,IF('3'!E7&lt;='7'!$V7,"shr",'4'!E7),'4'!E7))))</f>
        <v>+</v>
      </c>
      <c r="F7" s="19" t="str">
        <f>IF(ISBLANK('Raw counts'!F8),"",IF('7'!$V7=1,IF('3'!F7='7'!$V7,"sol",'4'!F7),IF('7'!$V7=2,IF('3'!F7&lt;='7'!$V7,"dul",'4'!F7),IF('7'!$V7&gt;=3,IF('3'!F7&lt;='7'!$V7,"shr",'4'!F7),'4'!F7))))</f>
        <v>-</v>
      </c>
      <c r="G7" s="19" t="str">
        <f>IF(ISBLANK('Raw counts'!G8),"",IF('7'!$V7=1,IF('3'!G7='7'!$V7,"sol",'4'!G7),IF('7'!$V7=2,IF('3'!G7&lt;='7'!$V7,"dul",'4'!G7),IF('7'!$V7&gt;=3,IF('3'!G7&lt;='7'!$V7,"shr",'4'!G7),'4'!G7))))</f>
        <v>+1</v>
      </c>
      <c r="H7" s="19" t="str">
        <f>IF(ISBLANK('Raw counts'!H8),"",IF('7'!$V7=1,IF('3'!H7='7'!$V7,"sol",'4'!H7),IF('7'!$V7=2,IF('3'!H7&lt;='7'!$V7,"dul",'4'!H7),IF('7'!$V7&gt;=3,IF('3'!H7&lt;='7'!$V7,"shr",'4'!H7),'4'!H7))))</f>
        <v>-1</v>
      </c>
      <c r="I7" s="19" t="str">
        <f>IF(ISBLANK('Raw counts'!I8),"",IF('7'!$V7=1,IF('3'!I7='7'!$V7,"sol",'4'!I7),IF('7'!$V7=2,IF('3'!I7&lt;='7'!$V7,"dul",'4'!I7),IF('7'!$V7&gt;=3,IF('3'!I7&lt;='7'!$V7,"shr",'4'!I7),'4'!I7))))</f>
        <v>+</v>
      </c>
      <c r="J7" s="19" t="str">
        <f>IF(ISBLANK('Raw counts'!J8),"",IF('7'!$V7=1,IF('3'!J7='7'!$V7,"sol",'4'!J7),IF('7'!$V7=2,IF('3'!J7&lt;='7'!$V7,"dul",'4'!J7),IF('7'!$V7&gt;=3,IF('3'!J7&lt;='7'!$V7,"shr",'4'!J7),'4'!J7))))</f>
        <v>+</v>
      </c>
      <c r="K7" s="19" t="str">
        <f>IF(ISBLANK('Raw counts'!K8),"",IF('7'!$V7=1,IF('3'!K7='7'!$V7,"sol",'4'!K7),IF('7'!$V7=2,IF('3'!K7&lt;='7'!$V7,"dul",'4'!K7),IF('7'!$V7&gt;=3,IF('3'!K7&lt;='7'!$V7,"shr",'4'!K7),'4'!K7))))</f>
        <v>-</v>
      </c>
      <c r="L7" s="19" t="str">
        <f>IF(ISBLANK('Raw counts'!L8),"",IF('7'!$V7=1,IF('3'!L7='7'!$V7,"sol",'4'!L7),IF('7'!$V7=2,IF('3'!L7&lt;='7'!$V7,"dul",'4'!L7),IF('7'!$V7&gt;=3,IF('3'!L7&lt;='7'!$V7,"shr",'4'!L7),'4'!L7))))</f>
        <v>+</v>
      </c>
      <c r="M7" s="19" t="str">
        <f>IF(ISBLANK('Raw counts'!M8),"",IF('7'!$V7=1,IF('3'!M7='7'!$V7,"sol",'4'!M7),IF('7'!$V7=2,IF('3'!M7&lt;='7'!$V7,"dul",'4'!M7),IF('7'!$V7&gt;=3,IF('3'!M7&lt;='7'!$V7,"shr",'4'!M7),'4'!M7))))</f>
        <v/>
      </c>
      <c r="N7" s="19" t="str">
        <f>IF(ISBLANK('Raw counts'!N8),"",IF('7'!$V7=1,IF('3'!N7='7'!$V7,"sol",'4'!N7),IF('7'!$V7=2,IF('3'!N7&lt;='7'!$V7,"dul",'4'!N7),IF('7'!$V7&gt;=3,IF('3'!N7&lt;='7'!$V7,"shr",'4'!N7),'4'!N7))))</f>
        <v/>
      </c>
      <c r="O7" s="19" t="str">
        <f>IF(ISBLANK('Raw counts'!O8),"",IF('7'!$V7=1,IF('3'!O7='7'!$V7,"sol",'4'!O7),IF('7'!$V7=2,IF('3'!O7&lt;='7'!$V7,"dul",'4'!O7),IF('7'!$V7&gt;=3,IF('3'!O7&lt;='7'!$V7,"shr",'4'!O7),'4'!O7))))</f>
        <v/>
      </c>
      <c r="P7" s="19" t="str">
        <f>IF(ISBLANK('Raw counts'!P8),"",IF('7'!$V7=1,IF('3'!P7='7'!$V7,"sol",'4'!P7),IF('7'!$V7=2,IF('3'!P7&lt;='7'!$V7,"dul",'4'!P7),IF('7'!$V7&gt;=3,IF('3'!P7&lt;='7'!$V7,"shr",'4'!P7),'4'!P7))))</f>
        <v/>
      </c>
      <c r="Q7" s="19" t="str">
        <f>IF(ISBLANK('Raw counts'!Q8),"",IF('7'!$V7=1,IF('3'!Q7='7'!$V7,"sol",'4'!Q7),IF('7'!$V7=2,IF('3'!Q7&lt;='7'!$V7,"dul",'4'!Q7),IF('7'!$V7&gt;=3,IF('3'!Q7&lt;='7'!$V7,"shr",'4'!Q7),'4'!Q7))))</f>
        <v/>
      </c>
      <c r="R7" s="19" t="str">
        <f>IF(ISBLANK('Raw counts'!R8),"",IF('7'!$V7=1,IF('3'!R7='7'!$V7,"sol",'4'!R7),IF('7'!$V7=2,IF('3'!R7&lt;='7'!$V7,"dul",'4'!R7),IF('7'!$V7&gt;=3,IF('3'!R7&lt;='7'!$V7,"shr",'4'!R7),'4'!R7))))</f>
        <v/>
      </c>
      <c r="S7" s="19" t="str">
        <f>IF(ISBLANK('Raw counts'!S8),"",IF('7'!$V7=1,IF('3'!S7='7'!$V7,"sol",'4'!S7),IF('7'!$V7=2,IF('3'!S7&lt;='7'!$V7,"dul",'4'!S7),IF('7'!$V7&gt;=3,IF('3'!S7&lt;='7'!$V7,"shr",'4'!S7),'4'!S7))))</f>
        <v/>
      </c>
      <c r="T7" s="19" t="str">
        <f>IF(ISBLANK('Raw counts'!T8),"",IF('7'!$V7=1,IF('3'!T7='7'!$V7,"sol",'4'!T7),IF('7'!$V7=2,IF('3'!T7&lt;='7'!$V7,"dul",'4'!T7),IF('7'!$V7&gt;=3,IF('3'!T7&lt;='7'!$V7,"shr",'4'!T7),'4'!T7))))</f>
        <v/>
      </c>
      <c r="U7" s="19" t="str">
        <f>IF(ISBLANK('Raw counts'!U8),"",IF('7'!$V7=1,IF('3'!U7='7'!$V7,"sol",'4'!U7),IF('7'!$V7=2,IF('3'!U7&lt;='7'!$V7,"dul",'4'!U7),IF('7'!$V7&gt;=3,IF('3'!U7&lt;='7'!$V7,"shr",'4'!U7),'4'!U7))))</f>
        <v/>
      </c>
      <c r="V7" s="3">
        <f>'7'!V7</f>
        <v>0</v>
      </c>
    </row>
    <row r="8" spans="1:22" ht="25.5" x14ac:dyDescent="0.15">
      <c r="A8" s="18" t="str">
        <f>IF(ISBLANK('Raw counts'!A9),"",'Raw counts'!A9)</f>
        <v xml:space="preserve">Often out of stock                                                          </v>
      </c>
      <c r="B8" s="19" t="str">
        <f>IF(ISBLANK('Raw counts'!B9),"",IF('7'!$V8=1,IF('3'!B8='7'!$V8,"sol",'4'!B8),IF('7'!$V8=2,IF('3'!B8&lt;='7'!$V8,"dul",'4'!B8),IF('7'!$V8&gt;=3,IF('3'!B8&lt;='7'!$V8,"shr",'4'!B8),'4'!B8))))</f>
        <v>+</v>
      </c>
      <c r="C8" s="19" t="str">
        <f>IF(ISBLANK('Raw counts'!C9),"",IF('7'!$V8=1,IF('3'!C8='7'!$V8,"sol",'4'!C8),IF('7'!$V8=2,IF('3'!C8&lt;='7'!$V8,"dul",'4'!C8),IF('7'!$V8&gt;=3,IF('3'!C8&lt;='7'!$V8,"shr",'4'!C8),'4'!C8))))</f>
        <v>-</v>
      </c>
      <c r="D8" s="19" t="str">
        <f>IF(ISBLANK('Raw counts'!D9),"",IF('7'!$V8=1,IF('3'!D8='7'!$V8,"sol",'4'!D8),IF('7'!$V8=2,IF('3'!D8&lt;='7'!$V8,"dul",'4'!D8),IF('7'!$V8&gt;=3,IF('3'!D8&lt;='7'!$V8,"shr",'4'!D8),'4'!D8))))</f>
        <v>-</v>
      </c>
      <c r="E8" s="19" t="str">
        <f>IF(ISBLANK('Raw counts'!E9),"",IF('7'!$V8=1,IF('3'!E8='7'!$V8,"sol",'4'!E8),IF('7'!$V8=2,IF('3'!E8&lt;='7'!$V8,"dul",'4'!E8),IF('7'!$V8&gt;=3,IF('3'!E8&lt;='7'!$V8,"shr",'4'!E8),'4'!E8))))</f>
        <v>+</v>
      </c>
      <c r="F8" s="19" t="str">
        <f>IF(ISBLANK('Raw counts'!F9),"",IF('7'!$V8=1,IF('3'!F8='7'!$V8,"sol",'4'!F8),IF('7'!$V8=2,IF('3'!F8&lt;='7'!$V8,"dul",'4'!F8),IF('7'!$V8&gt;=3,IF('3'!F8&lt;='7'!$V8,"shr",'4'!F8),'4'!F8))))</f>
        <v>-</v>
      </c>
      <c r="G8" s="19" t="str">
        <f>IF(ISBLANK('Raw counts'!G9),"",IF('7'!$V8=1,IF('3'!G8='7'!$V8,"sol",'4'!G8),IF('7'!$V8=2,IF('3'!G8&lt;='7'!$V8,"dul",'4'!G8),IF('7'!$V8&gt;=3,IF('3'!G8&lt;='7'!$V8,"shr",'4'!G8),'4'!G8))))</f>
        <v>-</v>
      </c>
      <c r="H8" s="19" t="str">
        <f>IF(ISBLANK('Raw counts'!H9),"",IF('7'!$V8=1,IF('3'!H8='7'!$V8,"sol",'4'!H8),IF('7'!$V8=2,IF('3'!H8&lt;='7'!$V8,"dul",'4'!H8),IF('7'!$V8&gt;=3,IF('3'!H8&lt;='7'!$V8,"shr",'4'!H8),'4'!H8))))</f>
        <v>+</v>
      </c>
      <c r="I8" s="19" t="str">
        <f>IF(ISBLANK('Raw counts'!I9),"",IF('7'!$V8=1,IF('3'!I8='7'!$V8,"sol",'4'!I8),IF('7'!$V8=2,IF('3'!I8&lt;='7'!$V8,"dul",'4'!I8),IF('7'!$V8&gt;=3,IF('3'!I8&lt;='7'!$V8,"shr",'4'!I8),'4'!I8))))</f>
        <v>sol</v>
      </c>
      <c r="J8" s="19" t="str">
        <f>IF(ISBLANK('Raw counts'!J9),"",IF('7'!$V8=1,IF('3'!J8='7'!$V8,"sol",'4'!J8),IF('7'!$V8=2,IF('3'!J8&lt;='7'!$V8,"dul",'4'!J8),IF('7'!$V8&gt;=3,IF('3'!J8&lt;='7'!$V8,"shr",'4'!J8),'4'!J8))))</f>
        <v>-</v>
      </c>
      <c r="K8" s="19" t="str">
        <f>IF(ISBLANK('Raw counts'!K9),"",IF('7'!$V8=1,IF('3'!K8='7'!$V8,"sol",'4'!K8),IF('7'!$V8=2,IF('3'!K8&lt;='7'!$V8,"dul",'4'!K8),IF('7'!$V8&gt;=3,IF('3'!K8&lt;='7'!$V8,"shr",'4'!K8),'4'!K8))))</f>
        <v>-</v>
      </c>
      <c r="L8" s="19" t="str">
        <f>IF(ISBLANK('Raw counts'!L9),"",IF('7'!$V8=1,IF('3'!L8='7'!$V8,"sol",'4'!L8),IF('7'!$V8=2,IF('3'!L8&lt;='7'!$V8,"dul",'4'!L8),IF('7'!$V8&gt;=3,IF('3'!L8&lt;='7'!$V8,"shr",'4'!L8),'4'!L8))))</f>
        <v>+</v>
      </c>
      <c r="M8" s="19" t="str">
        <f>IF(ISBLANK('Raw counts'!M9),"",IF('7'!$V8=1,IF('3'!M8='7'!$V8,"sol",'4'!M8),IF('7'!$V8=2,IF('3'!M8&lt;='7'!$V8,"dul",'4'!M8),IF('7'!$V8&gt;=3,IF('3'!M8&lt;='7'!$V8,"shr",'4'!M8),'4'!M8))))</f>
        <v/>
      </c>
      <c r="N8" s="19" t="str">
        <f>IF(ISBLANK('Raw counts'!N9),"",IF('7'!$V8=1,IF('3'!N8='7'!$V8,"sol",'4'!N8),IF('7'!$V8=2,IF('3'!N8&lt;='7'!$V8,"dul",'4'!N8),IF('7'!$V8&gt;=3,IF('3'!N8&lt;='7'!$V8,"shr",'4'!N8),'4'!N8))))</f>
        <v/>
      </c>
      <c r="O8" s="19" t="str">
        <f>IF(ISBLANK('Raw counts'!O9),"",IF('7'!$V8=1,IF('3'!O8='7'!$V8,"sol",'4'!O8),IF('7'!$V8=2,IF('3'!O8&lt;='7'!$V8,"dul",'4'!O8),IF('7'!$V8&gt;=3,IF('3'!O8&lt;='7'!$V8,"shr",'4'!O8),'4'!O8))))</f>
        <v/>
      </c>
      <c r="P8" s="19" t="str">
        <f>IF(ISBLANK('Raw counts'!P9),"",IF('7'!$V8=1,IF('3'!P8='7'!$V8,"sol",'4'!P8),IF('7'!$V8=2,IF('3'!P8&lt;='7'!$V8,"dul",'4'!P8),IF('7'!$V8&gt;=3,IF('3'!P8&lt;='7'!$V8,"shr",'4'!P8),'4'!P8))))</f>
        <v/>
      </c>
      <c r="Q8" s="19" t="str">
        <f>IF(ISBLANK('Raw counts'!Q9),"",IF('7'!$V8=1,IF('3'!Q8='7'!$V8,"sol",'4'!Q8),IF('7'!$V8=2,IF('3'!Q8&lt;='7'!$V8,"dul",'4'!Q8),IF('7'!$V8&gt;=3,IF('3'!Q8&lt;='7'!$V8,"shr",'4'!Q8),'4'!Q8))))</f>
        <v/>
      </c>
      <c r="R8" s="19" t="str">
        <f>IF(ISBLANK('Raw counts'!R9),"",IF('7'!$V8=1,IF('3'!R8='7'!$V8,"sol",'4'!R8),IF('7'!$V8=2,IF('3'!R8&lt;='7'!$V8,"dul",'4'!R8),IF('7'!$V8&gt;=3,IF('3'!R8&lt;='7'!$V8,"shr",'4'!R8),'4'!R8))))</f>
        <v/>
      </c>
      <c r="S8" s="19" t="str">
        <f>IF(ISBLANK('Raw counts'!S9),"",IF('7'!$V8=1,IF('3'!S8='7'!$V8,"sol",'4'!S8),IF('7'!$V8=2,IF('3'!S8&lt;='7'!$V8,"dul",'4'!S8),IF('7'!$V8&gt;=3,IF('3'!S8&lt;='7'!$V8,"shr",'4'!S8),'4'!S8))))</f>
        <v/>
      </c>
      <c r="T8" s="19" t="str">
        <f>IF(ISBLANK('Raw counts'!T9),"",IF('7'!$V8=1,IF('3'!T8='7'!$V8,"sol",'4'!T8),IF('7'!$V8=2,IF('3'!T8&lt;='7'!$V8,"dul",'4'!T8),IF('7'!$V8&gt;=3,IF('3'!T8&lt;='7'!$V8,"shr",'4'!T8),'4'!T8))))</f>
        <v/>
      </c>
      <c r="U8" s="19" t="str">
        <f>IF(ISBLANK('Raw counts'!U9),"",IF('7'!$V8=1,IF('3'!U8='7'!$V8,"sol",'4'!U8),IF('7'!$V8=2,IF('3'!U8&lt;='7'!$V8,"dul",'4'!U8),IF('7'!$V8&gt;=3,IF('3'!U8&lt;='7'!$V8,"shr",'4'!U8),'4'!U8))))</f>
        <v/>
      </c>
      <c r="V8" s="3">
        <f>'7'!V8</f>
        <v>1</v>
      </c>
    </row>
    <row r="9" spans="1:22" ht="38.25" x14ac:dyDescent="0.15">
      <c r="A9" s="18" t="str">
        <f>IF(ISBLANK('Raw counts'!A10),"",'Raw counts'!A10)</f>
        <v xml:space="preserve">Hard to find the brand in the store                                         </v>
      </c>
      <c r="B9" s="19" t="str">
        <f>IF(ISBLANK('Raw counts'!B10),"",IF('7'!$V9=1,IF('3'!B9='7'!$V9,"sol",'4'!B9),IF('7'!$V9=2,IF('3'!B9&lt;='7'!$V9,"dul",'4'!B9),IF('7'!$V9&gt;=3,IF('3'!B9&lt;='7'!$V9,"shr",'4'!B9),'4'!B9))))</f>
        <v>-1</v>
      </c>
      <c r="C9" s="19" t="str">
        <f>IF(ISBLANK('Raw counts'!C10),"",IF('7'!$V9=1,IF('3'!C9='7'!$V9,"sol",'4'!C9),IF('7'!$V9=2,IF('3'!C9&lt;='7'!$V9,"dul",'4'!C9),IF('7'!$V9&gt;=3,IF('3'!C9&lt;='7'!$V9,"shr",'4'!C9),'4'!C9))))</f>
        <v>+</v>
      </c>
      <c r="D9" s="19" t="str">
        <f>IF(ISBLANK('Raw counts'!D10),"",IF('7'!$V9=1,IF('3'!D9='7'!$V9,"sol",'4'!D9),IF('7'!$V9=2,IF('3'!D9&lt;='7'!$V9,"dul",'4'!D9),IF('7'!$V9&gt;=3,IF('3'!D9&lt;='7'!$V9,"shr",'4'!D9),'4'!D9))))</f>
        <v>+</v>
      </c>
      <c r="E9" s="19" t="str">
        <f>IF(ISBLANK('Raw counts'!E10),"",IF('7'!$V9=1,IF('3'!E9='7'!$V9,"sol",'4'!E9),IF('7'!$V9=2,IF('3'!E9&lt;='7'!$V9,"dul",'4'!E9),IF('7'!$V9&gt;=3,IF('3'!E9&lt;='7'!$V9,"shr",'4'!E9),'4'!E9))))</f>
        <v>+</v>
      </c>
      <c r="F9" s="19" t="str">
        <f>IF(ISBLANK('Raw counts'!F10),"",IF('7'!$V9=1,IF('3'!F9='7'!$V9,"sol",'4'!F9),IF('7'!$V9=2,IF('3'!F9&lt;='7'!$V9,"dul",'4'!F9),IF('7'!$V9&gt;=3,IF('3'!F9&lt;='7'!$V9,"shr",'4'!F9),'4'!F9))))</f>
        <v>-</v>
      </c>
      <c r="G9" s="19" t="str">
        <f>IF(ISBLANK('Raw counts'!G10),"",IF('7'!$V9=1,IF('3'!G9='7'!$V9,"sol",'4'!G9),IF('7'!$V9=2,IF('3'!G9&lt;='7'!$V9,"dul",'4'!G9),IF('7'!$V9&gt;=3,IF('3'!G9&lt;='7'!$V9,"shr",'4'!G9),'4'!G9))))</f>
        <v>+</v>
      </c>
      <c r="H9" s="19" t="str">
        <f>IF(ISBLANK('Raw counts'!H10),"",IF('7'!$V9=1,IF('3'!H9='7'!$V9,"sol",'4'!H9),IF('7'!$V9=2,IF('3'!H9&lt;='7'!$V9,"dul",'4'!H9),IF('7'!$V9&gt;=3,IF('3'!H9&lt;='7'!$V9,"shr",'4'!H9),'4'!H9))))</f>
        <v>-1</v>
      </c>
      <c r="I9" s="19" t="str">
        <f>IF(ISBLANK('Raw counts'!I10),"",IF('7'!$V9=1,IF('3'!I9='7'!$V9,"sol",'4'!I9),IF('7'!$V9=2,IF('3'!I9&lt;='7'!$V9,"dul",'4'!I9),IF('7'!$V9&gt;=3,IF('3'!I9&lt;='7'!$V9,"shr",'4'!I9),'4'!I9))))</f>
        <v>+</v>
      </c>
      <c r="J9" s="19" t="str">
        <f>IF(ISBLANK('Raw counts'!J10),"",IF('7'!$V9=1,IF('3'!J9='7'!$V9,"sol",'4'!J9),IF('7'!$V9=2,IF('3'!J9&lt;='7'!$V9,"dul",'4'!J9),IF('7'!$V9&gt;=3,IF('3'!J9&lt;='7'!$V9,"shr",'4'!J9),'4'!J9))))</f>
        <v>+</v>
      </c>
      <c r="K9" s="19" t="str">
        <f>IF(ISBLANK('Raw counts'!K10),"",IF('7'!$V9=1,IF('3'!K9='7'!$V9,"sol",'4'!K9),IF('7'!$V9=2,IF('3'!K9&lt;='7'!$V9,"dul",'4'!K9),IF('7'!$V9&gt;=3,IF('3'!K9&lt;='7'!$V9,"shr",'4'!K9),'4'!K9))))</f>
        <v>+</v>
      </c>
      <c r="L9" s="19" t="str">
        <f>IF(ISBLANK('Raw counts'!L10),"",IF('7'!$V9=1,IF('3'!L9='7'!$V9,"sol",'4'!L9),IF('7'!$V9=2,IF('3'!L9&lt;='7'!$V9,"dul",'4'!L9),IF('7'!$V9&gt;=3,IF('3'!L9&lt;='7'!$V9,"shr",'4'!L9),'4'!L9))))</f>
        <v>-</v>
      </c>
      <c r="M9" s="19" t="str">
        <f>IF(ISBLANK('Raw counts'!M10),"",IF('7'!$V9=1,IF('3'!M9='7'!$V9,"sol",'4'!M9),IF('7'!$V9=2,IF('3'!M9&lt;='7'!$V9,"dul",'4'!M9),IF('7'!$V9&gt;=3,IF('3'!M9&lt;='7'!$V9,"shr",'4'!M9),'4'!M9))))</f>
        <v/>
      </c>
      <c r="N9" s="19" t="str">
        <f>IF(ISBLANK('Raw counts'!N10),"",IF('7'!$V9=1,IF('3'!N9='7'!$V9,"sol",'4'!N9),IF('7'!$V9=2,IF('3'!N9&lt;='7'!$V9,"dul",'4'!N9),IF('7'!$V9&gt;=3,IF('3'!N9&lt;='7'!$V9,"shr",'4'!N9),'4'!N9))))</f>
        <v/>
      </c>
      <c r="O9" s="19" t="str">
        <f>IF(ISBLANK('Raw counts'!O10),"",IF('7'!$V9=1,IF('3'!O9='7'!$V9,"sol",'4'!O9),IF('7'!$V9=2,IF('3'!O9&lt;='7'!$V9,"dul",'4'!O9),IF('7'!$V9&gt;=3,IF('3'!O9&lt;='7'!$V9,"shr",'4'!O9),'4'!O9))))</f>
        <v/>
      </c>
      <c r="P9" s="19" t="str">
        <f>IF(ISBLANK('Raw counts'!P10),"",IF('7'!$V9=1,IF('3'!P9='7'!$V9,"sol",'4'!P9),IF('7'!$V9=2,IF('3'!P9&lt;='7'!$V9,"dul",'4'!P9),IF('7'!$V9&gt;=3,IF('3'!P9&lt;='7'!$V9,"shr",'4'!P9),'4'!P9))))</f>
        <v/>
      </c>
      <c r="Q9" s="19" t="str">
        <f>IF(ISBLANK('Raw counts'!Q10),"",IF('7'!$V9=1,IF('3'!Q9='7'!$V9,"sol",'4'!Q9),IF('7'!$V9=2,IF('3'!Q9&lt;='7'!$V9,"dul",'4'!Q9),IF('7'!$V9&gt;=3,IF('3'!Q9&lt;='7'!$V9,"shr",'4'!Q9),'4'!Q9))))</f>
        <v/>
      </c>
      <c r="R9" s="19" t="str">
        <f>IF(ISBLANK('Raw counts'!R10),"",IF('7'!$V9=1,IF('3'!R9='7'!$V9,"sol",'4'!R9),IF('7'!$V9=2,IF('3'!R9&lt;='7'!$V9,"dul",'4'!R9),IF('7'!$V9&gt;=3,IF('3'!R9&lt;='7'!$V9,"shr",'4'!R9),'4'!R9))))</f>
        <v/>
      </c>
      <c r="S9" s="19" t="str">
        <f>IF(ISBLANK('Raw counts'!S10),"",IF('7'!$V9=1,IF('3'!S9='7'!$V9,"sol",'4'!S9),IF('7'!$V9=2,IF('3'!S9&lt;='7'!$V9,"dul",'4'!S9),IF('7'!$V9&gt;=3,IF('3'!S9&lt;='7'!$V9,"shr",'4'!S9),'4'!S9))))</f>
        <v/>
      </c>
      <c r="T9" s="19" t="str">
        <f>IF(ISBLANK('Raw counts'!T10),"",IF('7'!$V9=1,IF('3'!T9='7'!$V9,"sol",'4'!T9),IF('7'!$V9=2,IF('3'!T9&lt;='7'!$V9,"dul",'4'!T9),IF('7'!$V9&gt;=3,IF('3'!T9&lt;='7'!$V9,"shr",'4'!T9),'4'!T9))))</f>
        <v/>
      </c>
      <c r="U9" s="19" t="str">
        <f>IF(ISBLANK('Raw counts'!U10),"",IF('7'!$V9=1,IF('3'!U9='7'!$V9,"sol",'4'!U9),IF('7'!$V9=2,IF('3'!U9&lt;='7'!$V9,"dul",'4'!U9),IF('7'!$V9&gt;=3,IF('3'!U9&lt;='7'!$V9,"shr",'4'!U9),'4'!U9))))</f>
        <v/>
      </c>
      <c r="V9" s="3">
        <f>'7'!V9</f>
        <v>0</v>
      </c>
    </row>
    <row r="10" spans="1:22" ht="25.5" x14ac:dyDescent="0.15">
      <c r="A10" s="18" t="str">
        <f>IF(ISBLANK('Raw counts'!A11),"",'Raw counts'!A11)</f>
        <v xml:space="preserve">Hard to find the brand online                                               </v>
      </c>
      <c r="B10" s="19" t="str">
        <f>IF(ISBLANK('Raw counts'!B11),"",IF('7'!$V10=1,IF('3'!B10='7'!$V10,"sol",'4'!B10),IF('7'!$V10=2,IF('3'!B10&lt;='7'!$V10,"dul",'4'!B10),IF('7'!$V10&gt;=3,IF('3'!B10&lt;='7'!$V10,"shr",'4'!B10),'4'!B10))))</f>
        <v>+</v>
      </c>
      <c r="C10" s="19" t="str">
        <f>IF(ISBLANK('Raw counts'!C11),"",IF('7'!$V10=1,IF('3'!C10='7'!$V10,"sol",'4'!C10),IF('7'!$V10=2,IF('3'!C10&lt;='7'!$V10,"dul",'4'!C10),IF('7'!$V10&gt;=3,IF('3'!C10&lt;='7'!$V10,"shr",'4'!C10),'4'!C10))))</f>
        <v>+1</v>
      </c>
      <c r="D10" s="19" t="str">
        <f>IF(ISBLANK('Raw counts'!D11),"",IF('7'!$V10=1,IF('3'!D10='7'!$V10,"sol",'4'!D10),IF('7'!$V10=2,IF('3'!D10&lt;='7'!$V10,"dul",'4'!D10),IF('7'!$V10&gt;=3,IF('3'!D10&lt;='7'!$V10,"shr",'4'!D10),'4'!D10))))</f>
        <v>+</v>
      </c>
      <c r="E10" s="19" t="str">
        <f>IF(ISBLANK('Raw counts'!E11),"",IF('7'!$V10=1,IF('3'!E10='7'!$V10,"sol",'4'!E10),IF('7'!$V10=2,IF('3'!E10&lt;='7'!$V10,"dul",'4'!E10),IF('7'!$V10&gt;=3,IF('3'!E10&lt;='7'!$V10,"shr",'4'!E10),'4'!E10))))</f>
        <v>-</v>
      </c>
      <c r="F10" s="19" t="str">
        <f>IF(ISBLANK('Raw counts'!F11),"",IF('7'!$V10=1,IF('3'!F10='7'!$V10,"sol",'4'!F10),IF('7'!$V10=2,IF('3'!F10&lt;='7'!$V10,"dul",'4'!F10),IF('7'!$V10&gt;=3,IF('3'!F10&lt;='7'!$V10,"shr",'4'!F10),'4'!F10))))</f>
        <v>-1</v>
      </c>
      <c r="G10" s="19" t="str">
        <f>IF(ISBLANK('Raw counts'!G11),"",IF('7'!$V10=1,IF('3'!G10='7'!$V10,"sol",'4'!G10),IF('7'!$V10=2,IF('3'!G10&lt;='7'!$V10,"dul",'4'!G10),IF('7'!$V10&gt;=3,IF('3'!G10&lt;='7'!$V10,"shr",'4'!G10),'4'!G10))))</f>
        <v>-</v>
      </c>
      <c r="H10" s="19" t="str">
        <f>IF(ISBLANK('Raw counts'!H11),"",IF('7'!$V10=1,IF('3'!H10='7'!$V10,"sol",'4'!H10),IF('7'!$V10=2,IF('3'!H10&lt;='7'!$V10,"dul",'4'!H10),IF('7'!$V10&gt;=3,IF('3'!H10&lt;='7'!$V10,"shr",'4'!H10),'4'!H10))))</f>
        <v>+</v>
      </c>
      <c r="I10" s="19" t="str">
        <f>IF(ISBLANK('Raw counts'!I11),"",IF('7'!$V10=1,IF('3'!I10='7'!$V10,"sol",'4'!I10),IF('7'!$V10=2,IF('3'!I10&lt;='7'!$V10,"dul",'4'!I10),IF('7'!$V10&gt;=3,IF('3'!I10&lt;='7'!$V10,"shr",'4'!I10),'4'!I10))))</f>
        <v>+</v>
      </c>
      <c r="J10" s="19" t="str">
        <f>IF(ISBLANK('Raw counts'!J11),"",IF('7'!$V10=1,IF('3'!J10='7'!$V10,"sol",'4'!J10),IF('7'!$V10=2,IF('3'!J10&lt;='7'!$V10,"dul",'4'!J10),IF('7'!$V10&gt;=3,IF('3'!J10&lt;='7'!$V10,"shr",'4'!J10),'4'!J10))))</f>
        <v>+</v>
      </c>
      <c r="K10" s="19" t="str">
        <f>IF(ISBLANK('Raw counts'!K11),"",IF('7'!$V10=1,IF('3'!K10='7'!$V10,"sol",'4'!K10),IF('7'!$V10=2,IF('3'!K10&lt;='7'!$V10,"dul",'4'!K10),IF('7'!$V10&gt;=3,IF('3'!K10&lt;='7'!$V10,"shr",'4'!K10),'4'!K10))))</f>
        <v>+</v>
      </c>
      <c r="L10" s="19" t="str">
        <f>IF(ISBLANK('Raw counts'!L11),"",IF('7'!$V10=1,IF('3'!L10='7'!$V10,"sol",'4'!L10),IF('7'!$V10=2,IF('3'!L10&lt;='7'!$V10,"dul",'4'!L10),IF('7'!$V10&gt;=3,IF('3'!L10&lt;='7'!$V10,"shr",'4'!L10),'4'!L10))))</f>
        <v>-</v>
      </c>
      <c r="M10" s="19" t="str">
        <f>IF(ISBLANK('Raw counts'!M11),"",IF('7'!$V10=1,IF('3'!M10='7'!$V10,"sol",'4'!M10),IF('7'!$V10=2,IF('3'!M10&lt;='7'!$V10,"dul",'4'!M10),IF('7'!$V10&gt;=3,IF('3'!M10&lt;='7'!$V10,"shr",'4'!M10),'4'!M10))))</f>
        <v/>
      </c>
      <c r="N10" s="19" t="str">
        <f>IF(ISBLANK('Raw counts'!N11),"",IF('7'!$V10=1,IF('3'!N10='7'!$V10,"sol",'4'!N10),IF('7'!$V10=2,IF('3'!N10&lt;='7'!$V10,"dul",'4'!N10),IF('7'!$V10&gt;=3,IF('3'!N10&lt;='7'!$V10,"shr",'4'!N10),'4'!N10))))</f>
        <v/>
      </c>
      <c r="O10" s="19" t="str">
        <f>IF(ISBLANK('Raw counts'!O11),"",IF('7'!$V10=1,IF('3'!O10='7'!$V10,"sol",'4'!O10),IF('7'!$V10=2,IF('3'!O10&lt;='7'!$V10,"dul",'4'!O10),IF('7'!$V10&gt;=3,IF('3'!O10&lt;='7'!$V10,"shr",'4'!O10),'4'!O10))))</f>
        <v/>
      </c>
      <c r="P10" s="19" t="str">
        <f>IF(ISBLANK('Raw counts'!P11),"",IF('7'!$V10=1,IF('3'!P10='7'!$V10,"sol",'4'!P10),IF('7'!$V10=2,IF('3'!P10&lt;='7'!$V10,"dul",'4'!P10),IF('7'!$V10&gt;=3,IF('3'!P10&lt;='7'!$V10,"shr",'4'!P10),'4'!P10))))</f>
        <v/>
      </c>
      <c r="Q10" s="19" t="str">
        <f>IF(ISBLANK('Raw counts'!Q11),"",IF('7'!$V10=1,IF('3'!Q10='7'!$V10,"sol",'4'!Q10),IF('7'!$V10=2,IF('3'!Q10&lt;='7'!$V10,"dul",'4'!Q10),IF('7'!$V10&gt;=3,IF('3'!Q10&lt;='7'!$V10,"shr",'4'!Q10),'4'!Q10))))</f>
        <v/>
      </c>
      <c r="R10" s="19" t="str">
        <f>IF(ISBLANK('Raw counts'!R11),"",IF('7'!$V10=1,IF('3'!R10='7'!$V10,"sol",'4'!R10),IF('7'!$V10=2,IF('3'!R10&lt;='7'!$V10,"dul",'4'!R10),IF('7'!$V10&gt;=3,IF('3'!R10&lt;='7'!$V10,"shr",'4'!R10),'4'!R10))))</f>
        <v/>
      </c>
      <c r="S10" s="19" t="str">
        <f>IF(ISBLANK('Raw counts'!S11),"",IF('7'!$V10=1,IF('3'!S10='7'!$V10,"sol",'4'!S10),IF('7'!$V10=2,IF('3'!S10&lt;='7'!$V10,"dul",'4'!S10),IF('7'!$V10&gt;=3,IF('3'!S10&lt;='7'!$V10,"shr",'4'!S10),'4'!S10))))</f>
        <v/>
      </c>
      <c r="T10" s="19" t="str">
        <f>IF(ISBLANK('Raw counts'!T11),"",IF('7'!$V10=1,IF('3'!T10='7'!$V10,"sol",'4'!T10),IF('7'!$V10=2,IF('3'!T10&lt;='7'!$V10,"dul",'4'!T10),IF('7'!$V10&gt;=3,IF('3'!T10&lt;='7'!$V10,"shr",'4'!T10),'4'!T10))))</f>
        <v/>
      </c>
      <c r="U10" s="19" t="str">
        <f>IF(ISBLANK('Raw counts'!U11),"",IF('7'!$V10=1,IF('3'!U10='7'!$V10,"sol",'4'!U10),IF('7'!$V10=2,IF('3'!U10&lt;='7'!$V10,"dul",'4'!U10),IF('7'!$V10&gt;=3,IF('3'!U10&lt;='7'!$V10,"shr",'4'!U10),'4'!U10))))</f>
        <v/>
      </c>
      <c r="V10" s="3">
        <f>'7'!V10</f>
        <v>0</v>
      </c>
    </row>
    <row r="11" spans="1:22" ht="25.5" x14ac:dyDescent="0.15">
      <c r="A11" s="18" t="str">
        <f>IF(ISBLANK('Raw counts'!A12),"",'Raw counts'!A12)</f>
        <v xml:space="preserve">Difficult to determine which product is right for me                        </v>
      </c>
      <c r="B11" s="19" t="str">
        <f>IF(ISBLANK('Raw counts'!B12),"",IF('7'!$V11=1,IF('3'!B11='7'!$V11,"sol",'4'!B11),IF('7'!$V11=2,IF('3'!B11&lt;='7'!$V11,"dul",'4'!B11),IF('7'!$V11&gt;=3,IF('3'!B11&lt;='7'!$V11,"shr",'4'!B11),'4'!B11))))</f>
        <v>-</v>
      </c>
      <c r="C11" s="19" t="str">
        <f>IF(ISBLANK('Raw counts'!C12),"",IF('7'!$V11=1,IF('3'!C11='7'!$V11,"sol",'4'!C11),IF('7'!$V11=2,IF('3'!C11&lt;='7'!$V11,"dul",'4'!C11),IF('7'!$V11&gt;=3,IF('3'!C11&lt;='7'!$V11,"shr",'4'!C11),'4'!C11))))</f>
        <v>-</v>
      </c>
      <c r="D11" s="19" t="str">
        <f>IF(ISBLANK('Raw counts'!D12),"",IF('7'!$V11=1,IF('3'!D11='7'!$V11,"sol",'4'!D11),IF('7'!$V11=2,IF('3'!D11&lt;='7'!$V11,"dul",'4'!D11),IF('7'!$V11&gt;=3,IF('3'!D11&lt;='7'!$V11,"shr",'4'!D11),'4'!D11))))</f>
        <v>-</v>
      </c>
      <c r="E11" s="19" t="str">
        <f>IF(ISBLANK('Raw counts'!E12),"",IF('7'!$V11=1,IF('3'!E11='7'!$V11,"sol",'4'!E11),IF('7'!$V11=2,IF('3'!E11&lt;='7'!$V11,"dul",'4'!E11),IF('7'!$V11&gt;=3,IF('3'!E11&lt;='7'!$V11,"shr",'4'!E11),'4'!E11))))</f>
        <v>+</v>
      </c>
      <c r="F11" s="19" t="str">
        <f>IF(ISBLANK('Raw counts'!F12),"",IF('7'!$V11=1,IF('3'!F11='7'!$V11,"sol",'4'!F11),IF('7'!$V11=2,IF('3'!F11&lt;='7'!$V11,"dul",'4'!F11),IF('7'!$V11&gt;=3,IF('3'!F11&lt;='7'!$V11,"shr",'4'!F11),'4'!F11))))</f>
        <v>sol</v>
      </c>
      <c r="G11" s="19" t="str">
        <f>IF(ISBLANK('Raw counts'!G12),"",IF('7'!$V11=1,IF('3'!G11='7'!$V11,"sol",'4'!G11),IF('7'!$V11=2,IF('3'!G11&lt;='7'!$V11,"dul",'4'!G11),IF('7'!$V11&gt;=3,IF('3'!G11&lt;='7'!$V11,"shr",'4'!G11),'4'!G11))))</f>
        <v>+</v>
      </c>
      <c r="H11" s="19" t="str">
        <f>IF(ISBLANK('Raw counts'!H12),"",IF('7'!$V11=1,IF('3'!H11='7'!$V11,"sol",'4'!H11),IF('7'!$V11=2,IF('3'!H11&lt;='7'!$V11,"dul",'4'!H11),IF('7'!$V11&gt;=3,IF('3'!H11&lt;='7'!$V11,"shr",'4'!H11),'4'!H11))))</f>
        <v>-1</v>
      </c>
      <c r="I11" s="19" t="str">
        <f>IF(ISBLANK('Raw counts'!I12),"",IF('7'!$V11=1,IF('3'!I11='7'!$V11,"sol",'4'!I11),IF('7'!$V11=2,IF('3'!I11&lt;='7'!$V11,"dul",'4'!I11),IF('7'!$V11&gt;=3,IF('3'!I11&lt;='7'!$V11,"shr",'4'!I11),'4'!I11))))</f>
        <v>+</v>
      </c>
      <c r="J11" s="19" t="str">
        <f>IF(ISBLANK('Raw counts'!J12),"",IF('7'!$V11=1,IF('3'!J11='7'!$V11,"sol",'4'!J11),IF('7'!$V11=2,IF('3'!J11&lt;='7'!$V11,"dul",'4'!J11),IF('7'!$V11&gt;=3,IF('3'!J11&lt;='7'!$V11,"shr",'4'!J11),'4'!J11))))</f>
        <v>+</v>
      </c>
      <c r="K11" s="19" t="str">
        <f>IF(ISBLANK('Raw counts'!K12),"",IF('7'!$V11=1,IF('3'!K11='7'!$V11,"sol",'4'!K11),IF('7'!$V11=2,IF('3'!K11&lt;='7'!$V11,"dul",'4'!K11),IF('7'!$V11&gt;=3,IF('3'!K11&lt;='7'!$V11,"shr",'4'!K11),'4'!K11))))</f>
        <v>+</v>
      </c>
      <c r="L11" s="19" t="str">
        <f>IF(ISBLANK('Raw counts'!L12),"",IF('7'!$V11=1,IF('3'!L11='7'!$V11,"sol",'4'!L11),IF('7'!$V11=2,IF('3'!L11&lt;='7'!$V11,"dul",'4'!L11),IF('7'!$V11&gt;=3,IF('3'!L11&lt;='7'!$V11,"shr",'4'!L11),'4'!L11))))</f>
        <v>+</v>
      </c>
      <c r="M11" s="19" t="str">
        <f>IF(ISBLANK('Raw counts'!M12),"",IF('7'!$V11=1,IF('3'!M11='7'!$V11,"sol",'4'!M11),IF('7'!$V11=2,IF('3'!M11&lt;='7'!$V11,"dul",'4'!M11),IF('7'!$V11&gt;=3,IF('3'!M11&lt;='7'!$V11,"shr",'4'!M11),'4'!M11))))</f>
        <v/>
      </c>
      <c r="N11" s="19" t="str">
        <f>IF(ISBLANK('Raw counts'!N12),"",IF('7'!$V11=1,IF('3'!N11='7'!$V11,"sol",'4'!N11),IF('7'!$V11=2,IF('3'!N11&lt;='7'!$V11,"dul",'4'!N11),IF('7'!$V11&gt;=3,IF('3'!N11&lt;='7'!$V11,"shr",'4'!N11),'4'!N11))))</f>
        <v/>
      </c>
      <c r="O11" s="19" t="str">
        <f>IF(ISBLANK('Raw counts'!O12),"",IF('7'!$V11=1,IF('3'!O11='7'!$V11,"sol",'4'!O11),IF('7'!$V11=2,IF('3'!O11&lt;='7'!$V11,"dul",'4'!O11),IF('7'!$V11&gt;=3,IF('3'!O11&lt;='7'!$V11,"shr",'4'!O11),'4'!O11))))</f>
        <v/>
      </c>
      <c r="P11" s="19" t="str">
        <f>IF(ISBLANK('Raw counts'!P12),"",IF('7'!$V11=1,IF('3'!P11='7'!$V11,"sol",'4'!P11),IF('7'!$V11=2,IF('3'!P11&lt;='7'!$V11,"dul",'4'!P11),IF('7'!$V11&gt;=3,IF('3'!P11&lt;='7'!$V11,"shr",'4'!P11),'4'!P11))))</f>
        <v/>
      </c>
      <c r="Q11" s="19" t="str">
        <f>IF(ISBLANK('Raw counts'!Q12),"",IF('7'!$V11=1,IF('3'!Q11='7'!$V11,"sol",'4'!Q11),IF('7'!$V11=2,IF('3'!Q11&lt;='7'!$V11,"dul",'4'!Q11),IF('7'!$V11&gt;=3,IF('3'!Q11&lt;='7'!$V11,"shr",'4'!Q11),'4'!Q11))))</f>
        <v/>
      </c>
      <c r="R11" s="19" t="str">
        <f>IF(ISBLANK('Raw counts'!R12),"",IF('7'!$V11=1,IF('3'!R11='7'!$V11,"sol",'4'!R11),IF('7'!$V11=2,IF('3'!R11&lt;='7'!$V11,"dul",'4'!R11),IF('7'!$V11&gt;=3,IF('3'!R11&lt;='7'!$V11,"shr",'4'!R11),'4'!R11))))</f>
        <v/>
      </c>
      <c r="S11" s="19" t="str">
        <f>IF(ISBLANK('Raw counts'!S12),"",IF('7'!$V11=1,IF('3'!S11='7'!$V11,"sol",'4'!S11),IF('7'!$V11=2,IF('3'!S11&lt;='7'!$V11,"dul",'4'!S11),IF('7'!$V11&gt;=3,IF('3'!S11&lt;='7'!$V11,"shr",'4'!S11),'4'!S11))))</f>
        <v/>
      </c>
      <c r="T11" s="19" t="str">
        <f>IF(ISBLANK('Raw counts'!T12),"",IF('7'!$V11=1,IF('3'!T11='7'!$V11,"sol",'4'!T11),IF('7'!$V11=2,IF('3'!T11&lt;='7'!$V11,"dul",'4'!T11),IF('7'!$V11&gt;=3,IF('3'!T11&lt;='7'!$V11,"shr",'4'!T11),'4'!T11))))</f>
        <v/>
      </c>
      <c r="U11" s="19" t="str">
        <f>IF(ISBLANK('Raw counts'!U12),"",IF('7'!$V11=1,IF('3'!U11='7'!$V11,"sol",'4'!U11),IF('7'!$V11=2,IF('3'!U11&lt;='7'!$V11,"dul",'4'!U11),IF('7'!$V11&gt;=3,IF('3'!U11&lt;='7'!$V11,"shr",'4'!U11),'4'!U11))))</f>
        <v/>
      </c>
      <c r="V11" s="3">
        <f>'7'!V11</f>
        <v>1</v>
      </c>
    </row>
    <row r="12" spans="1:22" ht="25.5" x14ac:dyDescent="0.15">
      <c r="A12" s="18" t="str">
        <f>IF(ISBLANK('Raw counts'!A13),"",'Raw counts'!A13)</f>
        <v xml:space="preserve">Costs more than other brands                                                </v>
      </c>
      <c r="B12" s="19" t="str">
        <f>IF(ISBLANK('Raw counts'!B13),"",IF('7'!$V12=1,IF('3'!B12='7'!$V12,"sol",'4'!B12),IF('7'!$V12=2,IF('3'!B12&lt;='7'!$V12,"dul",'4'!B12),IF('7'!$V12&gt;=3,IF('3'!B12&lt;='7'!$V12,"shr",'4'!B12),'4'!B12))))</f>
        <v>+1</v>
      </c>
      <c r="C12" s="19" t="str">
        <f>IF(ISBLANK('Raw counts'!C13),"",IF('7'!$V12=1,IF('3'!C12='7'!$V12,"sol",'4'!C12),IF('7'!$V12=2,IF('3'!C12&lt;='7'!$V12,"dul",'4'!C12),IF('7'!$V12&gt;=3,IF('3'!C12&lt;='7'!$V12,"shr",'4'!C12),'4'!C12))))</f>
        <v>-1</v>
      </c>
      <c r="D12" s="19" t="str">
        <f>IF(ISBLANK('Raw counts'!D13),"",IF('7'!$V12=1,IF('3'!D12='7'!$V12,"sol",'4'!D12),IF('7'!$V12=2,IF('3'!D12&lt;='7'!$V12,"dul",'4'!D12),IF('7'!$V12&gt;=3,IF('3'!D12&lt;='7'!$V12,"shr",'4'!D12),'4'!D12))))</f>
        <v>-</v>
      </c>
      <c r="E12" s="19" t="str">
        <f>IF(ISBLANK('Raw counts'!E13),"",IF('7'!$V12=1,IF('3'!E12='7'!$V12,"sol",'4'!E12),IF('7'!$V12=2,IF('3'!E12&lt;='7'!$V12,"dul",'4'!E12),IF('7'!$V12&gt;=3,IF('3'!E12&lt;='7'!$V12,"shr",'4'!E12),'4'!E12))))</f>
        <v>-</v>
      </c>
      <c r="F12" s="19" t="str">
        <f>IF(ISBLANK('Raw counts'!F13),"",IF('7'!$V12=1,IF('3'!F12='7'!$V12,"sol",'4'!F12),IF('7'!$V12=2,IF('3'!F12&lt;='7'!$V12,"dul",'4'!F12),IF('7'!$V12&gt;=3,IF('3'!F12&lt;='7'!$V12,"shr",'4'!F12),'4'!F12))))</f>
        <v>-1</v>
      </c>
      <c r="G12" s="19" t="str">
        <f>IF(ISBLANK('Raw counts'!G13),"",IF('7'!$V12=1,IF('3'!G12='7'!$V12,"sol",'4'!G12),IF('7'!$V12=2,IF('3'!G12&lt;='7'!$V12,"dul",'4'!G12),IF('7'!$V12&gt;=3,IF('3'!G12&lt;='7'!$V12,"shr",'4'!G12),'4'!G12))))</f>
        <v>+</v>
      </c>
      <c r="H12" s="19" t="str">
        <f>IF(ISBLANK('Raw counts'!H13),"",IF('7'!$V12=1,IF('3'!H12='7'!$V12,"sol",'4'!H12),IF('7'!$V12=2,IF('3'!H12&lt;='7'!$V12,"dul",'4'!H12),IF('7'!$V12&gt;=3,IF('3'!H12&lt;='7'!$V12,"shr",'4'!H12),'4'!H12))))</f>
        <v>sol</v>
      </c>
      <c r="I12" s="19" t="str">
        <f>IF(ISBLANK('Raw counts'!I13),"",IF('7'!$V12=1,IF('3'!I12='7'!$V12,"sol",'4'!I12),IF('7'!$V12=2,IF('3'!I12&lt;='7'!$V12,"dul",'4'!I12),IF('7'!$V12&gt;=3,IF('3'!I12&lt;='7'!$V12,"shr",'4'!I12),'4'!I12))))</f>
        <v>-</v>
      </c>
      <c r="J12" s="19" t="str">
        <f>IF(ISBLANK('Raw counts'!J13),"",IF('7'!$V12=1,IF('3'!J12='7'!$V12,"sol",'4'!J12),IF('7'!$V12=2,IF('3'!J12&lt;='7'!$V12,"dul",'4'!J12),IF('7'!$V12&gt;=3,IF('3'!J12&lt;='7'!$V12,"shr",'4'!J12),'4'!J12))))</f>
        <v>-</v>
      </c>
      <c r="K12" s="19" t="str">
        <f>IF(ISBLANK('Raw counts'!K13),"",IF('7'!$V12=1,IF('3'!K12='7'!$V12,"sol",'4'!K12),IF('7'!$V12=2,IF('3'!K12&lt;='7'!$V12,"dul",'4'!K12),IF('7'!$V12&gt;=3,IF('3'!K12&lt;='7'!$V12,"shr",'4'!K12),'4'!K12))))</f>
        <v>-1</v>
      </c>
      <c r="L12" s="19" t="str">
        <f>IF(ISBLANK('Raw counts'!L13),"",IF('7'!$V12=1,IF('3'!L12='7'!$V12,"sol",'4'!L12),IF('7'!$V12=2,IF('3'!L12&lt;='7'!$V12,"dul",'4'!L12),IF('7'!$V12&gt;=3,IF('3'!L12&lt;='7'!$V12,"shr",'4'!L12),'4'!L12))))</f>
        <v>-</v>
      </c>
      <c r="M12" s="19" t="str">
        <f>IF(ISBLANK('Raw counts'!M13),"",IF('7'!$V12=1,IF('3'!M12='7'!$V12,"sol",'4'!M12),IF('7'!$V12=2,IF('3'!M12&lt;='7'!$V12,"dul",'4'!M12),IF('7'!$V12&gt;=3,IF('3'!M12&lt;='7'!$V12,"shr",'4'!M12),'4'!M12))))</f>
        <v/>
      </c>
      <c r="N12" s="19" t="str">
        <f>IF(ISBLANK('Raw counts'!N13),"",IF('7'!$V12=1,IF('3'!N12='7'!$V12,"sol",'4'!N12),IF('7'!$V12=2,IF('3'!N12&lt;='7'!$V12,"dul",'4'!N12),IF('7'!$V12&gt;=3,IF('3'!N12&lt;='7'!$V12,"shr",'4'!N12),'4'!N12))))</f>
        <v/>
      </c>
      <c r="O12" s="19" t="str">
        <f>IF(ISBLANK('Raw counts'!O13),"",IF('7'!$V12=1,IF('3'!O12='7'!$V12,"sol",'4'!O12),IF('7'!$V12=2,IF('3'!O12&lt;='7'!$V12,"dul",'4'!O12),IF('7'!$V12&gt;=3,IF('3'!O12&lt;='7'!$V12,"shr",'4'!O12),'4'!O12))))</f>
        <v/>
      </c>
      <c r="P12" s="19" t="str">
        <f>IF(ISBLANK('Raw counts'!P13),"",IF('7'!$V12=1,IF('3'!P12='7'!$V12,"sol",'4'!P12),IF('7'!$V12=2,IF('3'!P12&lt;='7'!$V12,"dul",'4'!P12),IF('7'!$V12&gt;=3,IF('3'!P12&lt;='7'!$V12,"shr",'4'!P12),'4'!P12))))</f>
        <v/>
      </c>
      <c r="Q12" s="19" t="str">
        <f>IF(ISBLANK('Raw counts'!Q13),"",IF('7'!$V12=1,IF('3'!Q12='7'!$V12,"sol",'4'!Q12),IF('7'!$V12=2,IF('3'!Q12&lt;='7'!$V12,"dul",'4'!Q12),IF('7'!$V12&gt;=3,IF('3'!Q12&lt;='7'!$V12,"shr",'4'!Q12),'4'!Q12))))</f>
        <v/>
      </c>
      <c r="R12" s="19" t="str">
        <f>IF(ISBLANK('Raw counts'!R13),"",IF('7'!$V12=1,IF('3'!R12='7'!$V12,"sol",'4'!R12),IF('7'!$V12=2,IF('3'!R12&lt;='7'!$V12,"dul",'4'!R12),IF('7'!$V12&gt;=3,IF('3'!R12&lt;='7'!$V12,"shr",'4'!R12),'4'!R12))))</f>
        <v/>
      </c>
      <c r="S12" s="19" t="str">
        <f>IF(ISBLANK('Raw counts'!S13),"",IF('7'!$V12=1,IF('3'!S12='7'!$V12,"sol",'4'!S12),IF('7'!$V12=2,IF('3'!S12&lt;='7'!$V12,"dul",'4'!S12),IF('7'!$V12&gt;=3,IF('3'!S12&lt;='7'!$V12,"shr",'4'!S12),'4'!S12))))</f>
        <v/>
      </c>
      <c r="T12" s="19" t="str">
        <f>IF(ISBLANK('Raw counts'!T13),"",IF('7'!$V12=1,IF('3'!T12='7'!$V12,"sol",'4'!T12),IF('7'!$V12=2,IF('3'!T12&lt;='7'!$V12,"dul",'4'!T12),IF('7'!$V12&gt;=3,IF('3'!T12&lt;='7'!$V12,"shr",'4'!T12),'4'!T12))))</f>
        <v/>
      </c>
      <c r="U12" s="19" t="str">
        <f>IF(ISBLANK('Raw counts'!U13),"",IF('7'!$V12=1,IF('3'!U12='7'!$V12,"sol",'4'!U12),IF('7'!$V12=2,IF('3'!U12&lt;='7'!$V12,"dul",'4'!U12),IF('7'!$V12&gt;=3,IF('3'!U12&lt;='7'!$V12,"shr",'4'!U12),'4'!U12))))</f>
        <v/>
      </c>
      <c r="V12" s="3">
        <f>'7'!V12</f>
        <v>1</v>
      </c>
    </row>
    <row r="13" spans="1:22" ht="38.25" x14ac:dyDescent="0.15">
      <c r="A13" s="18" t="str">
        <f>IF(ISBLANK('Raw counts'!A14),"",'Raw counts'!A14)</f>
        <v xml:space="preserve">Costs more than I'm willing to pay                                          </v>
      </c>
      <c r="B13" s="19" t="str">
        <f>IF(ISBLANK('Raw counts'!B14),"",IF('7'!$V13=1,IF('3'!B13='7'!$V13,"sol",'4'!B13),IF('7'!$V13=2,IF('3'!B13&lt;='7'!$V13,"dul",'4'!B13),IF('7'!$V13&gt;=3,IF('3'!B13&lt;='7'!$V13,"shr",'4'!B13),'4'!B13))))</f>
        <v>+</v>
      </c>
      <c r="C13" s="19" t="str">
        <f>IF(ISBLANK('Raw counts'!C14),"",IF('7'!$V13=1,IF('3'!C13='7'!$V13,"sol",'4'!C13),IF('7'!$V13=2,IF('3'!C13&lt;='7'!$V13,"dul",'4'!C13),IF('7'!$V13&gt;=3,IF('3'!C13&lt;='7'!$V13,"shr",'4'!C13),'4'!C13))))</f>
        <v>-</v>
      </c>
      <c r="D13" s="19" t="str">
        <f>IF(ISBLANK('Raw counts'!D14),"",IF('7'!$V13=1,IF('3'!D13='7'!$V13,"sol",'4'!D13),IF('7'!$V13=2,IF('3'!D13&lt;='7'!$V13,"dul",'4'!D13),IF('7'!$V13&gt;=3,IF('3'!D13&lt;='7'!$V13,"shr",'4'!D13),'4'!D13))))</f>
        <v>+</v>
      </c>
      <c r="E13" s="19" t="str">
        <f>IF(ISBLANK('Raw counts'!E14),"",IF('7'!$V13=1,IF('3'!E13='7'!$V13,"sol",'4'!E13),IF('7'!$V13=2,IF('3'!E13&lt;='7'!$V13,"dul",'4'!E13),IF('7'!$V13&gt;=3,IF('3'!E13&lt;='7'!$V13,"shr",'4'!E13),'4'!E13))))</f>
        <v>-</v>
      </c>
      <c r="F13" s="19" t="str">
        <f>IF(ISBLANK('Raw counts'!F14),"",IF('7'!$V13=1,IF('3'!F13='7'!$V13,"sol",'4'!F13),IF('7'!$V13=2,IF('3'!F13&lt;='7'!$V13,"dul",'4'!F13),IF('7'!$V13&gt;=3,IF('3'!F13&lt;='7'!$V13,"shr",'4'!F13),'4'!F13))))</f>
        <v>+1</v>
      </c>
      <c r="G13" s="19" t="str">
        <f>IF(ISBLANK('Raw counts'!G14),"",IF('7'!$V13=1,IF('3'!G13='7'!$V13,"sol",'4'!G13),IF('7'!$V13=2,IF('3'!G13&lt;='7'!$V13,"dul",'4'!G13),IF('7'!$V13&gt;=3,IF('3'!G13&lt;='7'!$V13,"shr",'4'!G13),'4'!G13))))</f>
        <v>-1</v>
      </c>
      <c r="H13" s="19" t="str">
        <f>IF(ISBLANK('Raw counts'!H14),"",IF('7'!$V13=1,IF('3'!H13='7'!$V13,"sol",'4'!H13),IF('7'!$V13=2,IF('3'!H13&lt;='7'!$V13,"dul",'4'!H13),IF('7'!$V13&gt;=3,IF('3'!H13&lt;='7'!$V13,"shr",'4'!H13),'4'!H13))))</f>
        <v>+1</v>
      </c>
      <c r="I13" s="19" t="str">
        <f>IF(ISBLANK('Raw counts'!I14),"",IF('7'!$V13=1,IF('3'!I13='7'!$V13,"sol",'4'!I13),IF('7'!$V13=2,IF('3'!I13&lt;='7'!$V13,"dul",'4'!I13),IF('7'!$V13&gt;=3,IF('3'!I13&lt;='7'!$V13,"shr",'4'!I13),'4'!I13))))</f>
        <v>-1</v>
      </c>
      <c r="J13" s="19" t="str">
        <f>IF(ISBLANK('Raw counts'!J14),"",IF('7'!$V13=1,IF('3'!J13='7'!$V13,"sol",'4'!J13),IF('7'!$V13=2,IF('3'!J13&lt;='7'!$V13,"dul",'4'!J13),IF('7'!$V13&gt;=3,IF('3'!J13&lt;='7'!$V13,"shr",'4'!J13),'4'!J13))))</f>
        <v>+</v>
      </c>
      <c r="K13" s="19" t="str">
        <f>IF(ISBLANK('Raw counts'!K14),"",IF('7'!$V13=1,IF('3'!K13='7'!$V13,"sol",'4'!K13),IF('7'!$V13=2,IF('3'!K13&lt;='7'!$V13,"dul",'4'!K13),IF('7'!$V13&gt;=3,IF('3'!K13&lt;='7'!$V13,"shr",'4'!K13),'4'!K13))))</f>
        <v>-</v>
      </c>
      <c r="L13" s="19" t="str">
        <f>IF(ISBLANK('Raw counts'!L14),"",IF('7'!$V13=1,IF('3'!L13='7'!$V13,"sol",'4'!L13),IF('7'!$V13=2,IF('3'!L13&lt;='7'!$V13,"dul",'4'!L13),IF('7'!$V13&gt;=3,IF('3'!L13&lt;='7'!$V13,"shr",'4'!L13),'4'!L13))))</f>
        <v>+</v>
      </c>
      <c r="M13" s="19" t="str">
        <f>IF(ISBLANK('Raw counts'!M14),"",IF('7'!$V13=1,IF('3'!M13='7'!$V13,"sol",'4'!M13),IF('7'!$V13=2,IF('3'!M13&lt;='7'!$V13,"dul",'4'!M13),IF('7'!$V13&gt;=3,IF('3'!M13&lt;='7'!$V13,"shr",'4'!M13),'4'!M13))))</f>
        <v/>
      </c>
      <c r="N13" s="19" t="str">
        <f>IF(ISBLANK('Raw counts'!N14),"",IF('7'!$V13=1,IF('3'!N13='7'!$V13,"sol",'4'!N13),IF('7'!$V13=2,IF('3'!N13&lt;='7'!$V13,"dul",'4'!N13),IF('7'!$V13&gt;=3,IF('3'!N13&lt;='7'!$V13,"shr",'4'!N13),'4'!N13))))</f>
        <v/>
      </c>
      <c r="O13" s="19" t="str">
        <f>IF(ISBLANK('Raw counts'!O14),"",IF('7'!$V13=1,IF('3'!O13='7'!$V13,"sol",'4'!O13),IF('7'!$V13=2,IF('3'!O13&lt;='7'!$V13,"dul",'4'!O13),IF('7'!$V13&gt;=3,IF('3'!O13&lt;='7'!$V13,"shr",'4'!O13),'4'!O13))))</f>
        <v/>
      </c>
      <c r="P13" s="19" t="str">
        <f>IF(ISBLANK('Raw counts'!P14),"",IF('7'!$V13=1,IF('3'!P13='7'!$V13,"sol",'4'!P13),IF('7'!$V13=2,IF('3'!P13&lt;='7'!$V13,"dul",'4'!P13),IF('7'!$V13&gt;=3,IF('3'!P13&lt;='7'!$V13,"shr",'4'!P13),'4'!P13))))</f>
        <v/>
      </c>
      <c r="Q13" s="19" t="str">
        <f>IF(ISBLANK('Raw counts'!Q14),"",IF('7'!$V13=1,IF('3'!Q13='7'!$V13,"sol",'4'!Q13),IF('7'!$V13=2,IF('3'!Q13&lt;='7'!$V13,"dul",'4'!Q13),IF('7'!$V13&gt;=3,IF('3'!Q13&lt;='7'!$V13,"shr",'4'!Q13),'4'!Q13))))</f>
        <v/>
      </c>
      <c r="R13" s="19" t="str">
        <f>IF(ISBLANK('Raw counts'!R14),"",IF('7'!$V13=1,IF('3'!R13='7'!$V13,"sol",'4'!R13),IF('7'!$V13=2,IF('3'!R13&lt;='7'!$V13,"dul",'4'!R13),IF('7'!$V13&gt;=3,IF('3'!R13&lt;='7'!$V13,"shr",'4'!R13),'4'!R13))))</f>
        <v/>
      </c>
      <c r="S13" s="19" t="str">
        <f>IF(ISBLANK('Raw counts'!S14),"",IF('7'!$V13=1,IF('3'!S13='7'!$V13,"sol",'4'!S13),IF('7'!$V13=2,IF('3'!S13&lt;='7'!$V13,"dul",'4'!S13),IF('7'!$V13&gt;=3,IF('3'!S13&lt;='7'!$V13,"shr",'4'!S13),'4'!S13))))</f>
        <v/>
      </c>
      <c r="T13" s="19" t="str">
        <f>IF(ISBLANK('Raw counts'!T14),"",IF('7'!$V13=1,IF('3'!T13='7'!$V13,"sol",'4'!T13),IF('7'!$V13=2,IF('3'!T13&lt;='7'!$V13,"dul",'4'!T13),IF('7'!$V13&gt;=3,IF('3'!T13&lt;='7'!$V13,"shr",'4'!T13),'4'!T13))))</f>
        <v/>
      </c>
      <c r="U13" s="19" t="str">
        <f>IF(ISBLANK('Raw counts'!U14),"",IF('7'!$V13=1,IF('3'!U13='7'!$V13,"sol",'4'!U13),IF('7'!$V13=2,IF('3'!U13&lt;='7'!$V13,"dul",'4'!U13),IF('7'!$V13&gt;=3,IF('3'!U13&lt;='7'!$V13,"shr",'4'!U13),'4'!U13))))</f>
        <v/>
      </c>
      <c r="V13" s="3">
        <f>'7'!V13</f>
        <v>0</v>
      </c>
    </row>
    <row r="14" spans="1:22" x14ac:dyDescent="0.15">
      <c r="A14" s="18" t="str">
        <f>IF(ISBLANK('Raw counts'!A15),"",'Raw counts'!A15)</f>
        <v xml:space="preserve">Not enough promotions, discounts or coupons                                 </v>
      </c>
      <c r="B14" s="19" t="str">
        <f>IF(ISBLANK('Raw counts'!B15),"",IF('7'!$V14=1,IF('3'!B14='7'!$V14,"sol",'4'!B14),IF('7'!$V14=2,IF('3'!B14&lt;='7'!$V14,"dul",'4'!B14),IF('7'!$V14&gt;=3,IF('3'!B14&lt;='7'!$V14,"shr",'4'!B14),'4'!B14))))</f>
        <v>+</v>
      </c>
      <c r="C14" s="19" t="str">
        <f>IF(ISBLANK('Raw counts'!C15),"",IF('7'!$V14=1,IF('3'!C14='7'!$V14,"sol",'4'!C14),IF('7'!$V14=2,IF('3'!C14&lt;='7'!$V14,"dul",'4'!C14),IF('7'!$V14&gt;=3,IF('3'!C14&lt;='7'!$V14,"shr",'4'!C14),'4'!C14))))</f>
        <v>-1</v>
      </c>
      <c r="D14" s="19" t="str">
        <f>IF(ISBLANK('Raw counts'!D15),"",IF('7'!$V14=1,IF('3'!D14='7'!$V14,"sol",'4'!D14),IF('7'!$V14=2,IF('3'!D14&lt;='7'!$V14,"dul",'4'!D14),IF('7'!$V14&gt;=3,IF('3'!D14&lt;='7'!$V14,"shr",'4'!D14),'4'!D14))))</f>
        <v>-</v>
      </c>
      <c r="E14" s="19" t="str">
        <f>IF(ISBLANK('Raw counts'!E15),"",IF('7'!$V14=1,IF('3'!E14='7'!$V14,"sol",'4'!E14),IF('7'!$V14=2,IF('3'!E14&lt;='7'!$V14,"dul",'4'!E14),IF('7'!$V14&gt;=3,IF('3'!E14&lt;='7'!$V14,"shr",'4'!E14),'4'!E14))))</f>
        <v>-</v>
      </c>
      <c r="F14" s="19" t="str">
        <f>IF(ISBLANK('Raw counts'!F15),"",IF('7'!$V14=1,IF('3'!F14='7'!$V14,"sol",'4'!F14),IF('7'!$V14=2,IF('3'!F14&lt;='7'!$V14,"dul",'4'!F14),IF('7'!$V14&gt;=3,IF('3'!F14&lt;='7'!$V14,"shr",'4'!F14),'4'!F14))))</f>
        <v>+</v>
      </c>
      <c r="G14" s="19" t="str">
        <f>IF(ISBLANK('Raw counts'!G15),"",IF('7'!$V14=1,IF('3'!G14='7'!$V14,"sol",'4'!G14),IF('7'!$V14=2,IF('3'!G14&lt;='7'!$V14,"dul",'4'!G14),IF('7'!$V14&gt;=3,IF('3'!G14&lt;='7'!$V14,"shr",'4'!G14),'4'!G14))))</f>
        <v>+1</v>
      </c>
      <c r="H14" s="19" t="str">
        <f>IF(ISBLANK('Raw counts'!H15),"",IF('7'!$V14=1,IF('3'!H14='7'!$V14,"sol",'4'!H14),IF('7'!$V14=2,IF('3'!H14&lt;='7'!$V14,"dul",'4'!H14),IF('7'!$V14&gt;=3,IF('3'!H14&lt;='7'!$V14,"shr",'4'!H14),'4'!H14))))</f>
        <v>sol</v>
      </c>
      <c r="I14" s="19" t="str">
        <f>IF(ISBLANK('Raw counts'!I15),"",IF('7'!$V14=1,IF('3'!I14='7'!$V14,"sol",'4'!I14),IF('7'!$V14=2,IF('3'!I14&lt;='7'!$V14,"dul",'4'!I14),IF('7'!$V14&gt;=3,IF('3'!I14&lt;='7'!$V14,"shr",'4'!I14),'4'!I14))))</f>
        <v>-</v>
      </c>
      <c r="J14" s="19" t="str">
        <f>IF(ISBLANK('Raw counts'!J15),"",IF('7'!$V14=1,IF('3'!J14='7'!$V14,"sol",'4'!J14),IF('7'!$V14=2,IF('3'!J14&lt;='7'!$V14,"dul",'4'!J14),IF('7'!$V14&gt;=3,IF('3'!J14&lt;='7'!$V14,"shr",'4'!J14),'4'!J14))))</f>
        <v>-</v>
      </c>
      <c r="K14" s="19" t="str">
        <f>IF(ISBLANK('Raw counts'!K15),"",IF('7'!$V14=1,IF('3'!K14='7'!$V14,"sol",'4'!K14),IF('7'!$V14=2,IF('3'!K14&lt;='7'!$V14,"dul",'4'!K14),IF('7'!$V14&gt;=3,IF('3'!K14&lt;='7'!$V14,"shr",'4'!K14),'4'!K14))))</f>
        <v>-1</v>
      </c>
      <c r="L14" s="19" t="str">
        <f>IF(ISBLANK('Raw counts'!L15),"",IF('7'!$V14=1,IF('3'!L14='7'!$V14,"sol",'4'!L14),IF('7'!$V14=2,IF('3'!L14&lt;='7'!$V14,"dul",'4'!L14),IF('7'!$V14&gt;=3,IF('3'!L14&lt;='7'!$V14,"shr",'4'!L14),'4'!L14))))</f>
        <v>-</v>
      </c>
      <c r="M14" s="19" t="str">
        <f>IF(ISBLANK('Raw counts'!M15),"",IF('7'!$V14=1,IF('3'!M14='7'!$V14,"sol",'4'!M14),IF('7'!$V14=2,IF('3'!M14&lt;='7'!$V14,"dul",'4'!M14),IF('7'!$V14&gt;=3,IF('3'!M14&lt;='7'!$V14,"shr",'4'!M14),'4'!M14))))</f>
        <v/>
      </c>
      <c r="N14" s="19" t="str">
        <f>IF(ISBLANK('Raw counts'!N15),"",IF('7'!$V14=1,IF('3'!N14='7'!$V14,"sol",'4'!N14),IF('7'!$V14=2,IF('3'!N14&lt;='7'!$V14,"dul",'4'!N14),IF('7'!$V14&gt;=3,IF('3'!N14&lt;='7'!$V14,"shr",'4'!N14),'4'!N14))))</f>
        <v/>
      </c>
      <c r="O14" s="19" t="str">
        <f>IF(ISBLANK('Raw counts'!O15),"",IF('7'!$V14=1,IF('3'!O14='7'!$V14,"sol",'4'!O14),IF('7'!$V14=2,IF('3'!O14&lt;='7'!$V14,"dul",'4'!O14),IF('7'!$V14&gt;=3,IF('3'!O14&lt;='7'!$V14,"shr",'4'!O14),'4'!O14))))</f>
        <v/>
      </c>
      <c r="P14" s="19" t="str">
        <f>IF(ISBLANK('Raw counts'!P15),"",IF('7'!$V14=1,IF('3'!P14='7'!$V14,"sol",'4'!P14),IF('7'!$V14=2,IF('3'!P14&lt;='7'!$V14,"dul",'4'!P14),IF('7'!$V14&gt;=3,IF('3'!P14&lt;='7'!$V14,"shr",'4'!P14),'4'!P14))))</f>
        <v/>
      </c>
      <c r="Q14" s="19" t="str">
        <f>IF(ISBLANK('Raw counts'!Q15),"",IF('7'!$V14=1,IF('3'!Q14='7'!$V14,"sol",'4'!Q14),IF('7'!$V14=2,IF('3'!Q14&lt;='7'!$V14,"dul",'4'!Q14),IF('7'!$V14&gt;=3,IF('3'!Q14&lt;='7'!$V14,"shr",'4'!Q14),'4'!Q14))))</f>
        <v/>
      </c>
      <c r="R14" s="19" t="str">
        <f>IF(ISBLANK('Raw counts'!R15),"",IF('7'!$V14=1,IF('3'!R14='7'!$V14,"sol",'4'!R14),IF('7'!$V14=2,IF('3'!R14&lt;='7'!$V14,"dul",'4'!R14),IF('7'!$V14&gt;=3,IF('3'!R14&lt;='7'!$V14,"shr",'4'!R14),'4'!R14))))</f>
        <v/>
      </c>
      <c r="S14" s="19" t="str">
        <f>IF(ISBLANK('Raw counts'!S15),"",IF('7'!$V14=1,IF('3'!S14='7'!$V14,"sol",'4'!S14),IF('7'!$V14=2,IF('3'!S14&lt;='7'!$V14,"dul",'4'!S14),IF('7'!$V14&gt;=3,IF('3'!S14&lt;='7'!$V14,"shr",'4'!S14),'4'!S14))))</f>
        <v/>
      </c>
      <c r="T14" s="19" t="str">
        <f>IF(ISBLANK('Raw counts'!T15),"",IF('7'!$V14=1,IF('3'!T14='7'!$V14,"sol",'4'!T14),IF('7'!$V14=2,IF('3'!T14&lt;='7'!$V14,"dul",'4'!T14),IF('7'!$V14&gt;=3,IF('3'!T14&lt;='7'!$V14,"shr",'4'!T14),'4'!T14))))</f>
        <v/>
      </c>
      <c r="U14" s="19" t="str">
        <f>IF(ISBLANK('Raw counts'!U15),"",IF('7'!$V14=1,IF('3'!U14='7'!$V14,"sol",'4'!U14),IF('7'!$V14=2,IF('3'!U14&lt;='7'!$V14,"dul",'4'!U14),IF('7'!$V14&gt;=3,IF('3'!U14&lt;='7'!$V14,"shr",'4'!U14),'4'!U14))))</f>
        <v/>
      </c>
      <c r="V14" s="3">
        <f>'7'!V14</f>
        <v>1</v>
      </c>
    </row>
    <row r="15" spans="1:22" x14ac:dyDescent="0.15">
      <c r="A15" s="18" t="str">
        <f>IF(ISBLANK('Raw counts'!A16),"",'Raw counts'!A16)</f>
        <v xml:space="preserve">Other brands offer more promotions, discounts or coupons                    </v>
      </c>
      <c r="B15" s="19" t="str">
        <f>IF(ISBLANK('Raw counts'!B16),"",IF('7'!$V15=1,IF('3'!B15='7'!$V15,"sol",'4'!B15),IF('7'!$V15=2,IF('3'!B15&lt;='7'!$V15,"dul",'4'!B15),IF('7'!$V15&gt;=3,IF('3'!B15&lt;='7'!$V15,"shr",'4'!B15),'4'!B15))))</f>
        <v>+</v>
      </c>
      <c r="C15" s="19" t="str">
        <f>IF(ISBLANK('Raw counts'!C16),"",IF('7'!$V15=1,IF('3'!C15='7'!$V15,"sol",'4'!C15),IF('7'!$V15=2,IF('3'!C15&lt;='7'!$V15,"dul",'4'!C15),IF('7'!$V15&gt;=3,IF('3'!C15&lt;='7'!$V15,"shr",'4'!C15),'4'!C15))))</f>
        <v>sol</v>
      </c>
      <c r="D15" s="19" t="str">
        <f>IF(ISBLANK('Raw counts'!D16),"",IF('7'!$V15=1,IF('3'!D15='7'!$V15,"sol",'4'!D15),IF('7'!$V15=2,IF('3'!D15&lt;='7'!$V15,"dul",'4'!D15),IF('7'!$V15&gt;=3,IF('3'!D15&lt;='7'!$V15,"shr",'4'!D15),'4'!D15))))</f>
        <v>-</v>
      </c>
      <c r="E15" s="19" t="str">
        <f>IF(ISBLANK('Raw counts'!E16),"",IF('7'!$V15=1,IF('3'!E15='7'!$V15,"sol",'4'!E15),IF('7'!$V15=2,IF('3'!E15&lt;='7'!$V15,"dul",'4'!E15),IF('7'!$V15&gt;=3,IF('3'!E15&lt;='7'!$V15,"shr",'4'!E15),'4'!E15))))</f>
        <v>-</v>
      </c>
      <c r="F15" s="19" t="str">
        <f>IF(ISBLANK('Raw counts'!F16),"",IF('7'!$V15=1,IF('3'!F15='7'!$V15,"sol",'4'!F15),IF('7'!$V15=2,IF('3'!F15&lt;='7'!$V15,"dul",'4'!F15),IF('7'!$V15&gt;=3,IF('3'!F15&lt;='7'!$V15,"shr",'4'!F15),'4'!F15))))</f>
        <v>+</v>
      </c>
      <c r="G15" s="19" t="str">
        <f>IF(ISBLANK('Raw counts'!G16),"",IF('7'!$V15=1,IF('3'!G15='7'!$V15,"sol",'4'!G15),IF('7'!$V15=2,IF('3'!G15&lt;='7'!$V15,"dul",'4'!G15),IF('7'!$V15&gt;=3,IF('3'!G15&lt;='7'!$V15,"shr",'4'!G15),'4'!G15))))</f>
        <v>-</v>
      </c>
      <c r="H15" s="19" t="str">
        <f>IF(ISBLANK('Raw counts'!H16),"",IF('7'!$V15=1,IF('3'!H15='7'!$V15,"sol",'4'!H15),IF('7'!$V15=2,IF('3'!H15&lt;='7'!$V15,"dul",'4'!H15),IF('7'!$V15&gt;=3,IF('3'!H15&lt;='7'!$V15,"shr",'4'!H15),'4'!H15))))</f>
        <v>-</v>
      </c>
      <c r="I15" s="19" t="str">
        <f>IF(ISBLANK('Raw counts'!I16),"",IF('7'!$V15=1,IF('3'!I15='7'!$V15,"sol",'4'!I15),IF('7'!$V15=2,IF('3'!I15&lt;='7'!$V15,"dul",'4'!I15),IF('7'!$V15&gt;=3,IF('3'!I15&lt;='7'!$V15,"shr",'4'!I15),'4'!I15))))</f>
        <v>+</v>
      </c>
      <c r="J15" s="19" t="str">
        <f>IF(ISBLANK('Raw counts'!J16),"",IF('7'!$V15=1,IF('3'!J15='7'!$V15,"sol",'4'!J15),IF('7'!$V15=2,IF('3'!J15&lt;='7'!$V15,"dul",'4'!J15),IF('7'!$V15&gt;=3,IF('3'!J15&lt;='7'!$V15,"shr",'4'!J15),'4'!J15))))</f>
        <v>-</v>
      </c>
      <c r="K15" s="19" t="str">
        <f>IF(ISBLANK('Raw counts'!K16),"",IF('7'!$V15=1,IF('3'!K15='7'!$V15,"sol",'4'!K15),IF('7'!$V15=2,IF('3'!K15&lt;='7'!$V15,"dul",'4'!K15),IF('7'!$V15&gt;=3,IF('3'!K15&lt;='7'!$V15,"shr",'4'!K15),'4'!K15))))</f>
        <v>-</v>
      </c>
      <c r="L15" s="19" t="str">
        <f>IF(ISBLANK('Raw counts'!L16),"",IF('7'!$V15=1,IF('3'!L15='7'!$V15,"sol",'4'!L15),IF('7'!$V15=2,IF('3'!L15&lt;='7'!$V15,"dul",'4'!L15),IF('7'!$V15&gt;=3,IF('3'!L15&lt;='7'!$V15,"shr",'4'!L15),'4'!L15))))</f>
        <v>-</v>
      </c>
      <c r="M15" s="19" t="str">
        <f>IF(ISBLANK('Raw counts'!M16),"",IF('7'!$V15=1,IF('3'!M15='7'!$V15,"sol",'4'!M15),IF('7'!$V15=2,IF('3'!M15&lt;='7'!$V15,"dul",'4'!M15),IF('7'!$V15&gt;=3,IF('3'!M15&lt;='7'!$V15,"shr",'4'!M15),'4'!M15))))</f>
        <v/>
      </c>
      <c r="N15" s="19" t="str">
        <f>IF(ISBLANK('Raw counts'!N16),"",IF('7'!$V15=1,IF('3'!N15='7'!$V15,"sol",'4'!N15),IF('7'!$V15=2,IF('3'!N15&lt;='7'!$V15,"dul",'4'!N15),IF('7'!$V15&gt;=3,IF('3'!N15&lt;='7'!$V15,"shr",'4'!N15),'4'!N15))))</f>
        <v/>
      </c>
      <c r="O15" s="19" t="str">
        <f>IF(ISBLANK('Raw counts'!O16),"",IF('7'!$V15=1,IF('3'!O15='7'!$V15,"sol",'4'!O15),IF('7'!$V15=2,IF('3'!O15&lt;='7'!$V15,"dul",'4'!O15),IF('7'!$V15&gt;=3,IF('3'!O15&lt;='7'!$V15,"shr",'4'!O15),'4'!O15))))</f>
        <v/>
      </c>
      <c r="P15" s="19" t="str">
        <f>IF(ISBLANK('Raw counts'!P16),"",IF('7'!$V15=1,IF('3'!P15='7'!$V15,"sol",'4'!P15),IF('7'!$V15=2,IF('3'!P15&lt;='7'!$V15,"dul",'4'!P15),IF('7'!$V15&gt;=3,IF('3'!P15&lt;='7'!$V15,"shr",'4'!P15),'4'!P15))))</f>
        <v/>
      </c>
      <c r="Q15" s="19" t="str">
        <f>IF(ISBLANK('Raw counts'!Q16),"",IF('7'!$V15=1,IF('3'!Q15='7'!$V15,"sol",'4'!Q15),IF('7'!$V15=2,IF('3'!Q15&lt;='7'!$V15,"dul",'4'!Q15),IF('7'!$V15&gt;=3,IF('3'!Q15&lt;='7'!$V15,"shr",'4'!Q15),'4'!Q15))))</f>
        <v/>
      </c>
      <c r="R15" s="19" t="str">
        <f>IF(ISBLANK('Raw counts'!R16),"",IF('7'!$V15=1,IF('3'!R15='7'!$V15,"sol",'4'!R15),IF('7'!$V15=2,IF('3'!R15&lt;='7'!$V15,"dul",'4'!R15),IF('7'!$V15&gt;=3,IF('3'!R15&lt;='7'!$V15,"shr",'4'!R15),'4'!R15))))</f>
        <v/>
      </c>
      <c r="S15" s="19" t="str">
        <f>IF(ISBLANK('Raw counts'!S16),"",IF('7'!$V15=1,IF('3'!S15='7'!$V15,"sol",'4'!S15),IF('7'!$V15=2,IF('3'!S15&lt;='7'!$V15,"dul",'4'!S15),IF('7'!$V15&gt;=3,IF('3'!S15&lt;='7'!$V15,"shr",'4'!S15),'4'!S15))))</f>
        <v/>
      </c>
      <c r="T15" s="19" t="str">
        <f>IF(ISBLANK('Raw counts'!T16),"",IF('7'!$V15=1,IF('3'!T15='7'!$V15,"sol",'4'!T15),IF('7'!$V15=2,IF('3'!T15&lt;='7'!$V15,"dul",'4'!T15),IF('7'!$V15&gt;=3,IF('3'!T15&lt;='7'!$V15,"shr",'4'!T15),'4'!T15))))</f>
        <v/>
      </c>
      <c r="U15" s="19" t="str">
        <f>IF(ISBLANK('Raw counts'!U16),"",IF('7'!$V15=1,IF('3'!U15='7'!$V15,"sol",'4'!U15),IF('7'!$V15=2,IF('3'!U15&lt;='7'!$V15,"dul",'4'!U15),IF('7'!$V15&gt;=3,IF('3'!U15&lt;='7'!$V15,"shr",'4'!U15),'4'!U15))))</f>
        <v/>
      </c>
      <c r="V15" s="3">
        <f>'7'!V15</f>
        <v>1</v>
      </c>
    </row>
    <row r="16" spans="1:22" x14ac:dyDescent="0.15">
      <c r="A16" s="18" t="str">
        <f>IF(ISBLANK('Raw counts'!A17),"",'Raw counts'!A17)</f>
        <v xml:space="preserve">Other brands have more shopper or loyalty card offers                       </v>
      </c>
      <c r="B16" s="19" t="str">
        <f>IF(ISBLANK('Raw counts'!B17),"",IF('7'!$V16=1,IF('3'!B16='7'!$V16,"sol",'4'!B16),IF('7'!$V16=2,IF('3'!B16&lt;='7'!$V16,"dul",'4'!B16),IF('7'!$V16&gt;=3,IF('3'!B16&lt;='7'!$V16,"shr",'4'!B16),'4'!B16))))</f>
        <v>+</v>
      </c>
      <c r="C16" s="19" t="str">
        <f>IF(ISBLANK('Raw counts'!C17),"",IF('7'!$V16=1,IF('3'!C16='7'!$V16,"sol",'4'!C16),IF('7'!$V16=2,IF('3'!C16&lt;='7'!$V16,"dul",'4'!C16),IF('7'!$V16&gt;=3,IF('3'!C16&lt;='7'!$V16,"shr",'4'!C16),'4'!C16))))</f>
        <v>-</v>
      </c>
      <c r="D16" s="19" t="str">
        <f>IF(ISBLANK('Raw counts'!D17),"",IF('7'!$V16=1,IF('3'!D16='7'!$V16,"sol",'4'!D16),IF('7'!$V16=2,IF('3'!D16&lt;='7'!$V16,"dul",'4'!D16),IF('7'!$V16&gt;=3,IF('3'!D16&lt;='7'!$V16,"shr",'4'!D16),'4'!D16))))</f>
        <v>+</v>
      </c>
      <c r="E16" s="19" t="str">
        <f>IF(ISBLANK('Raw counts'!E17),"",IF('7'!$V16=1,IF('3'!E16='7'!$V16,"sol",'4'!E16),IF('7'!$V16=2,IF('3'!E16&lt;='7'!$V16,"dul",'4'!E16),IF('7'!$V16&gt;=3,IF('3'!E16&lt;='7'!$V16,"shr",'4'!E16),'4'!E16))))</f>
        <v>-</v>
      </c>
      <c r="F16" s="19" t="str">
        <f>IF(ISBLANK('Raw counts'!F17),"",IF('7'!$V16=1,IF('3'!F16='7'!$V16,"sol",'4'!F16),IF('7'!$V16=2,IF('3'!F16&lt;='7'!$V16,"dul",'4'!F16),IF('7'!$V16&gt;=3,IF('3'!F16&lt;='7'!$V16,"shr",'4'!F16),'4'!F16))))</f>
        <v>+</v>
      </c>
      <c r="G16" s="19" t="str">
        <f>IF(ISBLANK('Raw counts'!G17),"",IF('7'!$V16=1,IF('3'!G16='7'!$V16,"sol",'4'!G16),IF('7'!$V16=2,IF('3'!G16&lt;='7'!$V16,"dul",'4'!G16),IF('7'!$V16&gt;=3,IF('3'!G16&lt;='7'!$V16,"shr",'4'!G16),'4'!G16))))</f>
        <v>-1</v>
      </c>
      <c r="H16" s="19" t="str">
        <f>IF(ISBLANK('Raw counts'!H17),"",IF('7'!$V16=1,IF('3'!H16='7'!$V16,"sol",'4'!H16),IF('7'!$V16=2,IF('3'!H16&lt;='7'!$V16,"dul",'4'!H16),IF('7'!$V16&gt;=3,IF('3'!H16&lt;='7'!$V16,"shr",'4'!H16),'4'!H16))))</f>
        <v>+</v>
      </c>
      <c r="I16" s="19" t="str">
        <f>IF(ISBLANK('Raw counts'!I17),"",IF('7'!$V16=1,IF('3'!I16='7'!$V16,"sol",'4'!I16),IF('7'!$V16=2,IF('3'!I16&lt;='7'!$V16,"dul",'4'!I16),IF('7'!$V16&gt;=3,IF('3'!I16&lt;='7'!$V16,"shr",'4'!I16),'4'!I16))))</f>
        <v>-</v>
      </c>
      <c r="J16" s="19" t="str">
        <f>IF(ISBLANK('Raw counts'!J17),"",IF('7'!$V16=1,IF('3'!J16='7'!$V16,"sol",'4'!J16),IF('7'!$V16=2,IF('3'!J16&lt;='7'!$V16,"dul",'4'!J16),IF('7'!$V16&gt;=3,IF('3'!J16&lt;='7'!$V16,"shr",'4'!J16),'4'!J16))))</f>
        <v>-</v>
      </c>
      <c r="K16" s="19" t="str">
        <f>IF(ISBLANK('Raw counts'!K17),"",IF('7'!$V16=1,IF('3'!K16='7'!$V16,"sol",'4'!K16),IF('7'!$V16=2,IF('3'!K16&lt;='7'!$V16,"dul",'4'!K16),IF('7'!$V16&gt;=3,IF('3'!K16&lt;='7'!$V16,"shr",'4'!K16),'4'!K16))))</f>
        <v>+1</v>
      </c>
      <c r="L16" s="19" t="str">
        <f>IF(ISBLANK('Raw counts'!L17),"",IF('7'!$V16=1,IF('3'!L16='7'!$V16,"sol",'4'!L16),IF('7'!$V16=2,IF('3'!L16&lt;='7'!$V16,"dul",'4'!L16),IF('7'!$V16&gt;=3,IF('3'!L16&lt;='7'!$V16,"shr",'4'!L16),'4'!L16))))</f>
        <v>-</v>
      </c>
      <c r="M16" s="19" t="str">
        <f>IF(ISBLANK('Raw counts'!M17),"",IF('7'!$V16=1,IF('3'!M16='7'!$V16,"sol",'4'!M16),IF('7'!$V16=2,IF('3'!M16&lt;='7'!$V16,"dul",'4'!M16),IF('7'!$V16&gt;=3,IF('3'!M16&lt;='7'!$V16,"shr",'4'!M16),'4'!M16))))</f>
        <v/>
      </c>
      <c r="N16" s="19" t="str">
        <f>IF(ISBLANK('Raw counts'!N17),"",IF('7'!$V16=1,IF('3'!N16='7'!$V16,"sol",'4'!N16),IF('7'!$V16=2,IF('3'!N16&lt;='7'!$V16,"dul",'4'!N16),IF('7'!$V16&gt;=3,IF('3'!N16&lt;='7'!$V16,"shr",'4'!N16),'4'!N16))))</f>
        <v/>
      </c>
      <c r="O16" s="19" t="str">
        <f>IF(ISBLANK('Raw counts'!O17),"",IF('7'!$V16=1,IF('3'!O16='7'!$V16,"sol",'4'!O16),IF('7'!$V16=2,IF('3'!O16&lt;='7'!$V16,"dul",'4'!O16),IF('7'!$V16&gt;=3,IF('3'!O16&lt;='7'!$V16,"shr",'4'!O16),'4'!O16))))</f>
        <v/>
      </c>
      <c r="P16" s="19" t="str">
        <f>IF(ISBLANK('Raw counts'!P17),"",IF('7'!$V16=1,IF('3'!P16='7'!$V16,"sol",'4'!P16),IF('7'!$V16=2,IF('3'!P16&lt;='7'!$V16,"dul",'4'!P16),IF('7'!$V16&gt;=3,IF('3'!P16&lt;='7'!$V16,"shr",'4'!P16),'4'!P16))))</f>
        <v/>
      </c>
      <c r="Q16" s="19" t="str">
        <f>IF(ISBLANK('Raw counts'!Q17),"",IF('7'!$V16=1,IF('3'!Q16='7'!$V16,"sol",'4'!Q16),IF('7'!$V16=2,IF('3'!Q16&lt;='7'!$V16,"dul",'4'!Q16),IF('7'!$V16&gt;=3,IF('3'!Q16&lt;='7'!$V16,"shr",'4'!Q16),'4'!Q16))))</f>
        <v/>
      </c>
      <c r="R16" s="19" t="str">
        <f>IF(ISBLANK('Raw counts'!R17),"",IF('7'!$V16=1,IF('3'!R16='7'!$V16,"sol",'4'!R16),IF('7'!$V16=2,IF('3'!R16&lt;='7'!$V16,"dul",'4'!R16),IF('7'!$V16&gt;=3,IF('3'!R16&lt;='7'!$V16,"shr",'4'!R16),'4'!R16))))</f>
        <v/>
      </c>
      <c r="S16" s="19" t="str">
        <f>IF(ISBLANK('Raw counts'!S17),"",IF('7'!$V16=1,IF('3'!S16='7'!$V16,"sol",'4'!S16),IF('7'!$V16=2,IF('3'!S16&lt;='7'!$V16,"dul",'4'!S16),IF('7'!$V16&gt;=3,IF('3'!S16&lt;='7'!$V16,"shr",'4'!S16),'4'!S16))))</f>
        <v/>
      </c>
      <c r="T16" s="19" t="str">
        <f>IF(ISBLANK('Raw counts'!T17),"",IF('7'!$V16=1,IF('3'!T16='7'!$V16,"sol",'4'!T16),IF('7'!$V16=2,IF('3'!T16&lt;='7'!$V16,"dul",'4'!T16),IF('7'!$V16&gt;=3,IF('3'!T16&lt;='7'!$V16,"shr",'4'!T16),'4'!T16))))</f>
        <v/>
      </c>
      <c r="U16" s="19" t="str">
        <f>IF(ISBLANK('Raw counts'!U17),"",IF('7'!$V16=1,IF('3'!U16='7'!$V16,"sol",'4'!U16),IF('7'!$V16=2,IF('3'!U16&lt;='7'!$V16,"dul",'4'!U16),IF('7'!$V16&gt;=3,IF('3'!U16&lt;='7'!$V16,"shr",'4'!U16),'4'!U16))))</f>
        <v/>
      </c>
      <c r="V16" s="3">
        <f>'7'!V16</f>
        <v>0</v>
      </c>
    </row>
    <row r="17" spans="1:22" x14ac:dyDescent="0.15">
      <c r="A17" s="18" t="str">
        <f>IF(ISBLANK('Raw counts'!A18),"",'Raw counts'!A18)</f>
        <v xml:space="preserve">Recommended another brand by others(i.e. family members/peers or iWOM)      </v>
      </c>
      <c r="B17" s="19" t="str">
        <f>IF(ISBLANK('Raw counts'!B18),"",IF('7'!$V17=1,IF('3'!B17='7'!$V17,"sol",'4'!B17),IF('7'!$V17=2,IF('3'!B17&lt;='7'!$V17,"dul",'4'!B17),IF('7'!$V17&gt;=3,IF('3'!B17&lt;='7'!$V17,"shr",'4'!B17),'4'!B17))))</f>
        <v>-1</v>
      </c>
      <c r="C17" s="19" t="str">
        <f>IF(ISBLANK('Raw counts'!C18),"",IF('7'!$V17=1,IF('3'!C17='7'!$V17,"sol",'4'!C17),IF('7'!$V17=2,IF('3'!C17&lt;='7'!$V17,"dul",'4'!C17),IF('7'!$V17&gt;=3,IF('3'!C17&lt;='7'!$V17,"shr",'4'!C17),'4'!C17))))</f>
        <v>+1</v>
      </c>
      <c r="D17" s="19" t="str">
        <f>IF(ISBLANK('Raw counts'!D18),"",IF('7'!$V17=1,IF('3'!D17='7'!$V17,"sol",'4'!D17),IF('7'!$V17=2,IF('3'!D17&lt;='7'!$V17,"dul",'4'!D17),IF('7'!$V17&gt;=3,IF('3'!D17&lt;='7'!$V17,"shr",'4'!D17),'4'!D17))))</f>
        <v>-</v>
      </c>
      <c r="E17" s="19" t="str">
        <f>IF(ISBLANK('Raw counts'!E18),"",IF('7'!$V17=1,IF('3'!E17='7'!$V17,"sol",'4'!E17),IF('7'!$V17=2,IF('3'!E17&lt;='7'!$V17,"dul",'4'!E17),IF('7'!$V17&gt;=3,IF('3'!E17&lt;='7'!$V17,"shr",'4'!E17),'4'!E17))))</f>
        <v>+</v>
      </c>
      <c r="F17" s="19" t="str">
        <f>IF(ISBLANK('Raw counts'!F18),"",IF('7'!$V17=1,IF('3'!F17='7'!$V17,"sol",'4'!F17),IF('7'!$V17=2,IF('3'!F17&lt;='7'!$V17,"dul",'4'!F17),IF('7'!$V17&gt;=3,IF('3'!F17&lt;='7'!$V17,"shr",'4'!F17),'4'!F17))))</f>
        <v>-</v>
      </c>
      <c r="G17" s="19" t="str">
        <f>IF(ISBLANK('Raw counts'!G18),"",IF('7'!$V17=1,IF('3'!G17='7'!$V17,"sol",'4'!G17),IF('7'!$V17=2,IF('3'!G17&lt;='7'!$V17,"dul",'4'!G17),IF('7'!$V17&gt;=3,IF('3'!G17&lt;='7'!$V17,"shr",'4'!G17),'4'!G17))))</f>
        <v>+</v>
      </c>
      <c r="H17" s="19" t="str">
        <f>IF(ISBLANK('Raw counts'!H18),"",IF('7'!$V17=1,IF('3'!H17='7'!$V17,"sol",'4'!H17),IF('7'!$V17=2,IF('3'!H17&lt;='7'!$V17,"dul",'4'!H17),IF('7'!$V17&gt;=3,IF('3'!H17&lt;='7'!$V17,"shr",'4'!H17),'4'!H17))))</f>
        <v>+</v>
      </c>
      <c r="I17" s="19" t="str">
        <f>IF(ISBLANK('Raw counts'!I18),"",IF('7'!$V17=1,IF('3'!I17='7'!$V17,"sol",'4'!I17),IF('7'!$V17=2,IF('3'!I17&lt;='7'!$V17,"dul",'4'!I17),IF('7'!$V17&gt;=3,IF('3'!I17&lt;='7'!$V17,"shr",'4'!I17),'4'!I17))))</f>
        <v>+</v>
      </c>
      <c r="J17" s="19" t="str">
        <f>IF(ISBLANK('Raw counts'!J18),"",IF('7'!$V17=1,IF('3'!J17='7'!$V17,"sol",'4'!J17),IF('7'!$V17=2,IF('3'!J17&lt;='7'!$V17,"dul",'4'!J17),IF('7'!$V17&gt;=3,IF('3'!J17&lt;='7'!$V17,"shr",'4'!J17),'4'!J17))))</f>
        <v>-</v>
      </c>
      <c r="K17" s="19" t="str">
        <f>IF(ISBLANK('Raw counts'!K18),"",IF('7'!$V17=1,IF('3'!K17='7'!$V17,"sol",'4'!K17),IF('7'!$V17=2,IF('3'!K17&lt;='7'!$V17,"dul",'4'!K17),IF('7'!$V17&gt;=3,IF('3'!K17&lt;='7'!$V17,"shr",'4'!K17),'4'!K17))))</f>
        <v>+</v>
      </c>
      <c r="L17" s="19" t="str">
        <f>IF(ISBLANK('Raw counts'!L18),"",IF('7'!$V17=1,IF('3'!L17='7'!$V17,"sol",'4'!L17),IF('7'!$V17=2,IF('3'!L17&lt;='7'!$V17,"dul",'4'!L17),IF('7'!$V17&gt;=3,IF('3'!L17&lt;='7'!$V17,"shr",'4'!L17),'4'!L17))))</f>
        <v>-</v>
      </c>
      <c r="M17" s="19" t="str">
        <f>IF(ISBLANK('Raw counts'!M18),"",IF('7'!$V17=1,IF('3'!M17='7'!$V17,"sol",'4'!M17),IF('7'!$V17=2,IF('3'!M17&lt;='7'!$V17,"dul",'4'!M17),IF('7'!$V17&gt;=3,IF('3'!M17&lt;='7'!$V17,"shr",'4'!M17),'4'!M17))))</f>
        <v/>
      </c>
      <c r="N17" s="19" t="str">
        <f>IF(ISBLANK('Raw counts'!N18),"",IF('7'!$V17=1,IF('3'!N17='7'!$V17,"sol",'4'!N17),IF('7'!$V17=2,IF('3'!N17&lt;='7'!$V17,"dul",'4'!N17),IF('7'!$V17&gt;=3,IF('3'!N17&lt;='7'!$V17,"shr",'4'!N17),'4'!N17))))</f>
        <v/>
      </c>
      <c r="O17" s="19" t="str">
        <f>IF(ISBLANK('Raw counts'!O18),"",IF('7'!$V17=1,IF('3'!O17='7'!$V17,"sol",'4'!O17),IF('7'!$V17=2,IF('3'!O17&lt;='7'!$V17,"dul",'4'!O17),IF('7'!$V17&gt;=3,IF('3'!O17&lt;='7'!$V17,"shr",'4'!O17),'4'!O17))))</f>
        <v/>
      </c>
      <c r="P17" s="19" t="str">
        <f>IF(ISBLANK('Raw counts'!P18),"",IF('7'!$V17=1,IF('3'!P17='7'!$V17,"sol",'4'!P17),IF('7'!$V17=2,IF('3'!P17&lt;='7'!$V17,"dul",'4'!P17),IF('7'!$V17&gt;=3,IF('3'!P17&lt;='7'!$V17,"shr",'4'!P17),'4'!P17))))</f>
        <v/>
      </c>
      <c r="Q17" s="19" t="str">
        <f>IF(ISBLANK('Raw counts'!Q18),"",IF('7'!$V17=1,IF('3'!Q17='7'!$V17,"sol",'4'!Q17),IF('7'!$V17=2,IF('3'!Q17&lt;='7'!$V17,"dul",'4'!Q17),IF('7'!$V17&gt;=3,IF('3'!Q17&lt;='7'!$V17,"shr",'4'!Q17),'4'!Q17))))</f>
        <v/>
      </c>
      <c r="R17" s="19" t="str">
        <f>IF(ISBLANK('Raw counts'!R18),"",IF('7'!$V17=1,IF('3'!R17='7'!$V17,"sol",'4'!R17),IF('7'!$V17=2,IF('3'!R17&lt;='7'!$V17,"dul",'4'!R17),IF('7'!$V17&gt;=3,IF('3'!R17&lt;='7'!$V17,"shr",'4'!R17),'4'!R17))))</f>
        <v/>
      </c>
      <c r="S17" s="19" t="str">
        <f>IF(ISBLANK('Raw counts'!S18),"",IF('7'!$V17=1,IF('3'!S17='7'!$V17,"sol",'4'!S17),IF('7'!$V17=2,IF('3'!S17&lt;='7'!$V17,"dul",'4'!S17),IF('7'!$V17&gt;=3,IF('3'!S17&lt;='7'!$V17,"shr",'4'!S17),'4'!S17))))</f>
        <v/>
      </c>
      <c r="T17" s="19" t="str">
        <f>IF(ISBLANK('Raw counts'!T18),"",IF('7'!$V17=1,IF('3'!T17='7'!$V17,"sol",'4'!T17),IF('7'!$V17=2,IF('3'!T17&lt;='7'!$V17,"dul",'4'!T17),IF('7'!$V17&gt;=3,IF('3'!T17&lt;='7'!$V17,"shr",'4'!T17),'4'!T17))))</f>
        <v/>
      </c>
      <c r="U17" s="19" t="str">
        <f>IF(ISBLANK('Raw counts'!U18),"",IF('7'!$V17=1,IF('3'!U17='7'!$V17,"sol",'4'!U17),IF('7'!$V17=2,IF('3'!U17&lt;='7'!$V17,"dul",'4'!U17),IF('7'!$V17&gt;=3,IF('3'!U17&lt;='7'!$V17,"shr",'4'!U17),'4'!U17))))</f>
        <v/>
      </c>
      <c r="V17" s="3">
        <f>'7'!V17</f>
        <v>0</v>
      </c>
    </row>
    <row r="18" spans="1:22" x14ac:dyDescent="0.15">
      <c r="A18" s="18" t="str">
        <f>IF(ISBLANK('Raw counts'!A19),"",'Raw counts'!A19)</f>
        <v xml:space="preserve">In-store salesperson or advisor recommended another brand                   </v>
      </c>
      <c r="B18" s="19" t="str">
        <f>IF(ISBLANK('Raw counts'!B19),"",IF('7'!$V18=1,IF('3'!B18='7'!$V18,"sol",'4'!B18),IF('7'!$V18=2,IF('3'!B18&lt;='7'!$V18,"dul",'4'!B18),IF('7'!$V18&gt;=3,IF('3'!B18&lt;='7'!$V18,"shr",'4'!B18),'4'!B18))))</f>
        <v>+</v>
      </c>
      <c r="C18" s="19" t="str">
        <f>IF(ISBLANK('Raw counts'!C19),"",IF('7'!$V18=1,IF('3'!C18='7'!$V18,"sol",'4'!C18),IF('7'!$V18=2,IF('3'!C18&lt;='7'!$V18,"dul",'4'!C18),IF('7'!$V18&gt;=3,IF('3'!C18&lt;='7'!$V18,"shr",'4'!C18),'4'!C18))))</f>
        <v>-1</v>
      </c>
      <c r="D18" s="19" t="str">
        <f>IF(ISBLANK('Raw counts'!D19),"",IF('7'!$V18=1,IF('3'!D18='7'!$V18,"sol",'4'!D18),IF('7'!$V18=2,IF('3'!D18&lt;='7'!$V18,"dul",'4'!D18),IF('7'!$V18&gt;=3,IF('3'!D18&lt;='7'!$V18,"shr",'4'!D18),'4'!D18))))</f>
        <v>+</v>
      </c>
      <c r="E18" s="19" t="str">
        <f>IF(ISBLANK('Raw counts'!E19),"",IF('7'!$V18=1,IF('3'!E18='7'!$V18,"sol",'4'!E18),IF('7'!$V18=2,IF('3'!E18&lt;='7'!$V18,"dul",'4'!E18),IF('7'!$V18&gt;=3,IF('3'!E18&lt;='7'!$V18,"shr",'4'!E18),'4'!E18))))</f>
        <v>+</v>
      </c>
      <c r="F18" s="19" t="str">
        <f>IF(ISBLANK('Raw counts'!F19),"",IF('7'!$V18=1,IF('3'!F18='7'!$V18,"sol",'4'!F18),IF('7'!$V18=2,IF('3'!F18&lt;='7'!$V18,"dul",'4'!F18),IF('7'!$V18&gt;=3,IF('3'!F18&lt;='7'!$V18,"shr",'4'!F18),'4'!F18))))</f>
        <v>-</v>
      </c>
      <c r="G18" s="19" t="str">
        <f>IF(ISBLANK('Raw counts'!G19),"",IF('7'!$V18=1,IF('3'!G18='7'!$V18,"sol",'4'!G18),IF('7'!$V18=2,IF('3'!G18&lt;='7'!$V18,"dul",'4'!G18),IF('7'!$V18&gt;=3,IF('3'!G18&lt;='7'!$V18,"shr",'4'!G18),'4'!G18))))</f>
        <v>-</v>
      </c>
      <c r="H18" s="19" t="str">
        <f>IF(ISBLANK('Raw counts'!H19),"",IF('7'!$V18=1,IF('3'!H18='7'!$V18,"sol",'4'!H18),IF('7'!$V18=2,IF('3'!H18&lt;='7'!$V18,"dul",'4'!H18),IF('7'!$V18&gt;=3,IF('3'!H18&lt;='7'!$V18,"shr",'4'!H18),'4'!H18))))</f>
        <v>-</v>
      </c>
      <c r="I18" s="19" t="str">
        <f>IF(ISBLANK('Raw counts'!I19),"",IF('7'!$V18=1,IF('3'!I18='7'!$V18,"sol",'4'!I18),IF('7'!$V18=2,IF('3'!I18&lt;='7'!$V18,"dul",'4'!I18),IF('7'!$V18&gt;=3,IF('3'!I18&lt;='7'!$V18,"shr",'4'!I18),'4'!I18))))</f>
        <v>+</v>
      </c>
      <c r="J18" s="19" t="str">
        <f>IF(ISBLANK('Raw counts'!J19),"",IF('7'!$V18=1,IF('3'!J18='7'!$V18,"sol",'4'!J18),IF('7'!$V18=2,IF('3'!J18&lt;='7'!$V18,"dul",'4'!J18),IF('7'!$V18&gt;=3,IF('3'!J18&lt;='7'!$V18,"shr",'4'!J18),'4'!J18))))</f>
        <v>-</v>
      </c>
      <c r="K18" s="19" t="str">
        <f>IF(ISBLANK('Raw counts'!K19),"",IF('7'!$V18=1,IF('3'!K18='7'!$V18,"sol",'4'!K18),IF('7'!$V18=2,IF('3'!K18&lt;='7'!$V18,"dul",'4'!K18),IF('7'!$V18&gt;=3,IF('3'!K18&lt;='7'!$V18,"shr",'4'!K18),'4'!K18))))</f>
        <v>+1</v>
      </c>
      <c r="L18" s="19" t="str">
        <f>IF(ISBLANK('Raw counts'!L19),"",IF('7'!$V18=1,IF('3'!L18='7'!$V18,"sol",'4'!L18),IF('7'!$V18=2,IF('3'!L18&lt;='7'!$V18,"dul",'4'!L18),IF('7'!$V18&gt;=3,IF('3'!L18&lt;='7'!$V18,"shr",'4'!L18),'4'!L18))))</f>
        <v>+</v>
      </c>
      <c r="M18" s="19" t="str">
        <f>IF(ISBLANK('Raw counts'!M19),"",IF('7'!$V18=1,IF('3'!M18='7'!$V18,"sol",'4'!M18),IF('7'!$V18=2,IF('3'!M18&lt;='7'!$V18,"dul",'4'!M18),IF('7'!$V18&gt;=3,IF('3'!M18&lt;='7'!$V18,"shr",'4'!M18),'4'!M18))))</f>
        <v/>
      </c>
      <c r="N18" s="19" t="str">
        <f>IF(ISBLANK('Raw counts'!N19),"",IF('7'!$V18=1,IF('3'!N18='7'!$V18,"sol",'4'!N18),IF('7'!$V18=2,IF('3'!N18&lt;='7'!$V18,"dul",'4'!N18),IF('7'!$V18&gt;=3,IF('3'!N18&lt;='7'!$V18,"shr",'4'!N18),'4'!N18))))</f>
        <v/>
      </c>
      <c r="O18" s="19" t="str">
        <f>IF(ISBLANK('Raw counts'!O19),"",IF('7'!$V18=1,IF('3'!O18='7'!$V18,"sol",'4'!O18),IF('7'!$V18=2,IF('3'!O18&lt;='7'!$V18,"dul",'4'!O18),IF('7'!$V18&gt;=3,IF('3'!O18&lt;='7'!$V18,"shr",'4'!O18),'4'!O18))))</f>
        <v/>
      </c>
      <c r="P18" s="19" t="str">
        <f>IF(ISBLANK('Raw counts'!P19),"",IF('7'!$V18=1,IF('3'!P18='7'!$V18,"sol",'4'!P18),IF('7'!$V18=2,IF('3'!P18&lt;='7'!$V18,"dul",'4'!P18),IF('7'!$V18&gt;=3,IF('3'!P18&lt;='7'!$V18,"shr",'4'!P18),'4'!P18))))</f>
        <v/>
      </c>
      <c r="Q18" s="19" t="str">
        <f>IF(ISBLANK('Raw counts'!Q19),"",IF('7'!$V18=1,IF('3'!Q18='7'!$V18,"sol",'4'!Q18),IF('7'!$V18=2,IF('3'!Q18&lt;='7'!$V18,"dul",'4'!Q18),IF('7'!$V18&gt;=3,IF('3'!Q18&lt;='7'!$V18,"shr",'4'!Q18),'4'!Q18))))</f>
        <v/>
      </c>
      <c r="R18" s="19" t="str">
        <f>IF(ISBLANK('Raw counts'!R19),"",IF('7'!$V18=1,IF('3'!R18='7'!$V18,"sol",'4'!R18),IF('7'!$V18=2,IF('3'!R18&lt;='7'!$V18,"dul",'4'!R18),IF('7'!$V18&gt;=3,IF('3'!R18&lt;='7'!$V18,"shr",'4'!R18),'4'!R18))))</f>
        <v/>
      </c>
      <c r="S18" s="19" t="str">
        <f>IF(ISBLANK('Raw counts'!S19),"",IF('7'!$V18=1,IF('3'!S18='7'!$V18,"sol",'4'!S18),IF('7'!$V18=2,IF('3'!S18&lt;='7'!$V18,"dul",'4'!S18),IF('7'!$V18&gt;=3,IF('3'!S18&lt;='7'!$V18,"shr",'4'!S18),'4'!S18))))</f>
        <v/>
      </c>
      <c r="T18" s="19" t="str">
        <f>IF(ISBLANK('Raw counts'!T19),"",IF('7'!$V18=1,IF('3'!T18='7'!$V18,"sol",'4'!T18),IF('7'!$V18=2,IF('3'!T18&lt;='7'!$V18,"dul",'4'!T18),IF('7'!$V18&gt;=3,IF('3'!T18&lt;='7'!$V18,"shr",'4'!T18),'4'!T18))))</f>
        <v/>
      </c>
      <c r="U18" s="19" t="str">
        <f>IF(ISBLANK('Raw counts'!U19),"",IF('7'!$V18=1,IF('3'!U18='7'!$V18,"sol",'4'!U18),IF('7'!$V18=2,IF('3'!U18&lt;='7'!$V18,"dul",'4'!U18),IF('7'!$V18&gt;=3,IF('3'!U18&lt;='7'!$V18,"shr",'4'!U18),'4'!U18))))</f>
        <v/>
      </c>
      <c r="V18" s="3">
        <f>'7'!V18</f>
        <v>0</v>
      </c>
    </row>
    <row r="19" spans="1:22" ht="25.5" x14ac:dyDescent="0.15">
      <c r="A19" s="18" t="str">
        <f>IF(ISBLANK('Raw counts'!A20),"",'Raw counts'!A20)</f>
        <v xml:space="preserve">Researched online while shopping and found negative reviews of the product  </v>
      </c>
      <c r="B19" s="19" t="str">
        <f>IF(ISBLANK('Raw counts'!B20),"",IF('7'!$V19=1,IF('3'!B19='7'!$V19,"sol",'4'!B19),IF('7'!$V19=2,IF('3'!B19&lt;='7'!$V19,"dul",'4'!B19),IF('7'!$V19&gt;=3,IF('3'!B19&lt;='7'!$V19,"shr",'4'!B19),'4'!B19))))</f>
        <v>+</v>
      </c>
      <c r="C19" s="19" t="str">
        <f>IF(ISBLANK('Raw counts'!C20),"",IF('7'!$V19=1,IF('3'!C19='7'!$V19,"sol",'4'!C19),IF('7'!$V19=2,IF('3'!C19&lt;='7'!$V19,"dul",'4'!C19),IF('7'!$V19&gt;=3,IF('3'!C19&lt;='7'!$V19,"shr",'4'!C19),'4'!C19))))</f>
        <v>+1</v>
      </c>
      <c r="D19" s="19" t="str">
        <f>IF(ISBLANK('Raw counts'!D20),"",IF('7'!$V19=1,IF('3'!D19='7'!$V19,"sol",'4'!D19),IF('7'!$V19=2,IF('3'!D19&lt;='7'!$V19,"dul",'4'!D19),IF('7'!$V19&gt;=3,IF('3'!D19&lt;='7'!$V19,"shr",'4'!D19),'4'!D19))))</f>
        <v>+</v>
      </c>
      <c r="E19" s="19" t="str">
        <f>IF(ISBLANK('Raw counts'!E20),"",IF('7'!$V19=1,IF('3'!E19='7'!$V19,"sol",'4'!E19),IF('7'!$V19=2,IF('3'!E19&lt;='7'!$V19,"dul",'4'!E19),IF('7'!$V19&gt;=3,IF('3'!E19&lt;='7'!$V19,"shr",'4'!E19),'4'!E19))))</f>
        <v>+</v>
      </c>
      <c r="F19" s="19" t="str">
        <f>IF(ISBLANK('Raw counts'!F20),"",IF('7'!$V19=1,IF('3'!F19='7'!$V19,"sol",'4'!F19),IF('7'!$V19=2,IF('3'!F19&lt;='7'!$V19,"dul",'4'!F19),IF('7'!$V19&gt;=3,IF('3'!F19&lt;='7'!$V19,"shr",'4'!F19),'4'!F19))))</f>
        <v>-</v>
      </c>
      <c r="G19" s="19" t="str">
        <f>IF(ISBLANK('Raw counts'!G20),"",IF('7'!$V19=1,IF('3'!G19='7'!$V19,"sol",'4'!G19),IF('7'!$V19=2,IF('3'!G19&lt;='7'!$V19,"dul",'4'!G19),IF('7'!$V19&gt;=3,IF('3'!G19&lt;='7'!$V19,"shr",'4'!G19),'4'!G19))))</f>
        <v>-1</v>
      </c>
      <c r="H19" s="19" t="str">
        <f>IF(ISBLANK('Raw counts'!H20),"",IF('7'!$V19=1,IF('3'!H19='7'!$V19,"sol",'4'!H19),IF('7'!$V19=2,IF('3'!H19&lt;='7'!$V19,"dul",'4'!H19),IF('7'!$V19&gt;=3,IF('3'!H19&lt;='7'!$V19,"shr",'4'!H19),'4'!H19))))</f>
        <v>-1</v>
      </c>
      <c r="I19" s="19" t="str">
        <f>IF(ISBLANK('Raw counts'!I20),"",IF('7'!$V19=1,IF('3'!I19='7'!$V19,"sol",'4'!I19),IF('7'!$V19=2,IF('3'!I19&lt;='7'!$V19,"dul",'4'!I19),IF('7'!$V19&gt;=3,IF('3'!I19&lt;='7'!$V19,"shr",'4'!I19),'4'!I19))))</f>
        <v>-</v>
      </c>
      <c r="J19" s="19" t="str">
        <f>IF(ISBLANK('Raw counts'!J20),"",IF('7'!$V19=1,IF('3'!J19='7'!$V19,"sol",'4'!J19),IF('7'!$V19=2,IF('3'!J19&lt;='7'!$V19,"dul",'4'!J19),IF('7'!$V19&gt;=3,IF('3'!J19&lt;='7'!$V19,"shr",'4'!J19),'4'!J19))))</f>
        <v>+</v>
      </c>
      <c r="K19" s="19" t="str">
        <f>IF(ISBLANK('Raw counts'!K20),"",IF('7'!$V19=1,IF('3'!K19='7'!$V19,"sol",'4'!K19),IF('7'!$V19=2,IF('3'!K19&lt;='7'!$V19,"dul",'4'!K19),IF('7'!$V19&gt;=3,IF('3'!K19&lt;='7'!$V19,"shr",'4'!K19),'4'!K19))))</f>
        <v>+</v>
      </c>
      <c r="L19" s="19" t="str">
        <f>IF(ISBLANK('Raw counts'!L20),"",IF('7'!$V19=1,IF('3'!L19='7'!$V19,"sol",'4'!L19),IF('7'!$V19=2,IF('3'!L19&lt;='7'!$V19,"dul",'4'!L19),IF('7'!$V19&gt;=3,IF('3'!L19&lt;='7'!$V19,"shr",'4'!L19),'4'!L19))))</f>
        <v>-</v>
      </c>
      <c r="M19" s="19" t="str">
        <f>IF(ISBLANK('Raw counts'!M20),"",IF('7'!$V19=1,IF('3'!M19='7'!$V19,"sol",'4'!M19),IF('7'!$V19=2,IF('3'!M19&lt;='7'!$V19,"dul",'4'!M19),IF('7'!$V19&gt;=3,IF('3'!M19&lt;='7'!$V19,"shr",'4'!M19),'4'!M19))))</f>
        <v/>
      </c>
      <c r="N19" s="19" t="str">
        <f>IF(ISBLANK('Raw counts'!N20),"",IF('7'!$V19=1,IF('3'!N19='7'!$V19,"sol",'4'!N19),IF('7'!$V19=2,IF('3'!N19&lt;='7'!$V19,"dul",'4'!N19),IF('7'!$V19&gt;=3,IF('3'!N19&lt;='7'!$V19,"shr",'4'!N19),'4'!N19))))</f>
        <v/>
      </c>
      <c r="O19" s="19" t="str">
        <f>IF(ISBLANK('Raw counts'!O20),"",IF('7'!$V19=1,IF('3'!O19='7'!$V19,"sol",'4'!O19),IF('7'!$V19=2,IF('3'!O19&lt;='7'!$V19,"dul",'4'!O19),IF('7'!$V19&gt;=3,IF('3'!O19&lt;='7'!$V19,"shr",'4'!O19),'4'!O19))))</f>
        <v/>
      </c>
      <c r="P19" s="19" t="str">
        <f>IF(ISBLANK('Raw counts'!P20),"",IF('7'!$V19=1,IF('3'!P19='7'!$V19,"sol",'4'!P19),IF('7'!$V19=2,IF('3'!P19&lt;='7'!$V19,"dul",'4'!P19),IF('7'!$V19&gt;=3,IF('3'!P19&lt;='7'!$V19,"shr",'4'!P19),'4'!P19))))</f>
        <v/>
      </c>
      <c r="Q19" s="19" t="str">
        <f>IF(ISBLANK('Raw counts'!Q20),"",IF('7'!$V19=1,IF('3'!Q19='7'!$V19,"sol",'4'!Q19),IF('7'!$V19=2,IF('3'!Q19&lt;='7'!$V19,"dul",'4'!Q19),IF('7'!$V19&gt;=3,IF('3'!Q19&lt;='7'!$V19,"shr",'4'!Q19),'4'!Q19))))</f>
        <v/>
      </c>
      <c r="R19" s="19" t="str">
        <f>IF(ISBLANK('Raw counts'!R20),"",IF('7'!$V19=1,IF('3'!R19='7'!$V19,"sol",'4'!R19),IF('7'!$V19=2,IF('3'!R19&lt;='7'!$V19,"dul",'4'!R19),IF('7'!$V19&gt;=3,IF('3'!R19&lt;='7'!$V19,"shr",'4'!R19),'4'!R19))))</f>
        <v/>
      </c>
      <c r="S19" s="19" t="str">
        <f>IF(ISBLANK('Raw counts'!S20),"",IF('7'!$V19=1,IF('3'!S19='7'!$V19,"sol",'4'!S19),IF('7'!$V19=2,IF('3'!S19&lt;='7'!$V19,"dul",'4'!S19),IF('7'!$V19&gt;=3,IF('3'!S19&lt;='7'!$V19,"shr",'4'!S19),'4'!S19))))</f>
        <v/>
      </c>
      <c r="T19" s="19" t="str">
        <f>IF(ISBLANK('Raw counts'!T20),"",IF('7'!$V19=1,IF('3'!T19='7'!$V19,"sol",'4'!T19),IF('7'!$V19=2,IF('3'!T19&lt;='7'!$V19,"dul",'4'!T19),IF('7'!$V19&gt;=3,IF('3'!T19&lt;='7'!$V19,"shr",'4'!T19),'4'!T19))))</f>
        <v/>
      </c>
      <c r="U19" s="19" t="str">
        <f>IF(ISBLANK('Raw counts'!U20),"",IF('7'!$V19=1,IF('3'!U19='7'!$V19,"sol",'4'!U19),IF('7'!$V19=2,IF('3'!U19&lt;='7'!$V19,"dul",'4'!U19),IF('7'!$V19&gt;=3,IF('3'!U19&lt;='7'!$V19,"shr",'4'!U19),'4'!U19))))</f>
        <v/>
      </c>
      <c r="V19" s="3">
        <f>'7'!V19</f>
        <v>0</v>
      </c>
    </row>
    <row r="20" spans="1:22" ht="25.5" x14ac:dyDescent="0.15">
      <c r="A20" s="18" t="str">
        <f>IF(ISBLANK('Raw counts'!A21),"",'Raw counts'!A21)</f>
        <v xml:space="preserve">Dentist recommended another brand                                           </v>
      </c>
      <c r="B20" s="19" t="str">
        <f>IF(ISBLANK('Raw counts'!B21),"",IF('7'!$V20=1,IF('3'!B20='7'!$V20,"sol",'4'!B20),IF('7'!$V20=2,IF('3'!B20&lt;='7'!$V20,"dul",'4'!B20),IF('7'!$V20&gt;=3,IF('3'!B20&lt;='7'!$V20,"shr",'4'!B20),'4'!B20))))</f>
        <v>-1</v>
      </c>
      <c r="C20" s="19" t="str">
        <f>IF(ISBLANK('Raw counts'!C21),"",IF('7'!$V20=1,IF('3'!C20='7'!$V20,"sol",'4'!C20),IF('7'!$V20=2,IF('3'!C20&lt;='7'!$V20,"dul",'4'!C20),IF('7'!$V20&gt;=3,IF('3'!C20&lt;='7'!$V20,"shr",'4'!C20),'4'!C20))))</f>
        <v>+1</v>
      </c>
      <c r="D20" s="19" t="str">
        <f>IF(ISBLANK('Raw counts'!D21),"",IF('7'!$V20=1,IF('3'!D20='7'!$V20,"sol",'4'!D20),IF('7'!$V20=2,IF('3'!D20&lt;='7'!$V20,"dul",'4'!D20),IF('7'!$V20&gt;=3,IF('3'!D20&lt;='7'!$V20,"shr",'4'!D20),'4'!D20))))</f>
        <v>+</v>
      </c>
      <c r="E20" s="19" t="str">
        <f>IF(ISBLANK('Raw counts'!E21),"",IF('7'!$V20=1,IF('3'!E20='7'!$V20,"sol",'4'!E20),IF('7'!$V20=2,IF('3'!E20&lt;='7'!$V20,"dul",'4'!E20),IF('7'!$V20&gt;=3,IF('3'!E20&lt;='7'!$V20,"shr",'4'!E20),'4'!E20))))</f>
        <v>-</v>
      </c>
      <c r="F20" s="19" t="str">
        <f>IF(ISBLANK('Raw counts'!F21),"",IF('7'!$V20=1,IF('3'!F20='7'!$V20,"sol",'4'!F20),IF('7'!$V20=2,IF('3'!F20&lt;='7'!$V20,"dul",'4'!F20),IF('7'!$V20&gt;=3,IF('3'!F20&lt;='7'!$V20,"shr",'4'!F20),'4'!F20))))</f>
        <v>-</v>
      </c>
      <c r="G20" s="19" t="str">
        <f>IF(ISBLANK('Raw counts'!G21),"",IF('7'!$V20=1,IF('3'!G20='7'!$V20,"sol",'4'!G20),IF('7'!$V20=2,IF('3'!G20&lt;='7'!$V20,"dul",'4'!G20),IF('7'!$V20&gt;=3,IF('3'!G20&lt;='7'!$V20,"shr",'4'!G20),'4'!G20))))</f>
        <v>-1</v>
      </c>
      <c r="H20" s="19" t="str">
        <f>IF(ISBLANK('Raw counts'!H21),"",IF('7'!$V20=1,IF('3'!H20='7'!$V20,"sol",'4'!H20),IF('7'!$V20=2,IF('3'!H20&lt;='7'!$V20,"dul",'4'!H20),IF('7'!$V20&gt;=3,IF('3'!H20&lt;='7'!$V20,"shr",'4'!H20),'4'!H20))))</f>
        <v>+1</v>
      </c>
      <c r="I20" s="19" t="str">
        <f>IF(ISBLANK('Raw counts'!I21),"",IF('7'!$V20=1,IF('3'!I20='7'!$V20,"sol",'4'!I20),IF('7'!$V20=2,IF('3'!I20&lt;='7'!$V20,"dul",'4'!I20),IF('7'!$V20&gt;=3,IF('3'!I20&lt;='7'!$V20,"shr",'4'!I20),'4'!I20))))</f>
        <v>-</v>
      </c>
      <c r="J20" s="19" t="str">
        <f>IF(ISBLANK('Raw counts'!J21),"",IF('7'!$V20=1,IF('3'!J20='7'!$V20,"sol",'4'!J20),IF('7'!$V20=2,IF('3'!J20&lt;='7'!$V20,"dul",'4'!J20),IF('7'!$V20&gt;=3,IF('3'!J20&lt;='7'!$V20,"shr",'4'!J20),'4'!J20))))</f>
        <v>+</v>
      </c>
      <c r="K20" s="19" t="str">
        <f>IF(ISBLANK('Raw counts'!K21),"",IF('7'!$V20=1,IF('3'!K20='7'!$V20,"sol",'4'!K20),IF('7'!$V20=2,IF('3'!K20&lt;='7'!$V20,"dul",'4'!K20),IF('7'!$V20&gt;=3,IF('3'!K20&lt;='7'!$V20,"shr",'4'!K20),'4'!K20))))</f>
        <v>+</v>
      </c>
      <c r="L20" s="19" t="str">
        <f>IF(ISBLANK('Raw counts'!L21),"",IF('7'!$V20=1,IF('3'!L20='7'!$V20,"sol",'4'!L20),IF('7'!$V20=2,IF('3'!L20&lt;='7'!$V20,"dul",'4'!L20),IF('7'!$V20&gt;=3,IF('3'!L20&lt;='7'!$V20,"shr",'4'!L20),'4'!L20))))</f>
        <v>+</v>
      </c>
      <c r="M20" s="19" t="str">
        <f>IF(ISBLANK('Raw counts'!M21),"",IF('7'!$V20=1,IF('3'!M20='7'!$V20,"sol",'4'!M20),IF('7'!$V20=2,IF('3'!M20&lt;='7'!$V20,"dul",'4'!M20),IF('7'!$V20&gt;=3,IF('3'!M20&lt;='7'!$V20,"shr",'4'!M20),'4'!M20))))</f>
        <v/>
      </c>
      <c r="N20" s="19" t="str">
        <f>IF(ISBLANK('Raw counts'!N21),"",IF('7'!$V20=1,IF('3'!N20='7'!$V20,"sol",'4'!N20),IF('7'!$V20=2,IF('3'!N20&lt;='7'!$V20,"dul",'4'!N20),IF('7'!$V20&gt;=3,IF('3'!N20&lt;='7'!$V20,"shr",'4'!N20),'4'!N20))))</f>
        <v/>
      </c>
      <c r="O20" s="19" t="str">
        <f>IF(ISBLANK('Raw counts'!O21),"",IF('7'!$V20=1,IF('3'!O20='7'!$V20,"sol",'4'!O20),IF('7'!$V20=2,IF('3'!O20&lt;='7'!$V20,"dul",'4'!O20),IF('7'!$V20&gt;=3,IF('3'!O20&lt;='7'!$V20,"shr",'4'!O20),'4'!O20))))</f>
        <v/>
      </c>
      <c r="P20" s="19" t="str">
        <f>IF(ISBLANK('Raw counts'!P21),"",IF('7'!$V20=1,IF('3'!P20='7'!$V20,"sol",'4'!P20),IF('7'!$V20=2,IF('3'!P20&lt;='7'!$V20,"dul",'4'!P20),IF('7'!$V20&gt;=3,IF('3'!P20&lt;='7'!$V20,"shr",'4'!P20),'4'!P20))))</f>
        <v/>
      </c>
      <c r="Q20" s="19" t="str">
        <f>IF(ISBLANK('Raw counts'!Q21),"",IF('7'!$V20=1,IF('3'!Q20='7'!$V20,"sol",'4'!Q20),IF('7'!$V20=2,IF('3'!Q20&lt;='7'!$V20,"dul",'4'!Q20),IF('7'!$V20&gt;=3,IF('3'!Q20&lt;='7'!$V20,"shr",'4'!Q20),'4'!Q20))))</f>
        <v/>
      </c>
      <c r="R20" s="19" t="str">
        <f>IF(ISBLANK('Raw counts'!R21),"",IF('7'!$V20=1,IF('3'!R20='7'!$V20,"sol",'4'!R20),IF('7'!$V20=2,IF('3'!R20&lt;='7'!$V20,"dul",'4'!R20),IF('7'!$V20&gt;=3,IF('3'!R20&lt;='7'!$V20,"shr",'4'!R20),'4'!R20))))</f>
        <v/>
      </c>
      <c r="S20" s="19" t="str">
        <f>IF(ISBLANK('Raw counts'!S21),"",IF('7'!$V20=1,IF('3'!S20='7'!$V20,"sol",'4'!S20),IF('7'!$V20=2,IF('3'!S20&lt;='7'!$V20,"dul",'4'!S20),IF('7'!$V20&gt;=3,IF('3'!S20&lt;='7'!$V20,"shr",'4'!S20),'4'!S20))))</f>
        <v/>
      </c>
      <c r="T20" s="19" t="str">
        <f>IF(ISBLANK('Raw counts'!T21),"",IF('7'!$V20=1,IF('3'!T20='7'!$V20,"sol",'4'!T20),IF('7'!$V20=2,IF('3'!T20&lt;='7'!$V20,"dul",'4'!T20),IF('7'!$V20&gt;=3,IF('3'!T20&lt;='7'!$V20,"shr",'4'!T20),'4'!T20))))</f>
        <v/>
      </c>
      <c r="U20" s="19" t="str">
        <f>IF(ISBLANK('Raw counts'!U21),"",IF('7'!$V20=1,IF('3'!U20='7'!$V20,"sol",'4'!U20),IF('7'!$V20=2,IF('3'!U20&lt;='7'!$V20,"dul",'4'!U20),IF('7'!$V20&gt;=3,IF('3'!U20&lt;='7'!$V20,"shr",'4'!U20),'4'!U20))))</f>
        <v/>
      </c>
      <c r="V20" s="3">
        <f>'7'!V20</f>
        <v>0</v>
      </c>
    </row>
    <row r="21" spans="1:22" ht="25.5" x14ac:dyDescent="0.15">
      <c r="A21" s="18" t="str">
        <f>IF(ISBLANK('Raw counts'!A22),"",'Raw counts'!A22)</f>
        <v xml:space="preserve">Some other reason                                                           </v>
      </c>
      <c r="B21" s="19" t="str">
        <f>IF(ISBLANK('Raw counts'!B22),"",IF('7'!$V21=1,IF('3'!B21='7'!$V21,"sol",'4'!B21),IF('7'!$V21=2,IF('3'!B21&lt;='7'!$V21,"dul",'4'!B21),IF('7'!$V21&gt;=3,IF('3'!B21&lt;='7'!$V21,"shr",'4'!B21),'4'!B21))))</f>
        <v>-</v>
      </c>
      <c r="C21" s="19" t="str">
        <f>IF(ISBLANK('Raw counts'!C22),"",IF('7'!$V21=1,IF('3'!C21='7'!$V21,"sol",'4'!C21),IF('7'!$V21=2,IF('3'!C21&lt;='7'!$V21,"dul",'4'!C21),IF('7'!$V21&gt;=3,IF('3'!C21&lt;='7'!$V21,"shr",'4'!C21),'4'!C21))))</f>
        <v>+</v>
      </c>
      <c r="D21" s="19" t="str">
        <f>IF(ISBLANK('Raw counts'!D22),"",IF('7'!$V21=1,IF('3'!D21='7'!$V21,"sol",'4'!D21),IF('7'!$V21=2,IF('3'!D21&lt;='7'!$V21,"dul",'4'!D21),IF('7'!$V21&gt;=3,IF('3'!D21&lt;='7'!$V21,"shr",'4'!D21),'4'!D21))))</f>
        <v>+</v>
      </c>
      <c r="E21" s="19" t="str">
        <f>IF(ISBLANK('Raw counts'!E22),"",IF('7'!$V21=1,IF('3'!E21='7'!$V21,"sol",'4'!E21),IF('7'!$V21=2,IF('3'!E21&lt;='7'!$V21,"dul",'4'!E21),IF('7'!$V21&gt;=3,IF('3'!E21&lt;='7'!$V21,"shr",'4'!E21),'4'!E21))))</f>
        <v>+</v>
      </c>
      <c r="F21" s="19" t="str">
        <f>IF(ISBLANK('Raw counts'!F22),"",IF('7'!$V21=1,IF('3'!F21='7'!$V21,"sol",'4'!F21),IF('7'!$V21=2,IF('3'!F21&lt;='7'!$V21,"dul",'4'!F21),IF('7'!$V21&gt;=3,IF('3'!F21&lt;='7'!$V21,"shr",'4'!F21),'4'!F21))))</f>
        <v>-</v>
      </c>
      <c r="G21" s="19" t="str">
        <f>IF(ISBLANK('Raw counts'!G22),"",IF('7'!$V21=1,IF('3'!G21='7'!$V21,"sol",'4'!G21),IF('7'!$V21=2,IF('3'!G21&lt;='7'!$V21,"dul",'4'!G21),IF('7'!$V21&gt;=3,IF('3'!G21&lt;='7'!$V21,"shr",'4'!G21),'4'!G21))))</f>
        <v>+</v>
      </c>
      <c r="H21" s="19" t="str">
        <f>IF(ISBLANK('Raw counts'!H22),"",IF('7'!$V21=1,IF('3'!H21='7'!$V21,"sol",'4'!H21),IF('7'!$V21=2,IF('3'!H21&lt;='7'!$V21,"dul",'4'!H21),IF('7'!$V21&gt;=3,IF('3'!H21&lt;='7'!$V21,"shr",'4'!H21),'4'!H21))))</f>
        <v>-</v>
      </c>
      <c r="I21" s="19" t="str">
        <f>IF(ISBLANK('Raw counts'!I22),"",IF('7'!$V21=1,IF('3'!I21='7'!$V21,"sol",'4'!I21),IF('7'!$V21=2,IF('3'!I21&lt;='7'!$V21,"dul",'4'!I21),IF('7'!$V21&gt;=3,IF('3'!I21&lt;='7'!$V21,"shr",'4'!I21),'4'!I21))))</f>
        <v>+</v>
      </c>
      <c r="J21" s="19" t="str">
        <f>IF(ISBLANK('Raw counts'!J22),"",IF('7'!$V21=1,IF('3'!J21='7'!$V21,"sol",'4'!J21),IF('7'!$V21=2,IF('3'!J21&lt;='7'!$V21,"dul",'4'!J21),IF('7'!$V21&gt;=3,IF('3'!J21&lt;='7'!$V21,"shr",'4'!J21),'4'!J21))))</f>
        <v>+</v>
      </c>
      <c r="K21" s="19" t="str">
        <f>IF(ISBLANK('Raw counts'!K22),"",IF('7'!$V21=1,IF('3'!K21='7'!$V21,"sol",'4'!K21),IF('7'!$V21=2,IF('3'!K21&lt;='7'!$V21,"dul",'4'!K21),IF('7'!$V21&gt;=3,IF('3'!K21&lt;='7'!$V21,"shr",'4'!K21),'4'!K21))))</f>
        <v>+</v>
      </c>
      <c r="L21" s="19" t="str">
        <f>IF(ISBLANK('Raw counts'!L22),"",IF('7'!$V21=1,IF('3'!L21='7'!$V21,"sol",'4'!L21),IF('7'!$V21=2,IF('3'!L21&lt;='7'!$V21,"dul",'4'!L21),IF('7'!$V21&gt;=3,IF('3'!L21&lt;='7'!$V21,"shr",'4'!L21),'4'!L21))))</f>
        <v>+</v>
      </c>
      <c r="M21" s="19" t="str">
        <f>IF(ISBLANK('Raw counts'!M22),"",IF('7'!$V21=1,IF('3'!M21='7'!$V21,"sol",'4'!M21),IF('7'!$V21=2,IF('3'!M21&lt;='7'!$V21,"dul",'4'!M21),IF('7'!$V21&gt;=3,IF('3'!M21&lt;='7'!$V21,"shr",'4'!M21),'4'!M21))))</f>
        <v/>
      </c>
      <c r="N21" s="19" t="str">
        <f>IF(ISBLANK('Raw counts'!N22),"",IF('7'!$V21=1,IF('3'!N21='7'!$V21,"sol",'4'!N21),IF('7'!$V21=2,IF('3'!N21&lt;='7'!$V21,"dul",'4'!N21),IF('7'!$V21&gt;=3,IF('3'!N21&lt;='7'!$V21,"shr",'4'!N21),'4'!N21))))</f>
        <v/>
      </c>
      <c r="O21" s="19" t="str">
        <f>IF(ISBLANK('Raw counts'!O22),"",IF('7'!$V21=1,IF('3'!O21='7'!$V21,"sol",'4'!O21),IF('7'!$V21=2,IF('3'!O21&lt;='7'!$V21,"dul",'4'!O21),IF('7'!$V21&gt;=3,IF('3'!O21&lt;='7'!$V21,"shr",'4'!O21),'4'!O21))))</f>
        <v/>
      </c>
      <c r="P21" s="19" t="str">
        <f>IF(ISBLANK('Raw counts'!P22),"",IF('7'!$V21=1,IF('3'!P21='7'!$V21,"sol",'4'!P21),IF('7'!$V21=2,IF('3'!P21&lt;='7'!$V21,"dul",'4'!P21),IF('7'!$V21&gt;=3,IF('3'!P21&lt;='7'!$V21,"shr",'4'!P21),'4'!P21))))</f>
        <v/>
      </c>
      <c r="Q21" s="19" t="str">
        <f>IF(ISBLANK('Raw counts'!Q22),"",IF('7'!$V21=1,IF('3'!Q21='7'!$V21,"sol",'4'!Q21),IF('7'!$V21=2,IF('3'!Q21&lt;='7'!$V21,"dul",'4'!Q21),IF('7'!$V21&gt;=3,IF('3'!Q21&lt;='7'!$V21,"shr",'4'!Q21),'4'!Q21))))</f>
        <v/>
      </c>
      <c r="R21" s="19" t="str">
        <f>IF(ISBLANK('Raw counts'!R22),"",IF('7'!$V21=1,IF('3'!R21='7'!$V21,"sol",'4'!R21),IF('7'!$V21=2,IF('3'!R21&lt;='7'!$V21,"dul",'4'!R21),IF('7'!$V21&gt;=3,IF('3'!R21&lt;='7'!$V21,"shr",'4'!R21),'4'!R21))))</f>
        <v/>
      </c>
      <c r="S21" s="19" t="str">
        <f>IF(ISBLANK('Raw counts'!S22),"",IF('7'!$V21=1,IF('3'!S21='7'!$V21,"sol",'4'!S21),IF('7'!$V21=2,IF('3'!S21&lt;='7'!$V21,"dul",'4'!S21),IF('7'!$V21&gt;=3,IF('3'!S21&lt;='7'!$V21,"shr",'4'!S21),'4'!S21))))</f>
        <v/>
      </c>
      <c r="T21" s="19" t="str">
        <f>IF(ISBLANK('Raw counts'!T22),"",IF('7'!$V21=1,IF('3'!T21='7'!$V21,"sol",'4'!T21),IF('7'!$V21=2,IF('3'!T21&lt;='7'!$V21,"dul",'4'!T21),IF('7'!$V21&gt;=3,IF('3'!T21&lt;='7'!$V21,"shr",'4'!T21),'4'!T21))))</f>
        <v/>
      </c>
      <c r="U21" s="19" t="str">
        <f>IF(ISBLANK('Raw counts'!U22),"",IF('7'!$V21=1,IF('3'!U21='7'!$V21,"sol",'4'!U21),IF('7'!$V21=2,IF('3'!U21&lt;='7'!$V21,"dul",'4'!U21),IF('7'!$V21&gt;=3,IF('3'!U21&lt;='7'!$V21,"shr",'4'!U21),'4'!U21))))</f>
        <v/>
      </c>
      <c r="V21" s="3">
        <f>'7'!V21</f>
        <v>0</v>
      </c>
    </row>
    <row r="22" spans="1:22" ht="25.5" x14ac:dyDescent="0.15">
      <c r="A22" s="18" t="str">
        <f>IF(ISBLANK('Raw counts'!A23),"",'Raw counts'!A23)</f>
        <v/>
      </c>
      <c r="B22" s="19" t="str">
        <f>IF(ISBLANK('Raw counts'!B23),"",IF('7'!$V22=1,IF('3'!B22='7'!$V22,"sol",'4'!B22),IF('7'!$V22=2,IF('3'!B22&lt;='7'!$V22,"dul",'4'!B22),IF('7'!$V22&gt;=3,IF('3'!B22&lt;='7'!$V22,"shr",'4'!B22),'4'!B22))))</f>
        <v/>
      </c>
      <c r="C22" s="19" t="str">
        <f>IF(ISBLANK('Raw counts'!C23),"",IF('7'!$V22=1,IF('3'!C22='7'!$V22,"sol",'4'!C22),IF('7'!$V22=2,IF('3'!C22&lt;='7'!$V22,"dul",'4'!C22),IF('7'!$V22&gt;=3,IF('3'!C22&lt;='7'!$V22,"shr",'4'!C22),'4'!C22))))</f>
        <v/>
      </c>
      <c r="D22" s="19" t="str">
        <f>IF(ISBLANK('Raw counts'!D23),"",IF('7'!$V22=1,IF('3'!D22='7'!$V22,"sol",'4'!D22),IF('7'!$V22=2,IF('3'!D22&lt;='7'!$V22,"dul",'4'!D22),IF('7'!$V22&gt;=3,IF('3'!D22&lt;='7'!$V22,"shr",'4'!D22),'4'!D22))))</f>
        <v/>
      </c>
      <c r="E22" s="19" t="str">
        <f>IF(ISBLANK('Raw counts'!E23),"",IF('7'!$V22=1,IF('3'!E22='7'!$V22,"sol",'4'!E22),IF('7'!$V22=2,IF('3'!E22&lt;='7'!$V22,"dul",'4'!E22),IF('7'!$V22&gt;=3,IF('3'!E22&lt;='7'!$V22,"shr",'4'!E22),'4'!E22))))</f>
        <v/>
      </c>
      <c r="F22" s="19" t="str">
        <f>IF(ISBLANK('Raw counts'!F23),"",IF('7'!$V22=1,IF('3'!F22='7'!$V22,"sol",'4'!F22),IF('7'!$V22=2,IF('3'!F22&lt;='7'!$V22,"dul",'4'!F22),IF('7'!$V22&gt;=3,IF('3'!F22&lt;='7'!$V22,"shr",'4'!F22),'4'!F22))))</f>
        <v/>
      </c>
      <c r="G22" s="19" t="str">
        <f>IF(ISBLANK('Raw counts'!G23),"",IF('7'!$V22=1,IF('3'!G22='7'!$V22,"sol",'4'!G22),IF('7'!$V22=2,IF('3'!G22&lt;='7'!$V22,"dul",'4'!G22),IF('7'!$V22&gt;=3,IF('3'!G22&lt;='7'!$V22,"shr",'4'!G22),'4'!G22))))</f>
        <v/>
      </c>
      <c r="H22" s="19" t="str">
        <f>IF(ISBLANK('Raw counts'!H23),"",IF('7'!$V22=1,IF('3'!H22='7'!$V22,"sol",'4'!H22),IF('7'!$V22=2,IF('3'!H22&lt;='7'!$V22,"dul",'4'!H22),IF('7'!$V22&gt;=3,IF('3'!H22&lt;='7'!$V22,"shr",'4'!H22),'4'!H22))))</f>
        <v/>
      </c>
      <c r="I22" s="19" t="str">
        <f>IF(ISBLANK('Raw counts'!I23),"",IF('7'!$V22=1,IF('3'!I22='7'!$V22,"sol",'4'!I22),IF('7'!$V22=2,IF('3'!I22&lt;='7'!$V22,"dul",'4'!I22),IF('7'!$V22&gt;=3,IF('3'!I22&lt;='7'!$V22,"shr",'4'!I22),'4'!I22))))</f>
        <v/>
      </c>
      <c r="J22" s="19" t="str">
        <f>IF(ISBLANK('Raw counts'!J23),"",IF('7'!$V22=1,IF('3'!J22='7'!$V22,"sol",'4'!J22),IF('7'!$V22=2,IF('3'!J22&lt;='7'!$V22,"dul",'4'!J22),IF('7'!$V22&gt;=3,IF('3'!J22&lt;='7'!$V22,"shr",'4'!J22),'4'!J22))))</f>
        <v/>
      </c>
      <c r="K22" s="19" t="str">
        <f>IF(ISBLANK('Raw counts'!K23),"",IF('7'!$V22=1,IF('3'!K22='7'!$V22,"sol",'4'!K22),IF('7'!$V22=2,IF('3'!K22&lt;='7'!$V22,"dul",'4'!K22),IF('7'!$V22&gt;=3,IF('3'!K22&lt;='7'!$V22,"shr",'4'!K22),'4'!K22))))</f>
        <v/>
      </c>
      <c r="L22" s="19" t="str">
        <f>IF(ISBLANK('Raw counts'!L23),"",IF('7'!$V22=1,IF('3'!L22='7'!$V22,"sol",'4'!L22),IF('7'!$V22=2,IF('3'!L22&lt;='7'!$V22,"dul",'4'!L22),IF('7'!$V22&gt;=3,IF('3'!L22&lt;='7'!$V22,"shr",'4'!L22),'4'!L22))))</f>
        <v/>
      </c>
      <c r="M22" s="19" t="str">
        <f>IF(ISBLANK('Raw counts'!M23),"",IF('7'!$V22=1,IF('3'!M22='7'!$V22,"sol",'4'!M22),IF('7'!$V22=2,IF('3'!M22&lt;='7'!$V22,"dul",'4'!M22),IF('7'!$V22&gt;=3,IF('3'!M22&lt;='7'!$V22,"shr",'4'!M22),'4'!M22))))</f>
        <v/>
      </c>
      <c r="N22" s="19" t="str">
        <f>IF(ISBLANK('Raw counts'!N23),"",IF('7'!$V22=1,IF('3'!N22='7'!$V22,"sol",'4'!N22),IF('7'!$V22=2,IF('3'!N22&lt;='7'!$V22,"dul",'4'!N22),IF('7'!$V22&gt;=3,IF('3'!N22&lt;='7'!$V22,"shr",'4'!N22),'4'!N22))))</f>
        <v/>
      </c>
      <c r="O22" s="19" t="str">
        <f>IF(ISBLANK('Raw counts'!O23),"",IF('7'!$V22=1,IF('3'!O22='7'!$V22,"sol",'4'!O22),IF('7'!$V22=2,IF('3'!O22&lt;='7'!$V22,"dul",'4'!O22),IF('7'!$V22&gt;=3,IF('3'!O22&lt;='7'!$V22,"shr",'4'!O22),'4'!O22))))</f>
        <v/>
      </c>
      <c r="P22" s="19" t="str">
        <f>IF(ISBLANK('Raw counts'!P23),"",IF('7'!$V22=1,IF('3'!P22='7'!$V22,"sol",'4'!P22),IF('7'!$V22=2,IF('3'!P22&lt;='7'!$V22,"dul",'4'!P22),IF('7'!$V22&gt;=3,IF('3'!P22&lt;='7'!$V22,"shr",'4'!P22),'4'!P22))))</f>
        <v/>
      </c>
      <c r="Q22" s="19" t="str">
        <f>IF(ISBLANK('Raw counts'!Q23),"",IF('7'!$V22=1,IF('3'!Q22='7'!$V22,"sol",'4'!Q22),IF('7'!$V22=2,IF('3'!Q22&lt;='7'!$V22,"dul",'4'!Q22),IF('7'!$V22&gt;=3,IF('3'!Q22&lt;='7'!$V22,"shr",'4'!Q22),'4'!Q22))))</f>
        <v/>
      </c>
      <c r="R22" s="19" t="str">
        <f>IF(ISBLANK('Raw counts'!R23),"",IF('7'!$V22=1,IF('3'!R22='7'!$V22,"sol",'4'!R22),IF('7'!$V22=2,IF('3'!R22&lt;='7'!$V22,"dul",'4'!R22),IF('7'!$V22&gt;=3,IF('3'!R22&lt;='7'!$V22,"shr",'4'!R22),'4'!R22))))</f>
        <v/>
      </c>
      <c r="S22" s="19" t="str">
        <f>IF(ISBLANK('Raw counts'!S23),"",IF('7'!$V22=1,IF('3'!S22='7'!$V22,"sol",'4'!S22),IF('7'!$V22=2,IF('3'!S22&lt;='7'!$V22,"dul",'4'!S22),IF('7'!$V22&gt;=3,IF('3'!S22&lt;='7'!$V22,"shr",'4'!S22),'4'!S22))))</f>
        <v/>
      </c>
      <c r="T22" s="19" t="str">
        <f>IF(ISBLANK('Raw counts'!T23),"",IF('7'!$V22=1,IF('3'!T22='7'!$V22,"sol",'4'!T22),IF('7'!$V22=2,IF('3'!T22&lt;='7'!$V22,"dul",'4'!T22),IF('7'!$V22&gt;=3,IF('3'!T22&lt;='7'!$V22,"shr",'4'!T22),'4'!T22))))</f>
        <v/>
      </c>
      <c r="U22" s="19" t="str">
        <f>IF(ISBLANK('Raw counts'!U23),"",IF('7'!$V22=1,IF('3'!U22='7'!$V22,"sol",'4'!U22),IF('7'!$V22=2,IF('3'!U22&lt;='7'!$V22,"dul",'4'!U22),IF('7'!$V22&gt;=3,IF('3'!U22&lt;='7'!$V22,"shr",'4'!U22),'4'!U22))))</f>
        <v/>
      </c>
      <c r="V22" s="3">
        <f>'7'!V22</f>
        <v>0</v>
      </c>
    </row>
    <row r="23" spans="1:22" x14ac:dyDescent="0.15">
      <c r="A23" s="18" t="str">
        <f>IF(ISBLANK('Raw counts'!A24),"",'Raw counts'!A24)</f>
        <v/>
      </c>
      <c r="B23" s="19" t="str">
        <f>IF(ISBLANK('Raw counts'!B24),"",IF('7'!$V23=1,IF('3'!B23='7'!$V23,"sol",'4'!B23),IF('7'!$V23=2,IF('3'!B23&lt;='7'!$V23,"dul",'4'!B23),IF('7'!$V23&gt;=3,IF('3'!B23&lt;='7'!$V23,"shr",'4'!B23),'4'!B23))))</f>
        <v/>
      </c>
      <c r="C23" s="19" t="str">
        <f>IF(ISBLANK('Raw counts'!C24),"",IF('7'!$V23=1,IF('3'!C23='7'!$V23,"sol",'4'!C23),IF('7'!$V23=2,IF('3'!C23&lt;='7'!$V23,"dul",'4'!C23),IF('7'!$V23&gt;=3,IF('3'!C23&lt;='7'!$V23,"shr",'4'!C23),'4'!C23))))</f>
        <v/>
      </c>
      <c r="D23" s="19" t="str">
        <f>IF(ISBLANK('Raw counts'!D24),"",IF('7'!$V23=1,IF('3'!D23='7'!$V23,"sol",'4'!D23),IF('7'!$V23=2,IF('3'!D23&lt;='7'!$V23,"dul",'4'!D23),IF('7'!$V23&gt;=3,IF('3'!D23&lt;='7'!$V23,"shr",'4'!D23),'4'!D23))))</f>
        <v/>
      </c>
      <c r="E23" s="19" t="str">
        <f>IF(ISBLANK('Raw counts'!E24),"",IF('7'!$V23=1,IF('3'!E23='7'!$V23,"sol",'4'!E23),IF('7'!$V23=2,IF('3'!E23&lt;='7'!$V23,"dul",'4'!E23),IF('7'!$V23&gt;=3,IF('3'!E23&lt;='7'!$V23,"shr",'4'!E23),'4'!E23))))</f>
        <v/>
      </c>
      <c r="F23" s="19" t="str">
        <f>IF(ISBLANK('Raw counts'!F24),"",IF('7'!$V23=1,IF('3'!F23='7'!$V23,"sol",'4'!F23),IF('7'!$V23=2,IF('3'!F23&lt;='7'!$V23,"dul",'4'!F23),IF('7'!$V23&gt;=3,IF('3'!F23&lt;='7'!$V23,"shr",'4'!F23),'4'!F23))))</f>
        <v/>
      </c>
      <c r="G23" s="19" t="str">
        <f>IF(ISBLANK('Raw counts'!G24),"",IF('7'!$V23=1,IF('3'!G23='7'!$V23,"sol",'4'!G23),IF('7'!$V23=2,IF('3'!G23&lt;='7'!$V23,"dul",'4'!G23),IF('7'!$V23&gt;=3,IF('3'!G23&lt;='7'!$V23,"shr",'4'!G23),'4'!G23))))</f>
        <v/>
      </c>
      <c r="H23" s="19" t="str">
        <f>IF(ISBLANK('Raw counts'!H24),"",IF('7'!$V23=1,IF('3'!H23='7'!$V23,"sol",'4'!H23),IF('7'!$V23=2,IF('3'!H23&lt;='7'!$V23,"dul",'4'!H23),IF('7'!$V23&gt;=3,IF('3'!H23&lt;='7'!$V23,"shr",'4'!H23),'4'!H23))))</f>
        <v/>
      </c>
      <c r="I23" s="19" t="str">
        <f>IF(ISBLANK('Raw counts'!I24),"",IF('7'!$V23=1,IF('3'!I23='7'!$V23,"sol",'4'!I23),IF('7'!$V23=2,IF('3'!I23&lt;='7'!$V23,"dul",'4'!I23),IF('7'!$V23&gt;=3,IF('3'!I23&lt;='7'!$V23,"shr",'4'!I23),'4'!I23))))</f>
        <v/>
      </c>
      <c r="J23" s="19" t="str">
        <f>IF(ISBLANK('Raw counts'!J24),"",IF('7'!$V23=1,IF('3'!J23='7'!$V23,"sol",'4'!J23),IF('7'!$V23=2,IF('3'!J23&lt;='7'!$V23,"dul",'4'!J23),IF('7'!$V23&gt;=3,IF('3'!J23&lt;='7'!$V23,"shr",'4'!J23),'4'!J23))))</f>
        <v/>
      </c>
      <c r="K23" s="19" t="str">
        <f>IF(ISBLANK('Raw counts'!K24),"",IF('7'!$V23=1,IF('3'!K23='7'!$V23,"sol",'4'!K23),IF('7'!$V23=2,IF('3'!K23&lt;='7'!$V23,"dul",'4'!K23),IF('7'!$V23&gt;=3,IF('3'!K23&lt;='7'!$V23,"shr",'4'!K23),'4'!K23))))</f>
        <v/>
      </c>
      <c r="L23" s="19" t="str">
        <f>IF(ISBLANK('Raw counts'!L24),"",IF('7'!$V23=1,IF('3'!L23='7'!$V23,"sol",'4'!L23),IF('7'!$V23=2,IF('3'!L23&lt;='7'!$V23,"dul",'4'!L23),IF('7'!$V23&gt;=3,IF('3'!L23&lt;='7'!$V23,"shr",'4'!L23),'4'!L23))))</f>
        <v/>
      </c>
      <c r="M23" s="19" t="str">
        <f>IF(ISBLANK('Raw counts'!M24),"",IF('7'!$V23=1,IF('3'!M23='7'!$V23,"sol",'4'!M23),IF('7'!$V23=2,IF('3'!M23&lt;='7'!$V23,"dul",'4'!M23),IF('7'!$V23&gt;=3,IF('3'!M23&lt;='7'!$V23,"shr",'4'!M23),'4'!M23))))</f>
        <v/>
      </c>
      <c r="N23" s="19" t="str">
        <f>IF(ISBLANK('Raw counts'!N24),"",IF('7'!$V23=1,IF('3'!N23='7'!$V23,"sol",'4'!N23),IF('7'!$V23=2,IF('3'!N23&lt;='7'!$V23,"dul",'4'!N23),IF('7'!$V23&gt;=3,IF('3'!N23&lt;='7'!$V23,"shr",'4'!N23),'4'!N23))))</f>
        <v/>
      </c>
      <c r="O23" s="19" t="str">
        <f>IF(ISBLANK('Raw counts'!O24),"",IF('7'!$V23=1,IF('3'!O23='7'!$V23,"sol",'4'!O23),IF('7'!$V23=2,IF('3'!O23&lt;='7'!$V23,"dul",'4'!O23),IF('7'!$V23&gt;=3,IF('3'!O23&lt;='7'!$V23,"shr",'4'!O23),'4'!O23))))</f>
        <v/>
      </c>
      <c r="P23" s="19" t="str">
        <f>IF(ISBLANK('Raw counts'!P24),"",IF('7'!$V23=1,IF('3'!P23='7'!$V23,"sol",'4'!P23),IF('7'!$V23=2,IF('3'!P23&lt;='7'!$V23,"dul",'4'!P23),IF('7'!$V23&gt;=3,IF('3'!P23&lt;='7'!$V23,"shr",'4'!P23),'4'!P23))))</f>
        <v/>
      </c>
      <c r="Q23" s="19" t="str">
        <f>IF(ISBLANK('Raw counts'!Q24),"",IF('7'!$V23=1,IF('3'!Q23='7'!$V23,"sol",'4'!Q23),IF('7'!$V23=2,IF('3'!Q23&lt;='7'!$V23,"dul",'4'!Q23),IF('7'!$V23&gt;=3,IF('3'!Q23&lt;='7'!$V23,"shr",'4'!Q23),'4'!Q23))))</f>
        <v/>
      </c>
      <c r="R23" s="19" t="str">
        <f>IF(ISBLANK('Raw counts'!R24),"",IF('7'!$V23=1,IF('3'!R23='7'!$V23,"sol",'4'!R23),IF('7'!$V23=2,IF('3'!R23&lt;='7'!$V23,"dul",'4'!R23),IF('7'!$V23&gt;=3,IF('3'!R23&lt;='7'!$V23,"shr",'4'!R23),'4'!R23))))</f>
        <v/>
      </c>
      <c r="S23" s="19" t="str">
        <f>IF(ISBLANK('Raw counts'!S24),"",IF('7'!$V23=1,IF('3'!S23='7'!$V23,"sol",'4'!S23),IF('7'!$V23=2,IF('3'!S23&lt;='7'!$V23,"dul",'4'!S23),IF('7'!$V23&gt;=3,IF('3'!S23&lt;='7'!$V23,"shr",'4'!S23),'4'!S23))))</f>
        <v/>
      </c>
      <c r="T23" s="19" t="str">
        <f>IF(ISBLANK('Raw counts'!T24),"",IF('7'!$V23=1,IF('3'!T23='7'!$V23,"sol",'4'!T23),IF('7'!$V23=2,IF('3'!T23&lt;='7'!$V23,"dul",'4'!T23),IF('7'!$V23&gt;=3,IF('3'!T23&lt;='7'!$V23,"shr",'4'!T23),'4'!T23))))</f>
        <v/>
      </c>
      <c r="U23" s="19" t="str">
        <f>IF(ISBLANK('Raw counts'!U24),"",IF('7'!$V23=1,IF('3'!U23='7'!$V23,"sol",'4'!U23),IF('7'!$V23=2,IF('3'!U23&lt;='7'!$V23,"dul",'4'!U23),IF('7'!$V23&gt;=3,IF('3'!U23&lt;='7'!$V23,"shr",'4'!U23),'4'!U23))))</f>
        <v/>
      </c>
      <c r="V23" s="3">
        <f>'7'!V23</f>
        <v>0</v>
      </c>
    </row>
    <row r="24" spans="1:22" x14ac:dyDescent="0.15">
      <c r="A24" s="18" t="str">
        <f>IF(ISBLANK('Raw counts'!A25),"",'Raw counts'!A25)</f>
        <v/>
      </c>
      <c r="B24" s="19" t="str">
        <f>IF(ISBLANK('Raw counts'!B25),"",IF('7'!$V24=1,IF('3'!B24='7'!$V24,"sol",'4'!B24),IF('7'!$V24=2,IF('3'!B24&lt;='7'!$V24,"dul",'4'!B24),IF('7'!$V24&gt;=3,IF('3'!B24&lt;='7'!$V24,"shr",'4'!B24),'4'!B24))))</f>
        <v/>
      </c>
      <c r="C24" s="19" t="str">
        <f>IF(ISBLANK('Raw counts'!C25),"",IF('7'!$V24=1,IF('3'!C24='7'!$V24,"sol",'4'!C24),IF('7'!$V24=2,IF('3'!C24&lt;='7'!$V24,"dul",'4'!C24),IF('7'!$V24&gt;=3,IF('3'!C24&lt;='7'!$V24,"shr",'4'!C24),'4'!C24))))</f>
        <v/>
      </c>
      <c r="D24" s="19" t="str">
        <f>IF(ISBLANK('Raw counts'!D25),"",IF('7'!$V24=1,IF('3'!D24='7'!$V24,"sol",'4'!D24),IF('7'!$V24=2,IF('3'!D24&lt;='7'!$V24,"dul",'4'!D24),IF('7'!$V24&gt;=3,IF('3'!D24&lt;='7'!$V24,"shr",'4'!D24),'4'!D24))))</f>
        <v/>
      </c>
      <c r="E24" s="19" t="str">
        <f>IF(ISBLANK('Raw counts'!E25),"",IF('7'!$V24=1,IF('3'!E24='7'!$V24,"sol",'4'!E24),IF('7'!$V24=2,IF('3'!E24&lt;='7'!$V24,"dul",'4'!E24),IF('7'!$V24&gt;=3,IF('3'!E24&lt;='7'!$V24,"shr",'4'!E24),'4'!E24))))</f>
        <v/>
      </c>
      <c r="F24" s="19" t="str">
        <f>IF(ISBLANK('Raw counts'!F25),"",IF('7'!$V24=1,IF('3'!F24='7'!$V24,"sol",'4'!F24),IF('7'!$V24=2,IF('3'!F24&lt;='7'!$V24,"dul",'4'!F24),IF('7'!$V24&gt;=3,IF('3'!F24&lt;='7'!$V24,"shr",'4'!F24),'4'!F24))))</f>
        <v/>
      </c>
      <c r="G24" s="19" t="str">
        <f>IF(ISBLANK('Raw counts'!G25),"",IF('7'!$V24=1,IF('3'!G24='7'!$V24,"sol",'4'!G24),IF('7'!$V24=2,IF('3'!G24&lt;='7'!$V24,"dul",'4'!G24),IF('7'!$V24&gt;=3,IF('3'!G24&lt;='7'!$V24,"shr",'4'!G24),'4'!G24))))</f>
        <v/>
      </c>
      <c r="H24" s="19" t="str">
        <f>IF(ISBLANK('Raw counts'!H25),"",IF('7'!$V24=1,IF('3'!H24='7'!$V24,"sol",'4'!H24),IF('7'!$V24=2,IF('3'!H24&lt;='7'!$V24,"dul",'4'!H24),IF('7'!$V24&gt;=3,IF('3'!H24&lt;='7'!$V24,"shr",'4'!H24),'4'!H24))))</f>
        <v/>
      </c>
      <c r="I24" s="19" t="str">
        <f>IF(ISBLANK('Raw counts'!I25),"",IF('7'!$V24=1,IF('3'!I24='7'!$V24,"sol",'4'!I24),IF('7'!$V24=2,IF('3'!I24&lt;='7'!$V24,"dul",'4'!I24),IF('7'!$V24&gt;=3,IF('3'!I24&lt;='7'!$V24,"shr",'4'!I24),'4'!I24))))</f>
        <v/>
      </c>
      <c r="J24" s="19" t="str">
        <f>IF(ISBLANK('Raw counts'!J25),"",IF('7'!$V24=1,IF('3'!J24='7'!$V24,"sol",'4'!J24),IF('7'!$V24=2,IF('3'!J24&lt;='7'!$V24,"dul",'4'!J24),IF('7'!$V24&gt;=3,IF('3'!J24&lt;='7'!$V24,"shr",'4'!J24),'4'!J24))))</f>
        <v/>
      </c>
      <c r="K24" s="19" t="str">
        <f>IF(ISBLANK('Raw counts'!K25),"",IF('7'!$V24=1,IF('3'!K24='7'!$V24,"sol",'4'!K24),IF('7'!$V24=2,IF('3'!K24&lt;='7'!$V24,"dul",'4'!K24),IF('7'!$V24&gt;=3,IF('3'!K24&lt;='7'!$V24,"shr",'4'!K24),'4'!K24))))</f>
        <v/>
      </c>
      <c r="L24" s="19" t="str">
        <f>IF(ISBLANK('Raw counts'!L25),"",IF('7'!$V24=1,IF('3'!L24='7'!$V24,"sol",'4'!L24),IF('7'!$V24=2,IF('3'!L24&lt;='7'!$V24,"dul",'4'!L24),IF('7'!$V24&gt;=3,IF('3'!L24&lt;='7'!$V24,"shr",'4'!L24),'4'!L24))))</f>
        <v/>
      </c>
      <c r="M24" s="19" t="str">
        <f>IF(ISBLANK('Raw counts'!M25),"",IF('7'!$V24=1,IF('3'!M24='7'!$V24,"sol",'4'!M24),IF('7'!$V24=2,IF('3'!M24&lt;='7'!$V24,"dul",'4'!M24),IF('7'!$V24&gt;=3,IF('3'!M24&lt;='7'!$V24,"shr",'4'!M24),'4'!M24))))</f>
        <v/>
      </c>
      <c r="N24" s="19" t="str">
        <f>IF(ISBLANK('Raw counts'!N25),"",IF('7'!$V24=1,IF('3'!N24='7'!$V24,"sol",'4'!N24),IF('7'!$V24=2,IF('3'!N24&lt;='7'!$V24,"dul",'4'!N24),IF('7'!$V24&gt;=3,IF('3'!N24&lt;='7'!$V24,"shr",'4'!N24),'4'!N24))))</f>
        <v/>
      </c>
      <c r="O24" s="19" t="str">
        <f>IF(ISBLANK('Raw counts'!O25),"",IF('7'!$V24=1,IF('3'!O24='7'!$V24,"sol",'4'!O24),IF('7'!$V24=2,IF('3'!O24&lt;='7'!$V24,"dul",'4'!O24),IF('7'!$V24&gt;=3,IF('3'!O24&lt;='7'!$V24,"shr",'4'!O24),'4'!O24))))</f>
        <v/>
      </c>
      <c r="P24" s="19" t="str">
        <f>IF(ISBLANK('Raw counts'!P25),"",IF('7'!$V24=1,IF('3'!P24='7'!$V24,"sol",'4'!P24),IF('7'!$V24=2,IF('3'!P24&lt;='7'!$V24,"dul",'4'!P24),IF('7'!$V24&gt;=3,IF('3'!P24&lt;='7'!$V24,"shr",'4'!P24),'4'!P24))))</f>
        <v/>
      </c>
      <c r="Q24" s="19" t="str">
        <f>IF(ISBLANK('Raw counts'!Q25),"",IF('7'!$V24=1,IF('3'!Q24='7'!$V24,"sol",'4'!Q24),IF('7'!$V24=2,IF('3'!Q24&lt;='7'!$V24,"dul",'4'!Q24),IF('7'!$V24&gt;=3,IF('3'!Q24&lt;='7'!$V24,"shr",'4'!Q24),'4'!Q24))))</f>
        <v/>
      </c>
      <c r="R24" s="19" t="str">
        <f>IF(ISBLANK('Raw counts'!R25),"",IF('7'!$V24=1,IF('3'!R24='7'!$V24,"sol",'4'!R24),IF('7'!$V24=2,IF('3'!R24&lt;='7'!$V24,"dul",'4'!R24),IF('7'!$V24&gt;=3,IF('3'!R24&lt;='7'!$V24,"shr",'4'!R24),'4'!R24))))</f>
        <v/>
      </c>
      <c r="S24" s="19" t="str">
        <f>IF(ISBLANK('Raw counts'!S25),"",IF('7'!$V24=1,IF('3'!S24='7'!$V24,"sol",'4'!S24),IF('7'!$V24=2,IF('3'!S24&lt;='7'!$V24,"dul",'4'!S24),IF('7'!$V24&gt;=3,IF('3'!S24&lt;='7'!$V24,"shr",'4'!S24),'4'!S24))))</f>
        <v/>
      </c>
      <c r="T24" s="19" t="str">
        <f>IF(ISBLANK('Raw counts'!T25),"",IF('7'!$V24=1,IF('3'!T24='7'!$V24,"sol",'4'!T24),IF('7'!$V24=2,IF('3'!T24&lt;='7'!$V24,"dul",'4'!T24),IF('7'!$V24&gt;=3,IF('3'!T24&lt;='7'!$V24,"shr",'4'!T24),'4'!T24))))</f>
        <v/>
      </c>
      <c r="U24" s="19" t="str">
        <f>IF(ISBLANK('Raw counts'!U25),"",IF('7'!$V24=1,IF('3'!U24='7'!$V24,"sol",'4'!U24),IF('7'!$V24=2,IF('3'!U24&lt;='7'!$V24,"dul",'4'!U24),IF('7'!$V24&gt;=3,IF('3'!U24&lt;='7'!$V24,"shr",'4'!U24),'4'!U24))))</f>
        <v/>
      </c>
      <c r="V24" s="3">
        <f>'7'!V24</f>
        <v>0</v>
      </c>
    </row>
    <row r="25" spans="1:22" x14ac:dyDescent="0.15">
      <c r="A25" s="18" t="str">
        <f>IF(ISBLANK('Raw counts'!A26),"",'Raw counts'!A26)</f>
        <v/>
      </c>
      <c r="B25" s="19" t="str">
        <f>IF(ISBLANK('Raw counts'!B26),"",IF('7'!$V25=1,IF('3'!B25='7'!$V25,"sol",'4'!B25),IF('7'!$V25=2,IF('3'!B25&lt;='7'!$V25,"dul",'4'!B25),IF('7'!$V25&gt;=3,IF('3'!B25&lt;='7'!$V25,"shr",'4'!B25),'4'!B25))))</f>
        <v/>
      </c>
      <c r="C25" s="19" t="str">
        <f>IF(ISBLANK('Raw counts'!C26),"",IF('7'!$V25=1,IF('3'!C25='7'!$V25,"sol",'4'!C25),IF('7'!$V25=2,IF('3'!C25&lt;='7'!$V25,"dul",'4'!C25),IF('7'!$V25&gt;=3,IF('3'!C25&lt;='7'!$V25,"shr",'4'!C25),'4'!C25))))</f>
        <v/>
      </c>
      <c r="D25" s="19" t="str">
        <f>IF(ISBLANK('Raw counts'!D26),"",IF('7'!$V25=1,IF('3'!D25='7'!$V25,"sol",'4'!D25),IF('7'!$V25=2,IF('3'!D25&lt;='7'!$V25,"dul",'4'!D25),IF('7'!$V25&gt;=3,IF('3'!D25&lt;='7'!$V25,"shr",'4'!D25),'4'!D25))))</f>
        <v/>
      </c>
      <c r="E25" s="19" t="str">
        <f>IF(ISBLANK('Raw counts'!E26),"",IF('7'!$V25=1,IF('3'!E25='7'!$V25,"sol",'4'!E25),IF('7'!$V25=2,IF('3'!E25&lt;='7'!$V25,"dul",'4'!E25),IF('7'!$V25&gt;=3,IF('3'!E25&lt;='7'!$V25,"shr",'4'!E25),'4'!E25))))</f>
        <v/>
      </c>
      <c r="F25" s="19" t="str">
        <f>IF(ISBLANK('Raw counts'!F26),"",IF('7'!$V25=1,IF('3'!F25='7'!$V25,"sol",'4'!F25),IF('7'!$V25=2,IF('3'!F25&lt;='7'!$V25,"dul",'4'!F25),IF('7'!$V25&gt;=3,IF('3'!F25&lt;='7'!$V25,"shr",'4'!F25),'4'!F25))))</f>
        <v/>
      </c>
      <c r="G25" s="19" t="str">
        <f>IF(ISBLANK('Raw counts'!G26),"",IF('7'!$V25=1,IF('3'!G25='7'!$V25,"sol",'4'!G25),IF('7'!$V25=2,IF('3'!G25&lt;='7'!$V25,"dul",'4'!G25),IF('7'!$V25&gt;=3,IF('3'!G25&lt;='7'!$V25,"shr",'4'!G25),'4'!G25))))</f>
        <v/>
      </c>
      <c r="H25" s="19" t="str">
        <f>IF(ISBLANK('Raw counts'!H26),"",IF('7'!$V25=1,IF('3'!H25='7'!$V25,"sol",'4'!H25),IF('7'!$V25=2,IF('3'!H25&lt;='7'!$V25,"dul",'4'!H25),IF('7'!$V25&gt;=3,IF('3'!H25&lt;='7'!$V25,"shr",'4'!H25),'4'!H25))))</f>
        <v/>
      </c>
      <c r="I25" s="19" t="str">
        <f>IF(ISBLANK('Raw counts'!I26),"",IF('7'!$V25=1,IF('3'!I25='7'!$V25,"sol",'4'!I25),IF('7'!$V25=2,IF('3'!I25&lt;='7'!$V25,"dul",'4'!I25),IF('7'!$V25&gt;=3,IF('3'!I25&lt;='7'!$V25,"shr",'4'!I25),'4'!I25))))</f>
        <v/>
      </c>
      <c r="J25" s="19" t="str">
        <f>IF(ISBLANK('Raw counts'!J26),"",IF('7'!$V25=1,IF('3'!J25='7'!$V25,"sol",'4'!J25),IF('7'!$V25=2,IF('3'!J25&lt;='7'!$V25,"dul",'4'!J25),IF('7'!$V25&gt;=3,IF('3'!J25&lt;='7'!$V25,"shr",'4'!J25),'4'!J25))))</f>
        <v/>
      </c>
      <c r="K25" s="19" t="str">
        <f>IF(ISBLANK('Raw counts'!K26),"",IF('7'!$V25=1,IF('3'!K25='7'!$V25,"sol",'4'!K25),IF('7'!$V25=2,IF('3'!K25&lt;='7'!$V25,"dul",'4'!K25),IF('7'!$V25&gt;=3,IF('3'!K25&lt;='7'!$V25,"shr",'4'!K25),'4'!K25))))</f>
        <v/>
      </c>
      <c r="L25" s="19" t="str">
        <f>IF(ISBLANK('Raw counts'!L26),"",IF('7'!$V25=1,IF('3'!L25='7'!$V25,"sol",'4'!L25),IF('7'!$V25=2,IF('3'!L25&lt;='7'!$V25,"dul",'4'!L25),IF('7'!$V25&gt;=3,IF('3'!L25&lt;='7'!$V25,"shr",'4'!L25),'4'!L25))))</f>
        <v/>
      </c>
      <c r="M25" s="19" t="str">
        <f>IF(ISBLANK('Raw counts'!M26),"",IF('7'!$V25=1,IF('3'!M25='7'!$V25,"sol",'4'!M25),IF('7'!$V25=2,IF('3'!M25&lt;='7'!$V25,"dul",'4'!M25),IF('7'!$V25&gt;=3,IF('3'!M25&lt;='7'!$V25,"shr",'4'!M25),'4'!M25))))</f>
        <v/>
      </c>
      <c r="N25" s="19" t="str">
        <f>IF(ISBLANK('Raw counts'!N26),"",IF('7'!$V25=1,IF('3'!N25='7'!$V25,"sol",'4'!N25),IF('7'!$V25=2,IF('3'!N25&lt;='7'!$V25,"dul",'4'!N25),IF('7'!$V25&gt;=3,IF('3'!N25&lt;='7'!$V25,"shr",'4'!N25),'4'!N25))))</f>
        <v/>
      </c>
      <c r="O25" s="19" t="str">
        <f>IF(ISBLANK('Raw counts'!O26),"",IF('7'!$V25=1,IF('3'!O25='7'!$V25,"sol",'4'!O25),IF('7'!$V25=2,IF('3'!O25&lt;='7'!$V25,"dul",'4'!O25),IF('7'!$V25&gt;=3,IF('3'!O25&lt;='7'!$V25,"shr",'4'!O25),'4'!O25))))</f>
        <v/>
      </c>
      <c r="P25" s="19" t="str">
        <f>IF(ISBLANK('Raw counts'!P26),"",IF('7'!$V25=1,IF('3'!P25='7'!$V25,"sol",'4'!P25),IF('7'!$V25=2,IF('3'!P25&lt;='7'!$V25,"dul",'4'!P25),IF('7'!$V25&gt;=3,IF('3'!P25&lt;='7'!$V25,"shr",'4'!P25),'4'!P25))))</f>
        <v/>
      </c>
      <c r="Q25" s="19" t="str">
        <f>IF(ISBLANK('Raw counts'!Q26),"",IF('7'!$V25=1,IF('3'!Q25='7'!$V25,"sol",'4'!Q25),IF('7'!$V25=2,IF('3'!Q25&lt;='7'!$V25,"dul",'4'!Q25),IF('7'!$V25&gt;=3,IF('3'!Q25&lt;='7'!$V25,"shr",'4'!Q25),'4'!Q25))))</f>
        <v/>
      </c>
      <c r="R25" s="19" t="str">
        <f>IF(ISBLANK('Raw counts'!R26),"",IF('7'!$V25=1,IF('3'!R25='7'!$V25,"sol",'4'!R25),IF('7'!$V25=2,IF('3'!R25&lt;='7'!$V25,"dul",'4'!R25),IF('7'!$V25&gt;=3,IF('3'!R25&lt;='7'!$V25,"shr",'4'!R25),'4'!R25))))</f>
        <v/>
      </c>
      <c r="S25" s="19" t="str">
        <f>IF(ISBLANK('Raw counts'!S26),"",IF('7'!$V25=1,IF('3'!S25='7'!$V25,"sol",'4'!S25),IF('7'!$V25=2,IF('3'!S25&lt;='7'!$V25,"dul",'4'!S25),IF('7'!$V25&gt;=3,IF('3'!S25&lt;='7'!$V25,"shr",'4'!S25),'4'!S25))))</f>
        <v/>
      </c>
      <c r="T25" s="19" t="str">
        <f>IF(ISBLANK('Raw counts'!T26),"",IF('7'!$V25=1,IF('3'!T25='7'!$V25,"sol",'4'!T25),IF('7'!$V25=2,IF('3'!T25&lt;='7'!$V25,"dul",'4'!T25),IF('7'!$V25&gt;=3,IF('3'!T25&lt;='7'!$V25,"shr",'4'!T25),'4'!T25))))</f>
        <v/>
      </c>
      <c r="U25" s="19" t="str">
        <f>IF(ISBLANK('Raw counts'!U26),"",IF('7'!$V25=1,IF('3'!U25='7'!$V25,"sol",'4'!U25),IF('7'!$V25=2,IF('3'!U25&lt;='7'!$V25,"dul",'4'!U25),IF('7'!$V25&gt;=3,IF('3'!U25&lt;='7'!$V25,"shr",'4'!U25),'4'!U25))))</f>
        <v/>
      </c>
      <c r="V25" s="3">
        <f>'7'!V25</f>
        <v>0</v>
      </c>
    </row>
    <row r="26" spans="1:22" x14ac:dyDescent="0.15">
      <c r="A26" s="18" t="str">
        <f>IF(ISBLANK('Raw counts'!A27),"",'Raw counts'!A27)</f>
        <v/>
      </c>
      <c r="B26" s="19" t="str">
        <f>IF(ISBLANK('Raw counts'!B27),"",IF('7'!$V26=1,IF('3'!B26='7'!$V26,"sol",'4'!B26),IF('7'!$V26=2,IF('3'!B26&lt;='7'!$V26,"dul",'4'!B26),IF('7'!$V26&gt;=3,IF('3'!B26&lt;='7'!$V26,"shr",'4'!B26),'4'!B26))))</f>
        <v/>
      </c>
      <c r="C26" s="19" t="str">
        <f>IF(ISBLANK('Raw counts'!C27),"",IF('7'!$V26=1,IF('3'!C26='7'!$V26,"sol",'4'!C26),IF('7'!$V26=2,IF('3'!C26&lt;='7'!$V26,"dul",'4'!C26),IF('7'!$V26&gt;=3,IF('3'!C26&lt;='7'!$V26,"shr",'4'!C26),'4'!C26))))</f>
        <v/>
      </c>
      <c r="D26" s="19" t="str">
        <f>IF(ISBLANK('Raw counts'!D27),"",IF('7'!$V26=1,IF('3'!D26='7'!$V26,"sol",'4'!D26),IF('7'!$V26=2,IF('3'!D26&lt;='7'!$V26,"dul",'4'!D26),IF('7'!$V26&gt;=3,IF('3'!D26&lt;='7'!$V26,"shr",'4'!D26),'4'!D26))))</f>
        <v/>
      </c>
      <c r="E26" s="19" t="str">
        <f>IF(ISBLANK('Raw counts'!E27),"",IF('7'!$V26=1,IF('3'!E26='7'!$V26,"sol",'4'!E26),IF('7'!$V26=2,IF('3'!E26&lt;='7'!$V26,"dul",'4'!E26),IF('7'!$V26&gt;=3,IF('3'!E26&lt;='7'!$V26,"shr",'4'!E26),'4'!E26))))</f>
        <v/>
      </c>
      <c r="F26" s="19" t="str">
        <f>IF(ISBLANK('Raw counts'!F27),"",IF('7'!$V26=1,IF('3'!F26='7'!$V26,"sol",'4'!F26),IF('7'!$V26=2,IF('3'!F26&lt;='7'!$V26,"dul",'4'!F26),IF('7'!$V26&gt;=3,IF('3'!F26&lt;='7'!$V26,"shr",'4'!F26),'4'!F26))))</f>
        <v/>
      </c>
      <c r="G26" s="19" t="str">
        <f>IF(ISBLANK('Raw counts'!G27),"",IF('7'!$V26=1,IF('3'!G26='7'!$V26,"sol",'4'!G26),IF('7'!$V26=2,IF('3'!G26&lt;='7'!$V26,"dul",'4'!G26),IF('7'!$V26&gt;=3,IF('3'!G26&lt;='7'!$V26,"shr",'4'!G26),'4'!G26))))</f>
        <v/>
      </c>
      <c r="H26" s="19" t="str">
        <f>IF(ISBLANK('Raw counts'!H27),"",IF('7'!$V26=1,IF('3'!H26='7'!$V26,"sol",'4'!H26),IF('7'!$V26=2,IF('3'!H26&lt;='7'!$V26,"dul",'4'!H26),IF('7'!$V26&gt;=3,IF('3'!H26&lt;='7'!$V26,"shr",'4'!H26),'4'!H26))))</f>
        <v/>
      </c>
      <c r="I26" s="19" t="str">
        <f>IF(ISBLANK('Raw counts'!I27),"",IF('7'!$V26=1,IF('3'!I26='7'!$V26,"sol",'4'!I26),IF('7'!$V26=2,IF('3'!I26&lt;='7'!$V26,"dul",'4'!I26),IF('7'!$V26&gt;=3,IF('3'!I26&lt;='7'!$V26,"shr",'4'!I26),'4'!I26))))</f>
        <v/>
      </c>
      <c r="J26" s="19" t="str">
        <f>IF(ISBLANK('Raw counts'!J27),"",IF('7'!$V26=1,IF('3'!J26='7'!$V26,"sol",'4'!J26),IF('7'!$V26=2,IF('3'!J26&lt;='7'!$V26,"dul",'4'!J26),IF('7'!$V26&gt;=3,IF('3'!J26&lt;='7'!$V26,"shr",'4'!J26),'4'!J26))))</f>
        <v/>
      </c>
      <c r="K26" s="19" t="str">
        <f>IF(ISBLANK('Raw counts'!K27),"",IF('7'!$V26=1,IF('3'!K26='7'!$V26,"sol",'4'!K26),IF('7'!$V26=2,IF('3'!K26&lt;='7'!$V26,"dul",'4'!K26),IF('7'!$V26&gt;=3,IF('3'!K26&lt;='7'!$V26,"shr",'4'!K26),'4'!K26))))</f>
        <v/>
      </c>
      <c r="L26" s="19" t="str">
        <f>IF(ISBLANK('Raw counts'!L27),"",IF('7'!$V26=1,IF('3'!L26='7'!$V26,"sol",'4'!L26),IF('7'!$V26=2,IF('3'!L26&lt;='7'!$V26,"dul",'4'!L26),IF('7'!$V26&gt;=3,IF('3'!L26&lt;='7'!$V26,"shr",'4'!L26),'4'!L26))))</f>
        <v/>
      </c>
      <c r="M26" s="19" t="str">
        <f>IF(ISBLANK('Raw counts'!M27),"",IF('7'!$V26=1,IF('3'!M26='7'!$V26,"sol",'4'!M26),IF('7'!$V26=2,IF('3'!M26&lt;='7'!$V26,"dul",'4'!M26),IF('7'!$V26&gt;=3,IF('3'!M26&lt;='7'!$V26,"shr",'4'!M26),'4'!M26))))</f>
        <v/>
      </c>
      <c r="N26" s="19" t="str">
        <f>IF(ISBLANK('Raw counts'!N27),"",IF('7'!$V26=1,IF('3'!N26='7'!$V26,"sol",'4'!N26),IF('7'!$V26=2,IF('3'!N26&lt;='7'!$V26,"dul",'4'!N26),IF('7'!$V26&gt;=3,IF('3'!N26&lt;='7'!$V26,"shr",'4'!N26),'4'!N26))))</f>
        <v/>
      </c>
      <c r="O26" s="19" t="str">
        <f>IF(ISBLANK('Raw counts'!O27),"",IF('7'!$V26=1,IF('3'!O26='7'!$V26,"sol",'4'!O26),IF('7'!$V26=2,IF('3'!O26&lt;='7'!$V26,"dul",'4'!O26),IF('7'!$V26&gt;=3,IF('3'!O26&lt;='7'!$V26,"shr",'4'!O26),'4'!O26))))</f>
        <v/>
      </c>
      <c r="P26" s="19" t="str">
        <f>IF(ISBLANK('Raw counts'!P27),"",IF('7'!$V26=1,IF('3'!P26='7'!$V26,"sol",'4'!P26),IF('7'!$V26=2,IF('3'!P26&lt;='7'!$V26,"dul",'4'!P26),IF('7'!$V26&gt;=3,IF('3'!P26&lt;='7'!$V26,"shr",'4'!P26),'4'!P26))))</f>
        <v/>
      </c>
      <c r="Q26" s="19" t="str">
        <f>IF(ISBLANK('Raw counts'!Q27),"",IF('7'!$V26=1,IF('3'!Q26='7'!$V26,"sol",'4'!Q26),IF('7'!$V26=2,IF('3'!Q26&lt;='7'!$V26,"dul",'4'!Q26),IF('7'!$V26&gt;=3,IF('3'!Q26&lt;='7'!$V26,"shr",'4'!Q26),'4'!Q26))))</f>
        <v/>
      </c>
      <c r="R26" s="19" t="str">
        <f>IF(ISBLANK('Raw counts'!R27),"",IF('7'!$V26=1,IF('3'!R26='7'!$V26,"sol",'4'!R26),IF('7'!$V26=2,IF('3'!R26&lt;='7'!$V26,"dul",'4'!R26),IF('7'!$V26&gt;=3,IF('3'!R26&lt;='7'!$V26,"shr",'4'!R26),'4'!R26))))</f>
        <v/>
      </c>
      <c r="S26" s="19" t="str">
        <f>IF(ISBLANK('Raw counts'!S27),"",IF('7'!$V26=1,IF('3'!S26='7'!$V26,"sol",'4'!S26),IF('7'!$V26=2,IF('3'!S26&lt;='7'!$V26,"dul",'4'!S26),IF('7'!$V26&gt;=3,IF('3'!S26&lt;='7'!$V26,"shr",'4'!S26),'4'!S26))))</f>
        <v/>
      </c>
      <c r="T26" s="19" t="str">
        <f>IF(ISBLANK('Raw counts'!T27),"",IF('7'!$V26=1,IF('3'!T26='7'!$V26,"sol",'4'!T26),IF('7'!$V26=2,IF('3'!T26&lt;='7'!$V26,"dul",'4'!T26),IF('7'!$V26&gt;=3,IF('3'!T26&lt;='7'!$V26,"shr",'4'!T26),'4'!T26))))</f>
        <v/>
      </c>
      <c r="U26" s="19" t="str">
        <f>IF(ISBLANK('Raw counts'!U27),"",IF('7'!$V26=1,IF('3'!U26='7'!$V26,"sol",'4'!U26),IF('7'!$V26=2,IF('3'!U26&lt;='7'!$V26,"dul",'4'!U26),IF('7'!$V26&gt;=3,IF('3'!U26&lt;='7'!$V26,"shr",'4'!U26),'4'!U26))))</f>
        <v/>
      </c>
      <c r="V26" s="3">
        <f>'7'!V26</f>
        <v>0</v>
      </c>
    </row>
    <row r="27" spans="1:22" x14ac:dyDescent="0.15">
      <c r="A27" s="18" t="str">
        <f>IF(ISBLANK('Raw counts'!A28),"",'Raw counts'!A28)</f>
        <v>Attr24</v>
      </c>
      <c r="B27" s="19" t="str">
        <f>IF(ISBLANK('Raw counts'!B28),"",IF('7'!$V27=1,IF('3'!B27='7'!$V27,"sol",'4'!B27),IF('7'!$V27=2,IF('3'!B27&lt;='7'!$V27,"dul",'4'!B27),IF('7'!$V27&gt;=3,IF('3'!B27&lt;='7'!$V27,"shr",'4'!B27),'4'!B27))))</f>
        <v/>
      </c>
      <c r="C27" s="19" t="str">
        <f>IF(ISBLANK('Raw counts'!C28),"",IF('7'!$V27=1,IF('3'!C27='7'!$V27,"sol",'4'!C27),IF('7'!$V27=2,IF('3'!C27&lt;='7'!$V27,"dul",'4'!C27),IF('7'!$V27&gt;=3,IF('3'!C27&lt;='7'!$V27,"shr",'4'!C27),'4'!C27))))</f>
        <v/>
      </c>
      <c r="D27" s="19" t="str">
        <f>IF(ISBLANK('Raw counts'!D28),"",IF('7'!$V27=1,IF('3'!D27='7'!$V27,"sol",'4'!D27),IF('7'!$V27=2,IF('3'!D27&lt;='7'!$V27,"dul",'4'!D27),IF('7'!$V27&gt;=3,IF('3'!D27&lt;='7'!$V27,"shr",'4'!D27),'4'!D27))))</f>
        <v/>
      </c>
      <c r="E27" s="19" t="str">
        <f>IF(ISBLANK('Raw counts'!E28),"",IF('7'!$V27=1,IF('3'!E27='7'!$V27,"sol",'4'!E27),IF('7'!$V27=2,IF('3'!E27&lt;='7'!$V27,"dul",'4'!E27),IF('7'!$V27&gt;=3,IF('3'!E27&lt;='7'!$V27,"shr",'4'!E27),'4'!E27))))</f>
        <v/>
      </c>
      <c r="F27" s="19" t="str">
        <f>IF(ISBLANK('Raw counts'!F28),"",IF('7'!$V27=1,IF('3'!F27='7'!$V27,"sol",'4'!F27),IF('7'!$V27=2,IF('3'!F27&lt;='7'!$V27,"dul",'4'!F27),IF('7'!$V27&gt;=3,IF('3'!F27&lt;='7'!$V27,"shr",'4'!F27),'4'!F27))))</f>
        <v/>
      </c>
      <c r="G27" s="19" t="str">
        <f>IF(ISBLANK('Raw counts'!G28),"",IF('7'!$V27=1,IF('3'!G27='7'!$V27,"sol",'4'!G27),IF('7'!$V27=2,IF('3'!G27&lt;='7'!$V27,"dul",'4'!G27),IF('7'!$V27&gt;=3,IF('3'!G27&lt;='7'!$V27,"shr",'4'!G27),'4'!G27))))</f>
        <v/>
      </c>
      <c r="H27" s="19" t="str">
        <f>IF(ISBLANK('Raw counts'!H28),"",IF('7'!$V27=1,IF('3'!H27='7'!$V27,"sol",'4'!H27),IF('7'!$V27=2,IF('3'!H27&lt;='7'!$V27,"dul",'4'!H27),IF('7'!$V27&gt;=3,IF('3'!H27&lt;='7'!$V27,"shr",'4'!H27),'4'!H27))))</f>
        <v/>
      </c>
      <c r="I27" s="19" t="str">
        <f>IF(ISBLANK('Raw counts'!I28),"",IF('7'!$V27=1,IF('3'!I27='7'!$V27,"sol",'4'!I27),IF('7'!$V27=2,IF('3'!I27&lt;='7'!$V27,"dul",'4'!I27),IF('7'!$V27&gt;=3,IF('3'!I27&lt;='7'!$V27,"shr",'4'!I27),'4'!I27))))</f>
        <v/>
      </c>
      <c r="J27" s="19" t="str">
        <f>IF(ISBLANK('Raw counts'!J28),"",IF('7'!$V27=1,IF('3'!J27='7'!$V27,"sol",'4'!J27),IF('7'!$V27=2,IF('3'!J27&lt;='7'!$V27,"dul",'4'!J27),IF('7'!$V27&gt;=3,IF('3'!J27&lt;='7'!$V27,"shr",'4'!J27),'4'!J27))))</f>
        <v/>
      </c>
      <c r="K27" s="19" t="str">
        <f>IF(ISBLANK('Raw counts'!K28),"",IF('7'!$V27=1,IF('3'!K27='7'!$V27,"sol",'4'!K27),IF('7'!$V27=2,IF('3'!K27&lt;='7'!$V27,"dul",'4'!K27),IF('7'!$V27&gt;=3,IF('3'!K27&lt;='7'!$V27,"shr",'4'!K27),'4'!K27))))</f>
        <v/>
      </c>
      <c r="L27" s="19" t="str">
        <f>IF(ISBLANK('Raw counts'!L28),"",IF('7'!$V27=1,IF('3'!L27='7'!$V27,"sol",'4'!L27),IF('7'!$V27=2,IF('3'!L27&lt;='7'!$V27,"dul",'4'!L27),IF('7'!$V27&gt;=3,IF('3'!L27&lt;='7'!$V27,"shr",'4'!L27),'4'!L27))))</f>
        <v/>
      </c>
      <c r="M27" s="19" t="str">
        <f>IF(ISBLANK('Raw counts'!M28),"",IF('7'!$V27=1,IF('3'!M27='7'!$V27,"sol",'4'!M27),IF('7'!$V27=2,IF('3'!M27&lt;='7'!$V27,"dul",'4'!M27),IF('7'!$V27&gt;=3,IF('3'!M27&lt;='7'!$V27,"shr",'4'!M27),'4'!M27))))</f>
        <v/>
      </c>
      <c r="N27" s="19" t="str">
        <f>IF(ISBLANK('Raw counts'!N28),"",IF('7'!$V27=1,IF('3'!N27='7'!$V27,"sol",'4'!N27),IF('7'!$V27=2,IF('3'!N27&lt;='7'!$V27,"dul",'4'!N27),IF('7'!$V27&gt;=3,IF('3'!N27&lt;='7'!$V27,"shr",'4'!N27),'4'!N27))))</f>
        <v/>
      </c>
      <c r="O27" s="19" t="str">
        <f>IF(ISBLANK('Raw counts'!O28),"",IF('7'!$V27=1,IF('3'!O27='7'!$V27,"sol",'4'!O27),IF('7'!$V27=2,IF('3'!O27&lt;='7'!$V27,"dul",'4'!O27),IF('7'!$V27&gt;=3,IF('3'!O27&lt;='7'!$V27,"shr",'4'!O27),'4'!O27))))</f>
        <v/>
      </c>
      <c r="P27" s="19" t="str">
        <f>IF(ISBLANK('Raw counts'!P28),"",IF('7'!$V27=1,IF('3'!P27='7'!$V27,"sol",'4'!P27),IF('7'!$V27=2,IF('3'!P27&lt;='7'!$V27,"dul",'4'!P27),IF('7'!$V27&gt;=3,IF('3'!P27&lt;='7'!$V27,"shr",'4'!P27),'4'!P27))))</f>
        <v/>
      </c>
      <c r="Q27" s="19" t="str">
        <f>IF(ISBLANK('Raw counts'!Q28),"",IF('7'!$V27=1,IF('3'!Q27='7'!$V27,"sol",'4'!Q27),IF('7'!$V27=2,IF('3'!Q27&lt;='7'!$V27,"dul",'4'!Q27),IF('7'!$V27&gt;=3,IF('3'!Q27&lt;='7'!$V27,"shr",'4'!Q27),'4'!Q27))))</f>
        <v/>
      </c>
      <c r="R27" s="19" t="str">
        <f>IF(ISBLANK('Raw counts'!R28),"",IF('7'!$V27=1,IF('3'!R27='7'!$V27,"sol",'4'!R27),IF('7'!$V27=2,IF('3'!R27&lt;='7'!$V27,"dul",'4'!R27),IF('7'!$V27&gt;=3,IF('3'!R27&lt;='7'!$V27,"shr",'4'!R27),'4'!R27))))</f>
        <v/>
      </c>
      <c r="S27" s="19" t="str">
        <f>IF(ISBLANK('Raw counts'!S28),"",IF('7'!$V27=1,IF('3'!S27='7'!$V27,"sol",'4'!S27),IF('7'!$V27=2,IF('3'!S27&lt;='7'!$V27,"dul",'4'!S27),IF('7'!$V27&gt;=3,IF('3'!S27&lt;='7'!$V27,"shr",'4'!S27),'4'!S27))))</f>
        <v/>
      </c>
      <c r="T27" s="19" t="str">
        <f>IF(ISBLANK('Raw counts'!T28),"",IF('7'!$V27=1,IF('3'!T27='7'!$V27,"sol",'4'!T27),IF('7'!$V27=2,IF('3'!T27&lt;='7'!$V27,"dul",'4'!T27),IF('7'!$V27&gt;=3,IF('3'!T27&lt;='7'!$V27,"shr",'4'!T27),'4'!T27))))</f>
        <v/>
      </c>
      <c r="U27" s="19" t="str">
        <f>IF(ISBLANK('Raw counts'!U28),"",IF('7'!$V27=1,IF('3'!U27='7'!$V27,"sol",'4'!U27),IF('7'!$V27=2,IF('3'!U27&lt;='7'!$V27,"dul",'4'!U27),IF('7'!$V27&gt;=3,IF('3'!U27&lt;='7'!$V27,"shr",'4'!U27),'4'!U27))))</f>
        <v/>
      </c>
      <c r="V27" s="3">
        <f>'7'!V27</f>
        <v>0</v>
      </c>
    </row>
    <row r="28" spans="1:22" x14ac:dyDescent="0.15">
      <c r="A28" s="18" t="str">
        <f>IF(ISBLANK('Raw counts'!A29),"",'Raw counts'!A29)</f>
        <v>Attr25</v>
      </c>
      <c r="B28" s="19" t="str">
        <f>IF(ISBLANK('Raw counts'!B29),"",IF('7'!$V28=1,IF('3'!B28='7'!$V28,"sol",'4'!B28),IF('7'!$V28=2,IF('3'!B28&lt;='7'!$V28,"dul",'4'!B28),IF('7'!$V28&gt;=3,IF('3'!B28&lt;='7'!$V28,"shr",'4'!B28),'4'!B28))))</f>
        <v/>
      </c>
      <c r="C28" s="19" t="str">
        <f>IF(ISBLANK('Raw counts'!C29),"",IF('7'!$V28=1,IF('3'!C28='7'!$V28,"sol",'4'!C28),IF('7'!$V28=2,IF('3'!C28&lt;='7'!$V28,"dul",'4'!C28),IF('7'!$V28&gt;=3,IF('3'!C28&lt;='7'!$V28,"shr",'4'!C28),'4'!C28))))</f>
        <v/>
      </c>
      <c r="D28" s="19" t="str">
        <f>IF(ISBLANK('Raw counts'!D29),"",IF('7'!$V28=1,IF('3'!D28='7'!$V28,"sol",'4'!D28),IF('7'!$V28=2,IF('3'!D28&lt;='7'!$V28,"dul",'4'!D28),IF('7'!$V28&gt;=3,IF('3'!D28&lt;='7'!$V28,"shr",'4'!D28),'4'!D28))))</f>
        <v/>
      </c>
      <c r="E28" s="19" t="str">
        <f>IF(ISBLANK('Raw counts'!E29),"",IF('7'!$V28=1,IF('3'!E28='7'!$V28,"sol",'4'!E28),IF('7'!$V28=2,IF('3'!E28&lt;='7'!$V28,"dul",'4'!E28),IF('7'!$V28&gt;=3,IF('3'!E28&lt;='7'!$V28,"shr",'4'!E28),'4'!E28))))</f>
        <v/>
      </c>
      <c r="F28" s="19" t="str">
        <f>IF(ISBLANK('Raw counts'!F29),"",IF('7'!$V28=1,IF('3'!F28='7'!$V28,"sol",'4'!F28),IF('7'!$V28=2,IF('3'!F28&lt;='7'!$V28,"dul",'4'!F28),IF('7'!$V28&gt;=3,IF('3'!F28&lt;='7'!$V28,"shr",'4'!F28),'4'!F28))))</f>
        <v/>
      </c>
      <c r="G28" s="19" t="str">
        <f>IF(ISBLANK('Raw counts'!G29),"",IF('7'!$V28=1,IF('3'!G28='7'!$V28,"sol",'4'!G28),IF('7'!$V28=2,IF('3'!G28&lt;='7'!$V28,"dul",'4'!G28),IF('7'!$V28&gt;=3,IF('3'!G28&lt;='7'!$V28,"shr",'4'!G28),'4'!G28))))</f>
        <v/>
      </c>
      <c r="H28" s="19" t="str">
        <f>IF(ISBLANK('Raw counts'!H29),"",IF('7'!$V28=1,IF('3'!H28='7'!$V28,"sol",'4'!H28),IF('7'!$V28=2,IF('3'!H28&lt;='7'!$V28,"dul",'4'!H28),IF('7'!$V28&gt;=3,IF('3'!H28&lt;='7'!$V28,"shr",'4'!H28),'4'!H28))))</f>
        <v/>
      </c>
      <c r="I28" s="19" t="str">
        <f>IF(ISBLANK('Raw counts'!I29),"",IF('7'!$V28=1,IF('3'!I28='7'!$V28,"sol",'4'!I28),IF('7'!$V28=2,IF('3'!I28&lt;='7'!$V28,"dul",'4'!I28),IF('7'!$V28&gt;=3,IF('3'!I28&lt;='7'!$V28,"shr",'4'!I28),'4'!I28))))</f>
        <v/>
      </c>
      <c r="J28" s="19" t="str">
        <f>IF(ISBLANK('Raw counts'!J29),"",IF('7'!$V28=1,IF('3'!J28='7'!$V28,"sol",'4'!J28),IF('7'!$V28=2,IF('3'!J28&lt;='7'!$V28,"dul",'4'!J28),IF('7'!$V28&gt;=3,IF('3'!J28&lt;='7'!$V28,"shr",'4'!J28),'4'!J28))))</f>
        <v/>
      </c>
      <c r="K28" s="19" t="str">
        <f>IF(ISBLANK('Raw counts'!K29),"",IF('7'!$V28=1,IF('3'!K28='7'!$V28,"sol",'4'!K28),IF('7'!$V28=2,IF('3'!K28&lt;='7'!$V28,"dul",'4'!K28),IF('7'!$V28&gt;=3,IF('3'!K28&lt;='7'!$V28,"shr",'4'!K28),'4'!K28))))</f>
        <v/>
      </c>
      <c r="L28" s="19" t="str">
        <f>IF(ISBLANK('Raw counts'!L29),"",IF('7'!$V28=1,IF('3'!L28='7'!$V28,"sol",'4'!L28),IF('7'!$V28=2,IF('3'!L28&lt;='7'!$V28,"dul",'4'!L28),IF('7'!$V28&gt;=3,IF('3'!L28&lt;='7'!$V28,"shr",'4'!L28),'4'!L28))))</f>
        <v/>
      </c>
      <c r="M28" s="19" t="str">
        <f>IF(ISBLANK('Raw counts'!M29),"",IF('7'!$V28=1,IF('3'!M28='7'!$V28,"sol",'4'!M28),IF('7'!$V28=2,IF('3'!M28&lt;='7'!$V28,"dul",'4'!M28),IF('7'!$V28&gt;=3,IF('3'!M28&lt;='7'!$V28,"shr",'4'!M28),'4'!M28))))</f>
        <v/>
      </c>
      <c r="N28" s="19" t="str">
        <f>IF(ISBLANK('Raw counts'!N29),"",IF('7'!$V28=1,IF('3'!N28='7'!$V28,"sol",'4'!N28),IF('7'!$V28=2,IF('3'!N28&lt;='7'!$V28,"dul",'4'!N28),IF('7'!$V28&gt;=3,IF('3'!N28&lt;='7'!$V28,"shr",'4'!N28),'4'!N28))))</f>
        <v/>
      </c>
      <c r="O28" s="19" t="str">
        <f>IF(ISBLANK('Raw counts'!O29),"",IF('7'!$V28=1,IF('3'!O28='7'!$V28,"sol",'4'!O28),IF('7'!$V28=2,IF('3'!O28&lt;='7'!$V28,"dul",'4'!O28),IF('7'!$V28&gt;=3,IF('3'!O28&lt;='7'!$V28,"shr",'4'!O28),'4'!O28))))</f>
        <v/>
      </c>
      <c r="P28" s="19" t="str">
        <f>IF(ISBLANK('Raw counts'!P29),"",IF('7'!$V28=1,IF('3'!P28='7'!$V28,"sol",'4'!P28),IF('7'!$V28=2,IF('3'!P28&lt;='7'!$V28,"dul",'4'!P28),IF('7'!$V28&gt;=3,IF('3'!P28&lt;='7'!$V28,"shr",'4'!P28),'4'!P28))))</f>
        <v/>
      </c>
      <c r="Q28" s="19" t="str">
        <f>IF(ISBLANK('Raw counts'!Q29),"",IF('7'!$V28=1,IF('3'!Q28='7'!$V28,"sol",'4'!Q28),IF('7'!$V28=2,IF('3'!Q28&lt;='7'!$V28,"dul",'4'!Q28),IF('7'!$V28&gt;=3,IF('3'!Q28&lt;='7'!$V28,"shr",'4'!Q28),'4'!Q28))))</f>
        <v/>
      </c>
      <c r="R28" s="19" t="str">
        <f>IF(ISBLANK('Raw counts'!R29),"",IF('7'!$V28=1,IF('3'!R28='7'!$V28,"sol",'4'!R28),IF('7'!$V28=2,IF('3'!R28&lt;='7'!$V28,"dul",'4'!R28),IF('7'!$V28&gt;=3,IF('3'!R28&lt;='7'!$V28,"shr",'4'!R28),'4'!R28))))</f>
        <v/>
      </c>
      <c r="S28" s="19" t="str">
        <f>IF(ISBLANK('Raw counts'!S29),"",IF('7'!$V28=1,IF('3'!S28='7'!$V28,"sol",'4'!S28),IF('7'!$V28=2,IF('3'!S28&lt;='7'!$V28,"dul",'4'!S28),IF('7'!$V28&gt;=3,IF('3'!S28&lt;='7'!$V28,"shr",'4'!S28),'4'!S28))))</f>
        <v/>
      </c>
      <c r="T28" s="19" t="str">
        <f>IF(ISBLANK('Raw counts'!T29),"",IF('7'!$V28=1,IF('3'!T28='7'!$V28,"sol",'4'!T28),IF('7'!$V28=2,IF('3'!T28&lt;='7'!$V28,"dul",'4'!T28),IF('7'!$V28&gt;=3,IF('3'!T28&lt;='7'!$V28,"shr",'4'!T28),'4'!T28))))</f>
        <v/>
      </c>
      <c r="U28" s="19" t="str">
        <f>IF(ISBLANK('Raw counts'!U29),"",IF('7'!$V28=1,IF('3'!U28='7'!$V28,"sol",'4'!U28),IF('7'!$V28=2,IF('3'!U28&lt;='7'!$V28,"dul",'4'!U28),IF('7'!$V28&gt;=3,IF('3'!U28&lt;='7'!$V28,"shr",'4'!U28),'4'!U28))))</f>
        <v/>
      </c>
      <c r="V28" s="3">
        <f>'7'!V28</f>
        <v>0</v>
      </c>
    </row>
    <row r="29" spans="1:22" x14ac:dyDescent="0.15">
      <c r="A29" s="18" t="str">
        <f>IF(ISBLANK('Raw counts'!A30),"",'Raw counts'!A30)</f>
        <v>Attr26</v>
      </c>
      <c r="B29" s="19" t="str">
        <f>IF(ISBLANK('Raw counts'!B30),"",IF('7'!$V29=1,IF('3'!B29='7'!$V29,"sol",'4'!B29),IF('7'!$V29=2,IF('3'!B29&lt;='7'!$V29,"dul",'4'!B29),IF('7'!$V29&gt;=3,IF('3'!B29&lt;='7'!$V29,"shr",'4'!B29),'4'!B29))))</f>
        <v/>
      </c>
      <c r="C29" s="19" t="str">
        <f>IF(ISBLANK('Raw counts'!C30),"",IF('7'!$V29=1,IF('3'!C29='7'!$V29,"sol",'4'!C29),IF('7'!$V29=2,IF('3'!C29&lt;='7'!$V29,"dul",'4'!C29),IF('7'!$V29&gt;=3,IF('3'!C29&lt;='7'!$V29,"shr",'4'!C29),'4'!C29))))</f>
        <v/>
      </c>
      <c r="D29" s="19" t="str">
        <f>IF(ISBLANK('Raw counts'!D30),"",IF('7'!$V29=1,IF('3'!D29='7'!$V29,"sol",'4'!D29),IF('7'!$V29=2,IF('3'!D29&lt;='7'!$V29,"dul",'4'!D29),IF('7'!$V29&gt;=3,IF('3'!D29&lt;='7'!$V29,"shr",'4'!D29),'4'!D29))))</f>
        <v/>
      </c>
      <c r="E29" s="19" t="str">
        <f>IF(ISBLANK('Raw counts'!E30),"",IF('7'!$V29=1,IF('3'!E29='7'!$V29,"sol",'4'!E29),IF('7'!$V29=2,IF('3'!E29&lt;='7'!$V29,"dul",'4'!E29),IF('7'!$V29&gt;=3,IF('3'!E29&lt;='7'!$V29,"shr",'4'!E29),'4'!E29))))</f>
        <v/>
      </c>
      <c r="F29" s="19" t="str">
        <f>IF(ISBLANK('Raw counts'!F30),"",IF('7'!$V29=1,IF('3'!F29='7'!$V29,"sol",'4'!F29),IF('7'!$V29=2,IF('3'!F29&lt;='7'!$V29,"dul",'4'!F29),IF('7'!$V29&gt;=3,IF('3'!F29&lt;='7'!$V29,"shr",'4'!F29),'4'!F29))))</f>
        <v/>
      </c>
      <c r="G29" s="19" t="str">
        <f>IF(ISBLANK('Raw counts'!G30),"",IF('7'!$V29=1,IF('3'!G29='7'!$V29,"sol",'4'!G29),IF('7'!$V29=2,IF('3'!G29&lt;='7'!$V29,"dul",'4'!G29),IF('7'!$V29&gt;=3,IF('3'!G29&lt;='7'!$V29,"shr",'4'!G29),'4'!G29))))</f>
        <v/>
      </c>
      <c r="H29" s="19" t="str">
        <f>IF(ISBLANK('Raw counts'!H30),"",IF('7'!$V29=1,IF('3'!H29='7'!$V29,"sol",'4'!H29),IF('7'!$V29=2,IF('3'!H29&lt;='7'!$V29,"dul",'4'!H29),IF('7'!$V29&gt;=3,IF('3'!H29&lt;='7'!$V29,"shr",'4'!H29),'4'!H29))))</f>
        <v/>
      </c>
      <c r="I29" s="19" t="str">
        <f>IF(ISBLANK('Raw counts'!I30),"",IF('7'!$V29=1,IF('3'!I29='7'!$V29,"sol",'4'!I29),IF('7'!$V29=2,IF('3'!I29&lt;='7'!$V29,"dul",'4'!I29),IF('7'!$V29&gt;=3,IF('3'!I29&lt;='7'!$V29,"shr",'4'!I29),'4'!I29))))</f>
        <v/>
      </c>
      <c r="J29" s="19" t="str">
        <f>IF(ISBLANK('Raw counts'!J30),"",IF('7'!$V29=1,IF('3'!J29='7'!$V29,"sol",'4'!J29),IF('7'!$V29=2,IF('3'!J29&lt;='7'!$V29,"dul",'4'!J29),IF('7'!$V29&gt;=3,IF('3'!J29&lt;='7'!$V29,"shr",'4'!J29),'4'!J29))))</f>
        <v/>
      </c>
      <c r="K29" s="19" t="str">
        <f>IF(ISBLANK('Raw counts'!K30),"",IF('7'!$V29=1,IF('3'!K29='7'!$V29,"sol",'4'!K29),IF('7'!$V29=2,IF('3'!K29&lt;='7'!$V29,"dul",'4'!K29),IF('7'!$V29&gt;=3,IF('3'!K29&lt;='7'!$V29,"shr",'4'!K29),'4'!K29))))</f>
        <v/>
      </c>
      <c r="L29" s="19" t="str">
        <f>IF(ISBLANK('Raw counts'!L30),"",IF('7'!$V29=1,IF('3'!L29='7'!$V29,"sol",'4'!L29),IF('7'!$V29=2,IF('3'!L29&lt;='7'!$V29,"dul",'4'!L29),IF('7'!$V29&gt;=3,IF('3'!L29&lt;='7'!$V29,"shr",'4'!L29),'4'!L29))))</f>
        <v/>
      </c>
      <c r="M29" s="19" t="str">
        <f>IF(ISBLANK('Raw counts'!M30),"",IF('7'!$V29=1,IF('3'!M29='7'!$V29,"sol",'4'!M29),IF('7'!$V29=2,IF('3'!M29&lt;='7'!$V29,"dul",'4'!M29),IF('7'!$V29&gt;=3,IF('3'!M29&lt;='7'!$V29,"shr",'4'!M29),'4'!M29))))</f>
        <v/>
      </c>
      <c r="N29" s="19" t="str">
        <f>IF(ISBLANK('Raw counts'!N30),"",IF('7'!$V29=1,IF('3'!N29='7'!$V29,"sol",'4'!N29),IF('7'!$V29=2,IF('3'!N29&lt;='7'!$V29,"dul",'4'!N29),IF('7'!$V29&gt;=3,IF('3'!N29&lt;='7'!$V29,"shr",'4'!N29),'4'!N29))))</f>
        <v/>
      </c>
      <c r="O29" s="19" t="str">
        <f>IF(ISBLANK('Raw counts'!O30),"",IF('7'!$V29=1,IF('3'!O29='7'!$V29,"sol",'4'!O29),IF('7'!$V29=2,IF('3'!O29&lt;='7'!$V29,"dul",'4'!O29),IF('7'!$V29&gt;=3,IF('3'!O29&lt;='7'!$V29,"shr",'4'!O29),'4'!O29))))</f>
        <v/>
      </c>
      <c r="P29" s="19" t="str">
        <f>IF(ISBLANK('Raw counts'!P30),"",IF('7'!$V29=1,IF('3'!P29='7'!$V29,"sol",'4'!P29),IF('7'!$V29=2,IF('3'!P29&lt;='7'!$V29,"dul",'4'!P29),IF('7'!$V29&gt;=3,IF('3'!P29&lt;='7'!$V29,"shr",'4'!P29),'4'!P29))))</f>
        <v/>
      </c>
      <c r="Q29" s="19" t="str">
        <f>IF(ISBLANK('Raw counts'!Q30),"",IF('7'!$V29=1,IF('3'!Q29='7'!$V29,"sol",'4'!Q29),IF('7'!$V29=2,IF('3'!Q29&lt;='7'!$V29,"dul",'4'!Q29),IF('7'!$V29&gt;=3,IF('3'!Q29&lt;='7'!$V29,"shr",'4'!Q29),'4'!Q29))))</f>
        <v/>
      </c>
      <c r="R29" s="19" t="str">
        <f>IF(ISBLANK('Raw counts'!R30),"",IF('7'!$V29=1,IF('3'!R29='7'!$V29,"sol",'4'!R29),IF('7'!$V29=2,IF('3'!R29&lt;='7'!$V29,"dul",'4'!R29),IF('7'!$V29&gt;=3,IF('3'!R29&lt;='7'!$V29,"shr",'4'!R29),'4'!R29))))</f>
        <v/>
      </c>
      <c r="S29" s="19" t="str">
        <f>IF(ISBLANK('Raw counts'!S30),"",IF('7'!$V29=1,IF('3'!S29='7'!$V29,"sol",'4'!S29),IF('7'!$V29=2,IF('3'!S29&lt;='7'!$V29,"dul",'4'!S29),IF('7'!$V29&gt;=3,IF('3'!S29&lt;='7'!$V29,"shr",'4'!S29),'4'!S29))))</f>
        <v/>
      </c>
      <c r="T29" s="19" t="str">
        <f>IF(ISBLANK('Raw counts'!T30),"",IF('7'!$V29=1,IF('3'!T29='7'!$V29,"sol",'4'!T29),IF('7'!$V29=2,IF('3'!T29&lt;='7'!$V29,"dul",'4'!T29),IF('7'!$V29&gt;=3,IF('3'!T29&lt;='7'!$V29,"shr",'4'!T29),'4'!T29))))</f>
        <v/>
      </c>
      <c r="U29" s="19" t="str">
        <f>IF(ISBLANK('Raw counts'!U30),"",IF('7'!$V29=1,IF('3'!U29='7'!$V29,"sol",'4'!U29),IF('7'!$V29=2,IF('3'!U29&lt;='7'!$V29,"dul",'4'!U29),IF('7'!$V29&gt;=3,IF('3'!U29&lt;='7'!$V29,"shr",'4'!U29),'4'!U29))))</f>
        <v/>
      </c>
      <c r="V29" s="3">
        <f>'7'!V29</f>
        <v>0</v>
      </c>
    </row>
    <row r="30" spans="1:22" x14ac:dyDescent="0.15">
      <c r="A30" s="18" t="str">
        <f>IF(ISBLANK('Raw counts'!A31),"",'Raw counts'!A31)</f>
        <v>Attr27</v>
      </c>
      <c r="B30" s="19" t="str">
        <f>IF(ISBLANK('Raw counts'!B31),"",IF('7'!$V30=1,IF('3'!B30='7'!$V30,"sol",'4'!B30),IF('7'!$V30=2,IF('3'!B30&lt;='7'!$V30,"dul",'4'!B30),IF('7'!$V30&gt;=3,IF('3'!B30&lt;='7'!$V30,"shr",'4'!B30),'4'!B30))))</f>
        <v/>
      </c>
      <c r="C30" s="19" t="str">
        <f>IF(ISBLANK('Raw counts'!C31),"",IF('7'!$V30=1,IF('3'!C30='7'!$V30,"sol",'4'!C30),IF('7'!$V30=2,IF('3'!C30&lt;='7'!$V30,"dul",'4'!C30),IF('7'!$V30&gt;=3,IF('3'!C30&lt;='7'!$V30,"shr",'4'!C30),'4'!C30))))</f>
        <v/>
      </c>
      <c r="D30" s="19" t="str">
        <f>IF(ISBLANK('Raw counts'!D31),"",IF('7'!$V30=1,IF('3'!D30='7'!$V30,"sol",'4'!D30),IF('7'!$V30=2,IF('3'!D30&lt;='7'!$V30,"dul",'4'!D30),IF('7'!$V30&gt;=3,IF('3'!D30&lt;='7'!$V30,"shr",'4'!D30),'4'!D30))))</f>
        <v/>
      </c>
      <c r="E30" s="19" t="str">
        <f>IF(ISBLANK('Raw counts'!E31),"",IF('7'!$V30=1,IF('3'!E30='7'!$V30,"sol",'4'!E30),IF('7'!$V30=2,IF('3'!E30&lt;='7'!$V30,"dul",'4'!E30),IF('7'!$V30&gt;=3,IF('3'!E30&lt;='7'!$V30,"shr",'4'!E30),'4'!E30))))</f>
        <v/>
      </c>
      <c r="F30" s="19" t="str">
        <f>IF(ISBLANK('Raw counts'!F31),"",IF('7'!$V30=1,IF('3'!F30='7'!$V30,"sol",'4'!F30),IF('7'!$V30=2,IF('3'!F30&lt;='7'!$V30,"dul",'4'!F30),IF('7'!$V30&gt;=3,IF('3'!F30&lt;='7'!$V30,"shr",'4'!F30),'4'!F30))))</f>
        <v/>
      </c>
      <c r="G30" s="19" t="str">
        <f>IF(ISBLANK('Raw counts'!G31),"",IF('7'!$V30=1,IF('3'!G30='7'!$V30,"sol",'4'!G30),IF('7'!$V30=2,IF('3'!G30&lt;='7'!$V30,"dul",'4'!G30),IF('7'!$V30&gt;=3,IF('3'!G30&lt;='7'!$V30,"shr",'4'!G30),'4'!G30))))</f>
        <v/>
      </c>
      <c r="H30" s="19" t="str">
        <f>IF(ISBLANK('Raw counts'!H31),"",IF('7'!$V30=1,IF('3'!H30='7'!$V30,"sol",'4'!H30),IF('7'!$V30=2,IF('3'!H30&lt;='7'!$V30,"dul",'4'!H30),IF('7'!$V30&gt;=3,IF('3'!H30&lt;='7'!$V30,"shr",'4'!H30),'4'!H30))))</f>
        <v/>
      </c>
      <c r="I30" s="19" t="str">
        <f>IF(ISBLANK('Raw counts'!I31),"",IF('7'!$V30=1,IF('3'!I30='7'!$V30,"sol",'4'!I30),IF('7'!$V30=2,IF('3'!I30&lt;='7'!$V30,"dul",'4'!I30),IF('7'!$V30&gt;=3,IF('3'!I30&lt;='7'!$V30,"shr",'4'!I30),'4'!I30))))</f>
        <v/>
      </c>
      <c r="J30" s="19" t="str">
        <f>IF(ISBLANK('Raw counts'!J31),"",IF('7'!$V30=1,IF('3'!J30='7'!$V30,"sol",'4'!J30),IF('7'!$V30=2,IF('3'!J30&lt;='7'!$V30,"dul",'4'!J30),IF('7'!$V30&gt;=3,IF('3'!J30&lt;='7'!$V30,"shr",'4'!J30),'4'!J30))))</f>
        <v/>
      </c>
      <c r="K30" s="19" t="str">
        <f>IF(ISBLANK('Raw counts'!K31),"",IF('7'!$V30=1,IF('3'!K30='7'!$V30,"sol",'4'!K30),IF('7'!$V30=2,IF('3'!K30&lt;='7'!$V30,"dul",'4'!K30),IF('7'!$V30&gt;=3,IF('3'!K30&lt;='7'!$V30,"shr",'4'!K30),'4'!K30))))</f>
        <v/>
      </c>
      <c r="L30" s="19" t="str">
        <f>IF(ISBLANK('Raw counts'!L31),"",IF('7'!$V30=1,IF('3'!L30='7'!$V30,"sol",'4'!L30),IF('7'!$V30=2,IF('3'!L30&lt;='7'!$V30,"dul",'4'!L30),IF('7'!$V30&gt;=3,IF('3'!L30&lt;='7'!$V30,"shr",'4'!L30),'4'!L30))))</f>
        <v/>
      </c>
      <c r="M30" s="19" t="str">
        <f>IF(ISBLANK('Raw counts'!M31),"",IF('7'!$V30=1,IF('3'!M30='7'!$V30,"sol",'4'!M30),IF('7'!$V30=2,IF('3'!M30&lt;='7'!$V30,"dul",'4'!M30),IF('7'!$V30&gt;=3,IF('3'!M30&lt;='7'!$V30,"shr",'4'!M30),'4'!M30))))</f>
        <v/>
      </c>
      <c r="N30" s="19" t="str">
        <f>IF(ISBLANK('Raw counts'!N31),"",IF('7'!$V30=1,IF('3'!N30='7'!$V30,"sol",'4'!N30),IF('7'!$V30=2,IF('3'!N30&lt;='7'!$V30,"dul",'4'!N30),IF('7'!$V30&gt;=3,IF('3'!N30&lt;='7'!$V30,"shr",'4'!N30),'4'!N30))))</f>
        <v/>
      </c>
      <c r="O30" s="19" t="str">
        <f>IF(ISBLANK('Raw counts'!O31),"",IF('7'!$V30=1,IF('3'!O30='7'!$V30,"sol",'4'!O30),IF('7'!$V30=2,IF('3'!O30&lt;='7'!$V30,"dul",'4'!O30),IF('7'!$V30&gt;=3,IF('3'!O30&lt;='7'!$V30,"shr",'4'!O30),'4'!O30))))</f>
        <v/>
      </c>
      <c r="P30" s="19" t="str">
        <f>IF(ISBLANK('Raw counts'!P31),"",IF('7'!$V30=1,IF('3'!P30='7'!$V30,"sol",'4'!P30),IF('7'!$V30=2,IF('3'!P30&lt;='7'!$V30,"dul",'4'!P30),IF('7'!$V30&gt;=3,IF('3'!P30&lt;='7'!$V30,"shr",'4'!P30),'4'!P30))))</f>
        <v/>
      </c>
      <c r="Q30" s="19" t="str">
        <f>IF(ISBLANK('Raw counts'!Q31),"",IF('7'!$V30=1,IF('3'!Q30='7'!$V30,"sol",'4'!Q30),IF('7'!$V30=2,IF('3'!Q30&lt;='7'!$V30,"dul",'4'!Q30),IF('7'!$V30&gt;=3,IF('3'!Q30&lt;='7'!$V30,"shr",'4'!Q30),'4'!Q30))))</f>
        <v/>
      </c>
      <c r="R30" s="19" t="str">
        <f>IF(ISBLANK('Raw counts'!R31),"",IF('7'!$V30=1,IF('3'!R30='7'!$V30,"sol",'4'!R30),IF('7'!$V30=2,IF('3'!R30&lt;='7'!$V30,"dul",'4'!R30),IF('7'!$V30&gt;=3,IF('3'!R30&lt;='7'!$V30,"shr",'4'!R30),'4'!R30))))</f>
        <v/>
      </c>
      <c r="S30" s="19" t="str">
        <f>IF(ISBLANK('Raw counts'!S31),"",IF('7'!$V30=1,IF('3'!S30='7'!$V30,"sol",'4'!S30),IF('7'!$V30=2,IF('3'!S30&lt;='7'!$V30,"dul",'4'!S30),IF('7'!$V30&gt;=3,IF('3'!S30&lt;='7'!$V30,"shr",'4'!S30),'4'!S30))))</f>
        <v/>
      </c>
      <c r="T30" s="19" t="str">
        <f>IF(ISBLANK('Raw counts'!T31),"",IF('7'!$V30=1,IF('3'!T30='7'!$V30,"sol",'4'!T30),IF('7'!$V30=2,IF('3'!T30&lt;='7'!$V30,"dul",'4'!T30),IF('7'!$V30&gt;=3,IF('3'!T30&lt;='7'!$V30,"shr",'4'!T30),'4'!T30))))</f>
        <v/>
      </c>
      <c r="U30" s="19" t="str">
        <f>IF(ISBLANK('Raw counts'!U31),"",IF('7'!$V30=1,IF('3'!U30='7'!$V30,"sol",'4'!U30),IF('7'!$V30=2,IF('3'!U30&lt;='7'!$V30,"dul",'4'!U30),IF('7'!$V30&gt;=3,IF('3'!U30&lt;='7'!$V30,"shr",'4'!U30),'4'!U30))))</f>
        <v/>
      </c>
      <c r="V30" s="3">
        <f>'7'!V30</f>
        <v>0</v>
      </c>
    </row>
    <row r="31" spans="1:22" x14ac:dyDescent="0.15">
      <c r="A31" s="18" t="str">
        <f>IF(ISBLANK('Raw counts'!A32),"",'Raw counts'!A32)</f>
        <v>Attr28</v>
      </c>
      <c r="B31" s="19" t="str">
        <f>IF(ISBLANK('Raw counts'!B32),"",IF('7'!$V31=1,IF('3'!B31='7'!$V31,"sol",'4'!B31),IF('7'!$V31=2,IF('3'!B31&lt;='7'!$V31,"dul",'4'!B31),IF('7'!$V31&gt;=3,IF('3'!B31&lt;='7'!$V31,"shr",'4'!B31),'4'!B31))))</f>
        <v/>
      </c>
      <c r="C31" s="19" t="str">
        <f>IF(ISBLANK('Raw counts'!C32),"",IF('7'!$V31=1,IF('3'!C31='7'!$V31,"sol",'4'!C31),IF('7'!$V31=2,IF('3'!C31&lt;='7'!$V31,"dul",'4'!C31),IF('7'!$V31&gt;=3,IF('3'!C31&lt;='7'!$V31,"shr",'4'!C31),'4'!C31))))</f>
        <v/>
      </c>
      <c r="D31" s="19" t="str">
        <f>IF(ISBLANK('Raw counts'!D32),"",IF('7'!$V31=1,IF('3'!D31='7'!$V31,"sol",'4'!D31),IF('7'!$V31=2,IF('3'!D31&lt;='7'!$V31,"dul",'4'!D31),IF('7'!$V31&gt;=3,IF('3'!D31&lt;='7'!$V31,"shr",'4'!D31),'4'!D31))))</f>
        <v/>
      </c>
      <c r="E31" s="19" t="str">
        <f>IF(ISBLANK('Raw counts'!E32),"",IF('7'!$V31=1,IF('3'!E31='7'!$V31,"sol",'4'!E31),IF('7'!$V31=2,IF('3'!E31&lt;='7'!$V31,"dul",'4'!E31),IF('7'!$V31&gt;=3,IF('3'!E31&lt;='7'!$V31,"shr",'4'!E31),'4'!E31))))</f>
        <v/>
      </c>
      <c r="F31" s="19" t="str">
        <f>IF(ISBLANK('Raw counts'!F32),"",IF('7'!$V31=1,IF('3'!F31='7'!$V31,"sol",'4'!F31),IF('7'!$V31=2,IF('3'!F31&lt;='7'!$V31,"dul",'4'!F31),IF('7'!$V31&gt;=3,IF('3'!F31&lt;='7'!$V31,"shr",'4'!F31),'4'!F31))))</f>
        <v/>
      </c>
      <c r="G31" s="19" t="str">
        <f>IF(ISBLANK('Raw counts'!G32),"",IF('7'!$V31=1,IF('3'!G31='7'!$V31,"sol",'4'!G31),IF('7'!$V31=2,IF('3'!G31&lt;='7'!$V31,"dul",'4'!G31),IF('7'!$V31&gt;=3,IF('3'!G31&lt;='7'!$V31,"shr",'4'!G31),'4'!G31))))</f>
        <v/>
      </c>
      <c r="H31" s="19" t="str">
        <f>IF(ISBLANK('Raw counts'!H32),"",IF('7'!$V31=1,IF('3'!H31='7'!$V31,"sol",'4'!H31),IF('7'!$V31=2,IF('3'!H31&lt;='7'!$V31,"dul",'4'!H31),IF('7'!$V31&gt;=3,IF('3'!H31&lt;='7'!$V31,"shr",'4'!H31),'4'!H31))))</f>
        <v/>
      </c>
      <c r="I31" s="19" t="str">
        <f>IF(ISBLANK('Raw counts'!I32),"",IF('7'!$V31=1,IF('3'!I31='7'!$V31,"sol",'4'!I31),IF('7'!$V31=2,IF('3'!I31&lt;='7'!$V31,"dul",'4'!I31),IF('7'!$V31&gt;=3,IF('3'!I31&lt;='7'!$V31,"shr",'4'!I31),'4'!I31))))</f>
        <v/>
      </c>
      <c r="J31" s="19" t="str">
        <f>IF(ISBLANK('Raw counts'!J32),"",IF('7'!$V31=1,IF('3'!J31='7'!$V31,"sol",'4'!J31),IF('7'!$V31=2,IF('3'!J31&lt;='7'!$V31,"dul",'4'!J31),IF('7'!$V31&gt;=3,IF('3'!J31&lt;='7'!$V31,"shr",'4'!J31),'4'!J31))))</f>
        <v/>
      </c>
      <c r="K31" s="19" t="str">
        <f>IF(ISBLANK('Raw counts'!K32),"",IF('7'!$V31=1,IF('3'!K31='7'!$V31,"sol",'4'!K31),IF('7'!$V31=2,IF('3'!K31&lt;='7'!$V31,"dul",'4'!K31),IF('7'!$V31&gt;=3,IF('3'!K31&lt;='7'!$V31,"shr",'4'!K31),'4'!K31))))</f>
        <v/>
      </c>
      <c r="L31" s="19" t="str">
        <f>IF(ISBLANK('Raw counts'!L32),"",IF('7'!$V31=1,IF('3'!L31='7'!$V31,"sol",'4'!L31),IF('7'!$V31=2,IF('3'!L31&lt;='7'!$V31,"dul",'4'!L31),IF('7'!$V31&gt;=3,IF('3'!L31&lt;='7'!$V31,"shr",'4'!L31),'4'!L31))))</f>
        <v/>
      </c>
      <c r="M31" s="19" t="str">
        <f>IF(ISBLANK('Raw counts'!M32),"",IF('7'!$V31=1,IF('3'!M31='7'!$V31,"sol",'4'!M31),IF('7'!$V31=2,IF('3'!M31&lt;='7'!$V31,"dul",'4'!M31),IF('7'!$V31&gt;=3,IF('3'!M31&lt;='7'!$V31,"shr",'4'!M31),'4'!M31))))</f>
        <v/>
      </c>
      <c r="N31" s="19" t="str">
        <f>IF(ISBLANK('Raw counts'!N32),"",IF('7'!$V31=1,IF('3'!N31='7'!$V31,"sol",'4'!N31),IF('7'!$V31=2,IF('3'!N31&lt;='7'!$V31,"dul",'4'!N31),IF('7'!$V31&gt;=3,IF('3'!N31&lt;='7'!$V31,"shr",'4'!N31),'4'!N31))))</f>
        <v/>
      </c>
      <c r="O31" s="19" t="str">
        <f>IF(ISBLANK('Raw counts'!O32),"",IF('7'!$V31=1,IF('3'!O31='7'!$V31,"sol",'4'!O31),IF('7'!$V31=2,IF('3'!O31&lt;='7'!$V31,"dul",'4'!O31),IF('7'!$V31&gt;=3,IF('3'!O31&lt;='7'!$V31,"shr",'4'!O31),'4'!O31))))</f>
        <v/>
      </c>
      <c r="P31" s="19" t="str">
        <f>IF(ISBLANK('Raw counts'!P32),"",IF('7'!$V31=1,IF('3'!P31='7'!$V31,"sol",'4'!P31),IF('7'!$V31=2,IF('3'!P31&lt;='7'!$V31,"dul",'4'!P31),IF('7'!$V31&gt;=3,IF('3'!P31&lt;='7'!$V31,"shr",'4'!P31),'4'!P31))))</f>
        <v/>
      </c>
      <c r="Q31" s="19" t="str">
        <f>IF(ISBLANK('Raw counts'!Q32),"",IF('7'!$V31=1,IF('3'!Q31='7'!$V31,"sol",'4'!Q31),IF('7'!$V31=2,IF('3'!Q31&lt;='7'!$V31,"dul",'4'!Q31),IF('7'!$V31&gt;=3,IF('3'!Q31&lt;='7'!$V31,"shr",'4'!Q31),'4'!Q31))))</f>
        <v/>
      </c>
      <c r="R31" s="19" t="str">
        <f>IF(ISBLANK('Raw counts'!R32),"",IF('7'!$V31=1,IF('3'!R31='7'!$V31,"sol",'4'!R31),IF('7'!$V31=2,IF('3'!R31&lt;='7'!$V31,"dul",'4'!R31),IF('7'!$V31&gt;=3,IF('3'!R31&lt;='7'!$V31,"shr",'4'!R31),'4'!R31))))</f>
        <v/>
      </c>
      <c r="S31" s="19" t="str">
        <f>IF(ISBLANK('Raw counts'!S32),"",IF('7'!$V31=1,IF('3'!S31='7'!$V31,"sol",'4'!S31),IF('7'!$V31=2,IF('3'!S31&lt;='7'!$V31,"dul",'4'!S31),IF('7'!$V31&gt;=3,IF('3'!S31&lt;='7'!$V31,"shr",'4'!S31),'4'!S31))))</f>
        <v/>
      </c>
      <c r="T31" s="19" t="str">
        <f>IF(ISBLANK('Raw counts'!T32),"",IF('7'!$V31=1,IF('3'!T31='7'!$V31,"sol",'4'!T31),IF('7'!$V31=2,IF('3'!T31&lt;='7'!$V31,"dul",'4'!T31),IF('7'!$V31&gt;=3,IF('3'!T31&lt;='7'!$V31,"shr",'4'!T31),'4'!T31))))</f>
        <v/>
      </c>
      <c r="U31" s="19" t="str">
        <f>IF(ISBLANK('Raw counts'!U32),"",IF('7'!$V31=1,IF('3'!U31='7'!$V31,"sol",'4'!U31),IF('7'!$V31=2,IF('3'!U31&lt;='7'!$V31,"dul",'4'!U31),IF('7'!$V31&gt;=3,IF('3'!U31&lt;='7'!$V31,"shr",'4'!U31),'4'!U31))))</f>
        <v/>
      </c>
      <c r="V31" s="3">
        <f>'7'!V31</f>
        <v>0</v>
      </c>
    </row>
    <row r="32" spans="1:22" x14ac:dyDescent="0.15">
      <c r="A32" s="18" t="str">
        <f>IF(ISBLANK('Raw counts'!A33),"",'Raw counts'!A33)</f>
        <v>Attr29</v>
      </c>
      <c r="B32" s="19" t="str">
        <f>IF(ISBLANK('Raw counts'!B33),"",IF('7'!$V32=1,IF('3'!B32='7'!$V32,"sol",'4'!B32),IF('7'!$V32=2,IF('3'!B32&lt;='7'!$V32,"dul",'4'!B32),IF('7'!$V32&gt;=3,IF('3'!B32&lt;='7'!$V32,"shr",'4'!B32),'4'!B32))))</f>
        <v/>
      </c>
      <c r="C32" s="19" t="str">
        <f>IF(ISBLANK('Raw counts'!C33),"",IF('7'!$V32=1,IF('3'!C32='7'!$V32,"sol",'4'!C32),IF('7'!$V32=2,IF('3'!C32&lt;='7'!$V32,"dul",'4'!C32),IF('7'!$V32&gt;=3,IF('3'!C32&lt;='7'!$V32,"shr",'4'!C32),'4'!C32))))</f>
        <v/>
      </c>
      <c r="D32" s="19" t="str">
        <f>IF(ISBLANK('Raw counts'!D33),"",IF('7'!$V32=1,IF('3'!D32='7'!$V32,"sol",'4'!D32),IF('7'!$V32=2,IF('3'!D32&lt;='7'!$V32,"dul",'4'!D32),IF('7'!$V32&gt;=3,IF('3'!D32&lt;='7'!$V32,"shr",'4'!D32),'4'!D32))))</f>
        <v/>
      </c>
      <c r="E32" s="19" t="str">
        <f>IF(ISBLANK('Raw counts'!E33),"",IF('7'!$V32=1,IF('3'!E32='7'!$V32,"sol",'4'!E32),IF('7'!$V32=2,IF('3'!E32&lt;='7'!$V32,"dul",'4'!E32),IF('7'!$V32&gt;=3,IF('3'!E32&lt;='7'!$V32,"shr",'4'!E32),'4'!E32))))</f>
        <v/>
      </c>
      <c r="F32" s="19" t="str">
        <f>IF(ISBLANK('Raw counts'!F33),"",IF('7'!$V32=1,IF('3'!F32='7'!$V32,"sol",'4'!F32),IF('7'!$V32=2,IF('3'!F32&lt;='7'!$V32,"dul",'4'!F32),IF('7'!$V32&gt;=3,IF('3'!F32&lt;='7'!$V32,"shr",'4'!F32),'4'!F32))))</f>
        <v/>
      </c>
      <c r="G32" s="19" t="str">
        <f>IF(ISBLANK('Raw counts'!G33),"",IF('7'!$V32=1,IF('3'!G32='7'!$V32,"sol",'4'!G32),IF('7'!$V32=2,IF('3'!G32&lt;='7'!$V32,"dul",'4'!G32),IF('7'!$V32&gt;=3,IF('3'!G32&lt;='7'!$V32,"shr",'4'!G32),'4'!G32))))</f>
        <v/>
      </c>
      <c r="H32" s="19" t="str">
        <f>IF(ISBLANK('Raw counts'!H33),"",IF('7'!$V32=1,IF('3'!H32='7'!$V32,"sol",'4'!H32),IF('7'!$V32=2,IF('3'!H32&lt;='7'!$V32,"dul",'4'!H32),IF('7'!$V32&gt;=3,IF('3'!H32&lt;='7'!$V32,"shr",'4'!H32),'4'!H32))))</f>
        <v/>
      </c>
      <c r="I32" s="19" t="str">
        <f>IF(ISBLANK('Raw counts'!I33),"",IF('7'!$V32=1,IF('3'!I32='7'!$V32,"sol",'4'!I32),IF('7'!$V32=2,IF('3'!I32&lt;='7'!$V32,"dul",'4'!I32),IF('7'!$V32&gt;=3,IF('3'!I32&lt;='7'!$V32,"shr",'4'!I32),'4'!I32))))</f>
        <v/>
      </c>
      <c r="J32" s="19" t="str">
        <f>IF(ISBLANK('Raw counts'!J33),"",IF('7'!$V32=1,IF('3'!J32='7'!$V32,"sol",'4'!J32),IF('7'!$V32=2,IF('3'!J32&lt;='7'!$V32,"dul",'4'!J32),IF('7'!$V32&gt;=3,IF('3'!J32&lt;='7'!$V32,"shr",'4'!J32),'4'!J32))))</f>
        <v/>
      </c>
      <c r="K32" s="19" t="str">
        <f>IF(ISBLANK('Raw counts'!K33),"",IF('7'!$V32=1,IF('3'!K32='7'!$V32,"sol",'4'!K32),IF('7'!$V32=2,IF('3'!K32&lt;='7'!$V32,"dul",'4'!K32),IF('7'!$V32&gt;=3,IF('3'!K32&lt;='7'!$V32,"shr",'4'!K32),'4'!K32))))</f>
        <v/>
      </c>
      <c r="L32" s="19" t="str">
        <f>IF(ISBLANK('Raw counts'!L33),"",IF('7'!$V32=1,IF('3'!L32='7'!$V32,"sol",'4'!L32),IF('7'!$V32=2,IF('3'!L32&lt;='7'!$V32,"dul",'4'!L32),IF('7'!$V32&gt;=3,IF('3'!L32&lt;='7'!$V32,"shr",'4'!L32),'4'!L32))))</f>
        <v/>
      </c>
      <c r="M32" s="19" t="str">
        <f>IF(ISBLANK('Raw counts'!M33),"",IF('7'!$V32=1,IF('3'!M32='7'!$V32,"sol",'4'!M32),IF('7'!$V32=2,IF('3'!M32&lt;='7'!$V32,"dul",'4'!M32),IF('7'!$V32&gt;=3,IF('3'!M32&lt;='7'!$V32,"shr",'4'!M32),'4'!M32))))</f>
        <v/>
      </c>
      <c r="N32" s="19" t="str">
        <f>IF(ISBLANK('Raw counts'!N33),"",IF('7'!$V32=1,IF('3'!N32='7'!$V32,"sol",'4'!N32),IF('7'!$V32=2,IF('3'!N32&lt;='7'!$V32,"dul",'4'!N32),IF('7'!$V32&gt;=3,IF('3'!N32&lt;='7'!$V32,"shr",'4'!N32),'4'!N32))))</f>
        <v/>
      </c>
      <c r="O32" s="19" t="str">
        <f>IF(ISBLANK('Raw counts'!O33),"",IF('7'!$V32=1,IF('3'!O32='7'!$V32,"sol",'4'!O32),IF('7'!$V32=2,IF('3'!O32&lt;='7'!$V32,"dul",'4'!O32),IF('7'!$V32&gt;=3,IF('3'!O32&lt;='7'!$V32,"shr",'4'!O32),'4'!O32))))</f>
        <v/>
      </c>
      <c r="P32" s="19" t="str">
        <f>IF(ISBLANK('Raw counts'!P33),"",IF('7'!$V32=1,IF('3'!P32='7'!$V32,"sol",'4'!P32),IF('7'!$V32=2,IF('3'!P32&lt;='7'!$V32,"dul",'4'!P32),IF('7'!$V32&gt;=3,IF('3'!P32&lt;='7'!$V32,"shr",'4'!P32),'4'!P32))))</f>
        <v/>
      </c>
      <c r="Q32" s="19" t="str">
        <f>IF(ISBLANK('Raw counts'!Q33),"",IF('7'!$V32=1,IF('3'!Q32='7'!$V32,"sol",'4'!Q32),IF('7'!$V32=2,IF('3'!Q32&lt;='7'!$V32,"dul",'4'!Q32),IF('7'!$V32&gt;=3,IF('3'!Q32&lt;='7'!$V32,"shr",'4'!Q32),'4'!Q32))))</f>
        <v/>
      </c>
      <c r="R32" s="19" t="str">
        <f>IF(ISBLANK('Raw counts'!R33),"",IF('7'!$V32=1,IF('3'!R32='7'!$V32,"sol",'4'!R32),IF('7'!$V32=2,IF('3'!R32&lt;='7'!$V32,"dul",'4'!R32),IF('7'!$V32&gt;=3,IF('3'!R32&lt;='7'!$V32,"shr",'4'!R32),'4'!R32))))</f>
        <v/>
      </c>
      <c r="S32" s="19" t="str">
        <f>IF(ISBLANK('Raw counts'!S33),"",IF('7'!$V32=1,IF('3'!S32='7'!$V32,"sol",'4'!S32),IF('7'!$V32=2,IF('3'!S32&lt;='7'!$V32,"dul",'4'!S32),IF('7'!$V32&gt;=3,IF('3'!S32&lt;='7'!$V32,"shr",'4'!S32),'4'!S32))))</f>
        <v/>
      </c>
      <c r="T32" s="19" t="str">
        <f>IF(ISBLANK('Raw counts'!T33),"",IF('7'!$V32=1,IF('3'!T32='7'!$V32,"sol",'4'!T32),IF('7'!$V32=2,IF('3'!T32&lt;='7'!$V32,"dul",'4'!T32),IF('7'!$V32&gt;=3,IF('3'!T32&lt;='7'!$V32,"shr",'4'!T32),'4'!T32))))</f>
        <v/>
      </c>
      <c r="U32" s="19" t="str">
        <f>IF(ISBLANK('Raw counts'!U33),"",IF('7'!$V32=1,IF('3'!U32='7'!$V32,"sol",'4'!U32),IF('7'!$V32=2,IF('3'!U32&lt;='7'!$V32,"dul",'4'!U32),IF('7'!$V32&gt;=3,IF('3'!U32&lt;='7'!$V32,"shr",'4'!U32),'4'!U32))))</f>
        <v/>
      </c>
      <c r="V32" s="3">
        <f>'7'!V32</f>
        <v>0</v>
      </c>
    </row>
    <row r="33" spans="1:22" x14ac:dyDescent="0.15">
      <c r="A33" s="18" t="str">
        <f>IF(ISBLANK('Raw counts'!A34),"",'Raw counts'!A34)</f>
        <v>Attr30</v>
      </c>
      <c r="B33" s="19" t="str">
        <f>IF(ISBLANK('Raw counts'!B34),"",IF('7'!$V33=1,IF('3'!B33='7'!$V33,"sol",'4'!B33),IF('7'!$V33=2,IF('3'!B33&lt;='7'!$V33,"dul",'4'!B33),IF('7'!$V33&gt;=3,IF('3'!B33&lt;='7'!$V33,"shr",'4'!B33),'4'!B33))))</f>
        <v/>
      </c>
      <c r="C33" s="19" t="str">
        <f>IF(ISBLANK('Raw counts'!C34),"",IF('7'!$V33=1,IF('3'!C33='7'!$V33,"sol",'4'!C33),IF('7'!$V33=2,IF('3'!C33&lt;='7'!$V33,"dul",'4'!C33),IF('7'!$V33&gt;=3,IF('3'!C33&lt;='7'!$V33,"shr",'4'!C33),'4'!C33))))</f>
        <v/>
      </c>
      <c r="D33" s="19" t="str">
        <f>IF(ISBLANK('Raw counts'!D34),"",IF('7'!$V33=1,IF('3'!D33='7'!$V33,"sol",'4'!D33),IF('7'!$V33=2,IF('3'!D33&lt;='7'!$V33,"dul",'4'!D33),IF('7'!$V33&gt;=3,IF('3'!D33&lt;='7'!$V33,"shr",'4'!D33),'4'!D33))))</f>
        <v/>
      </c>
      <c r="E33" s="19" t="str">
        <f>IF(ISBLANK('Raw counts'!E34),"",IF('7'!$V33=1,IF('3'!E33='7'!$V33,"sol",'4'!E33),IF('7'!$V33=2,IF('3'!E33&lt;='7'!$V33,"dul",'4'!E33),IF('7'!$V33&gt;=3,IF('3'!E33&lt;='7'!$V33,"shr",'4'!E33),'4'!E33))))</f>
        <v/>
      </c>
      <c r="F33" s="19" t="str">
        <f>IF(ISBLANK('Raw counts'!F34),"",IF('7'!$V33=1,IF('3'!F33='7'!$V33,"sol",'4'!F33),IF('7'!$V33=2,IF('3'!F33&lt;='7'!$V33,"dul",'4'!F33),IF('7'!$V33&gt;=3,IF('3'!F33&lt;='7'!$V33,"shr",'4'!F33),'4'!F33))))</f>
        <v/>
      </c>
      <c r="G33" s="19" t="str">
        <f>IF(ISBLANK('Raw counts'!G34),"",IF('7'!$V33=1,IF('3'!G33='7'!$V33,"sol",'4'!G33),IF('7'!$V33=2,IF('3'!G33&lt;='7'!$V33,"dul",'4'!G33),IF('7'!$V33&gt;=3,IF('3'!G33&lt;='7'!$V33,"shr",'4'!G33),'4'!G33))))</f>
        <v/>
      </c>
      <c r="H33" s="19" t="str">
        <f>IF(ISBLANK('Raw counts'!H34),"",IF('7'!$V33=1,IF('3'!H33='7'!$V33,"sol",'4'!H33),IF('7'!$V33=2,IF('3'!H33&lt;='7'!$V33,"dul",'4'!H33),IF('7'!$V33&gt;=3,IF('3'!H33&lt;='7'!$V33,"shr",'4'!H33),'4'!H33))))</f>
        <v/>
      </c>
      <c r="I33" s="19" t="str">
        <f>IF(ISBLANK('Raw counts'!I34),"",IF('7'!$V33=1,IF('3'!I33='7'!$V33,"sol",'4'!I33),IF('7'!$V33=2,IF('3'!I33&lt;='7'!$V33,"dul",'4'!I33),IF('7'!$V33&gt;=3,IF('3'!I33&lt;='7'!$V33,"shr",'4'!I33),'4'!I33))))</f>
        <v/>
      </c>
      <c r="J33" s="19" t="str">
        <f>IF(ISBLANK('Raw counts'!J34),"",IF('7'!$V33=1,IF('3'!J33='7'!$V33,"sol",'4'!J33),IF('7'!$V33=2,IF('3'!J33&lt;='7'!$V33,"dul",'4'!J33),IF('7'!$V33&gt;=3,IF('3'!J33&lt;='7'!$V33,"shr",'4'!J33),'4'!J33))))</f>
        <v/>
      </c>
      <c r="K33" s="19" t="str">
        <f>IF(ISBLANK('Raw counts'!K34),"",IF('7'!$V33=1,IF('3'!K33='7'!$V33,"sol",'4'!K33),IF('7'!$V33=2,IF('3'!K33&lt;='7'!$V33,"dul",'4'!K33),IF('7'!$V33&gt;=3,IF('3'!K33&lt;='7'!$V33,"shr",'4'!K33),'4'!K33))))</f>
        <v/>
      </c>
      <c r="L33" s="19" t="str">
        <f>IF(ISBLANK('Raw counts'!L34),"",IF('7'!$V33=1,IF('3'!L33='7'!$V33,"sol",'4'!L33),IF('7'!$V33=2,IF('3'!L33&lt;='7'!$V33,"dul",'4'!L33),IF('7'!$V33&gt;=3,IF('3'!L33&lt;='7'!$V33,"shr",'4'!L33),'4'!L33))))</f>
        <v/>
      </c>
      <c r="M33" s="19" t="str">
        <f>IF(ISBLANK('Raw counts'!M34),"",IF('7'!$V33=1,IF('3'!M33='7'!$V33,"sol",'4'!M33),IF('7'!$V33=2,IF('3'!M33&lt;='7'!$V33,"dul",'4'!M33),IF('7'!$V33&gt;=3,IF('3'!M33&lt;='7'!$V33,"shr",'4'!M33),'4'!M33))))</f>
        <v/>
      </c>
      <c r="N33" s="19" t="str">
        <f>IF(ISBLANK('Raw counts'!N34),"",IF('7'!$V33=1,IF('3'!N33='7'!$V33,"sol",'4'!N33),IF('7'!$V33=2,IF('3'!N33&lt;='7'!$V33,"dul",'4'!N33),IF('7'!$V33&gt;=3,IF('3'!N33&lt;='7'!$V33,"shr",'4'!N33),'4'!N33))))</f>
        <v/>
      </c>
      <c r="O33" s="19" t="str">
        <f>IF(ISBLANK('Raw counts'!O34),"",IF('7'!$V33=1,IF('3'!O33='7'!$V33,"sol",'4'!O33),IF('7'!$V33=2,IF('3'!O33&lt;='7'!$V33,"dul",'4'!O33),IF('7'!$V33&gt;=3,IF('3'!O33&lt;='7'!$V33,"shr",'4'!O33),'4'!O33))))</f>
        <v/>
      </c>
      <c r="P33" s="19" t="str">
        <f>IF(ISBLANK('Raw counts'!P34),"",IF('7'!$V33=1,IF('3'!P33='7'!$V33,"sol",'4'!P33),IF('7'!$V33=2,IF('3'!P33&lt;='7'!$V33,"dul",'4'!P33),IF('7'!$V33&gt;=3,IF('3'!P33&lt;='7'!$V33,"shr",'4'!P33),'4'!P33))))</f>
        <v/>
      </c>
      <c r="Q33" s="19" t="str">
        <f>IF(ISBLANK('Raw counts'!Q34),"",IF('7'!$V33=1,IF('3'!Q33='7'!$V33,"sol",'4'!Q33),IF('7'!$V33=2,IF('3'!Q33&lt;='7'!$V33,"dul",'4'!Q33),IF('7'!$V33&gt;=3,IF('3'!Q33&lt;='7'!$V33,"shr",'4'!Q33),'4'!Q33))))</f>
        <v/>
      </c>
      <c r="R33" s="19" t="str">
        <f>IF(ISBLANK('Raw counts'!R34),"",IF('7'!$V33=1,IF('3'!R33='7'!$V33,"sol",'4'!R33),IF('7'!$V33=2,IF('3'!R33&lt;='7'!$V33,"dul",'4'!R33),IF('7'!$V33&gt;=3,IF('3'!R33&lt;='7'!$V33,"shr",'4'!R33),'4'!R33))))</f>
        <v/>
      </c>
      <c r="S33" s="19" t="str">
        <f>IF(ISBLANK('Raw counts'!S34),"",IF('7'!$V33=1,IF('3'!S33='7'!$V33,"sol",'4'!S33),IF('7'!$V33=2,IF('3'!S33&lt;='7'!$V33,"dul",'4'!S33),IF('7'!$V33&gt;=3,IF('3'!S33&lt;='7'!$V33,"shr",'4'!S33),'4'!S33))))</f>
        <v/>
      </c>
      <c r="T33" s="19" t="str">
        <f>IF(ISBLANK('Raw counts'!T34),"",IF('7'!$V33=1,IF('3'!T33='7'!$V33,"sol",'4'!T33),IF('7'!$V33=2,IF('3'!T33&lt;='7'!$V33,"dul",'4'!T33),IF('7'!$V33&gt;=3,IF('3'!T33&lt;='7'!$V33,"shr",'4'!T33),'4'!T33))))</f>
        <v/>
      </c>
      <c r="U33" s="19" t="str">
        <f>IF(ISBLANK('Raw counts'!U34),"",IF('7'!$V33=1,IF('3'!U33='7'!$V33,"sol",'4'!U33),IF('7'!$V33=2,IF('3'!U33&lt;='7'!$V33,"dul",'4'!U33),IF('7'!$V33&gt;=3,IF('3'!U33&lt;='7'!$V33,"shr",'4'!U33),'4'!U33))))</f>
        <v/>
      </c>
      <c r="V33" s="3">
        <f>'7'!V33</f>
        <v>0</v>
      </c>
    </row>
    <row r="34" spans="1:22" x14ac:dyDescent="0.15">
      <c r="A34" s="18" t="str">
        <f>IF(ISBLANK('Raw counts'!A35),"",'Raw counts'!A35)</f>
        <v>Attr31</v>
      </c>
      <c r="B34" s="19" t="str">
        <f>IF(ISBLANK('Raw counts'!B35),"",IF('7'!$V34=1,IF('3'!B34='7'!$V34,"sol",'4'!B34),IF('7'!$V34=2,IF('3'!B34&lt;='7'!$V34,"dul",'4'!B34),IF('7'!$V34&gt;=3,IF('3'!B34&lt;='7'!$V34,"shr",'4'!B34),'4'!B34))))</f>
        <v/>
      </c>
      <c r="C34" s="19" t="str">
        <f>IF(ISBLANK('Raw counts'!C35),"",IF('7'!$V34=1,IF('3'!C34='7'!$V34,"sol",'4'!C34),IF('7'!$V34=2,IF('3'!C34&lt;='7'!$V34,"dul",'4'!C34),IF('7'!$V34&gt;=3,IF('3'!C34&lt;='7'!$V34,"shr",'4'!C34),'4'!C34))))</f>
        <v/>
      </c>
      <c r="D34" s="19" t="str">
        <f>IF(ISBLANK('Raw counts'!D35),"",IF('7'!$V34=1,IF('3'!D34='7'!$V34,"sol",'4'!D34),IF('7'!$V34=2,IF('3'!D34&lt;='7'!$V34,"dul",'4'!D34),IF('7'!$V34&gt;=3,IF('3'!D34&lt;='7'!$V34,"shr",'4'!D34),'4'!D34))))</f>
        <v/>
      </c>
      <c r="E34" s="19" t="str">
        <f>IF(ISBLANK('Raw counts'!E35),"",IF('7'!$V34=1,IF('3'!E34='7'!$V34,"sol",'4'!E34),IF('7'!$V34=2,IF('3'!E34&lt;='7'!$V34,"dul",'4'!E34),IF('7'!$V34&gt;=3,IF('3'!E34&lt;='7'!$V34,"shr",'4'!E34),'4'!E34))))</f>
        <v/>
      </c>
      <c r="F34" s="19" t="str">
        <f>IF(ISBLANK('Raw counts'!F35),"",IF('7'!$V34=1,IF('3'!F34='7'!$V34,"sol",'4'!F34),IF('7'!$V34=2,IF('3'!F34&lt;='7'!$V34,"dul",'4'!F34),IF('7'!$V34&gt;=3,IF('3'!F34&lt;='7'!$V34,"shr",'4'!F34),'4'!F34))))</f>
        <v/>
      </c>
      <c r="G34" s="19" t="str">
        <f>IF(ISBLANK('Raw counts'!G35),"",IF('7'!$V34=1,IF('3'!G34='7'!$V34,"sol",'4'!G34),IF('7'!$V34=2,IF('3'!G34&lt;='7'!$V34,"dul",'4'!G34),IF('7'!$V34&gt;=3,IF('3'!G34&lt;='7'!$V34,"shr",'4'!G34),'4'!G34))))</f>
        <v/>
      </c>
      <c r="H34" s="19" t="str">
        <f>IF(ISBLANK('Raw counts'!H35),"",IF('7'!$V34=1,IF('3'!H34='7'!$V34,"sol",'4'!H34),IF('7'!$V34=2,IF('3'!H34&lt;='7'!$V34,"dul",'4'!H34),IF('7'!$V34&gt;=3,IF('3'!H34&lt;='7'!$V34,"shr",'4'!H34),'4'!H34))))</f>
        <v/>
      </c>
      <c r="I34" s="19" t="str">
        <f>IF(ISBLANK('Raw counts'!I35),"",IF('7'!$V34=1,IF('3'!I34='7'!$V34,"sol",'4'!I34),IF('7'!$V34=2,IF('3'!I34&lt;='7'!$V34,"dul",'4'!I34),IF('7'!$V34&gt;=3,IF('3'!I34&lt;='7'!$V34,"shr",'4'!I34),'4'!I34))))</f>
        <v/>
      </c>
      <c r="J34" s="19" t="str">
        <f>IF(ISBLANK('Raw counts'!J35),"",IF('7'!$V34=1,IF('3'!J34='7'!$V34,"sol",'4'!J34),IF('7'!$V34=2,IF('3'!J34&lt;='7'!$V34,"dul",'4'!J34),IF('7'!$V34&gt;=3,IF('3'!J34&lt;='7'!$V34,"shr",'4'!J34),'4'!J34))))</f>
        <v/>
      </c>
      <c r="K34" s="19" t="str">
        <f>IF(ISBLANK('Raw counts'!K35),"",IF('7'!$V34=1,IF('3'!K34='7'!$V34,"sol",'4'!K34),IF('7'!$V34=2,IF('3'!K34&lt;='7'!$V34,"dul",'4'!K34),IF('7'!$V34&gt;=3,IF('3'!K34&lt;='7'!$V34,"shr",'4'!K34),'4'!K34))))</f>
        <v/>
      </c>
      <c r="L34" s="19" t="str">
        <f>IF(ISBLANK('Raw counts'!L35),"",IF('7'!$V34=1,IF('3'!L34='7'!$V34,"sol",'4'!L34),IF('7'!$V34=2,IF('3'!L34&lt;='7'!$V34,"dul",'4'!L34),IF('7'!$V34&gt;=3,IF('3'!L34&lt;='7'!$V34,"shr",'4'!L34),'4'!L34))))</f>
        <v/>
      </c>
      <c r="M34" s="19" t="str">
        <f>IF(ISBLANK('Raw counts'!M35),"",IF('7'!$V34=1,IF('3'!M34='7'!$V34,"sol",'4'!M34),IF('7'!$V34=2,IF('3'!M34&lt;='7'!$V34,"dul",'4'!M34),IF('7'!$V34&gt;=3,IF('3'!M34&lt;='7'!$V34,"shr",'4'!M34),'4'!M34))))</f>
        <v/>
      </c>
      <c r="N34" s="19" t="str">
        <f>IF(ISBLANK('Raw counts'!N35),"",IF('7'!$V34=1,IF('3'!N34='7'!$V34,"sol",'4'!N34),IF('7'!$V34=2,IF('3'!N34&lt;='7'!$V34,"dul",'4'!N34),IF('7'!$V34&gt;=3,IF('3'!N34&lt;='7'!$V34,"shr",'4'!N34),'4'!N34))))</f>
        <v/>
      </c>
      <c r="O34" s="19" t="str">
        <f>IF(ISBLANK('Raw counts'!O35),"",IF('7'!$V34=1,IF('3'!O34='7'!$V34,"sol",'4'!O34),IF('7'!$V34=2,IF('3'!O34&lt;='7'!$V34,"dul",'4'!O34),IF('7'!$V34&gt;=3,IF('3'!O34&lt;='7'!$V34,"shr",'4'!O34),'4'!O34))))</f>
        <v/>
      </c>
      <c r="P34" s="19" t="str">
        <f>IF(ISBLANK('Raw counts'!P35),"",IF('7'!$V34=1,IF('3'!P34='7'!$V34,"sol",'4'!P34),IF('7'!$V34=2,IF('3'!P34&lt;='7'!$V34,"dul",'4'!P34),IF('7'!$V34&gt;=3,IF('3'!P34&lt;='7'!$V34,"shr",'4'!P34),'4'!P34))))</f>
        <v/>
      </c>
      <c r="Q34" s="19" t="str">
        <f>IF(ISBLANK('Raw counts'!Q35),"",IF('7'!$V34=1,IF('3'!Q34='7'!$V34,"sol",'4'!Q34),IF('7'!$V34=2,IF('3'!Q34&lt;='7'!$V34,"dul",'4'!Q34),IF('7'!$V34&gt;=3,IF('3'!Q34&lt;='7'!$V34,"shr",'4'!Q34),'4'!Q34))))</f>
        <v/>
      </c>
      <c r="R34" s="19" t="str">
        <f>IF(ISBLANK('Raw counts'!R35),"",IF('7'!$V34=1,IF('3'!R34='7'!$V34,"sol",'4'!R34),IF('7'!$V34=2,IF('3'!R34&lt;='7'!$V34,"dul",'4'!R34),IF('7'!$V34&gt;=3,IF('3'!R34&lt;='7'!$V34,"shr",'4'!R34),'4'!R34))))</f>
        <v/>
      </c>
      <c r="S34" s="19" t="str">
        <f>IF(ISBLANK('Raw counts'!S35),"",IF('7'!$V34=1,IF('3'!S34='7'!$V34,"sol",'4'!S34),IF('7'!$V34=2,IF('3'!S34&lt;='7'!$V34,"dul",'4'!S34),IF('7'!$V34&gt;=3,IF('3'!S34&lt;='7'!$V34,"shr",'4'!S34),'4'!S34))))</f>
        <v/>
      </c>
      <c r="T34" s="19" t="str">
        <f>IF(ISBLANK('Raw counts'!T35),"",IF('7'!$V34=1,IF('3'!T34='7'!$V34,"sol",'4'!T34),IF('7'!$V34=2,IF('3'!T34&lt;='7'!$V34,"dul",'4'!T34),IF('7'!$V34&gt;=3,IF('3'!T34&lt;='7'!$V34,"shr",'4'!T34),'4'!T34))))</f>
        <v/>
      </c>
      <c r="U34" s="19" t="str">
        <f>IF(ISBLANK('Raw counts'!U35),"",IF('7'!$V34=1,IF('3'!U34='7'!$V34,"sol",'4'!U34),IF('7'!$V34=2,IF('3'!U34&lt;='7'!$V34,"dul",'4'!U34),IF('7'!$V34&gt;=3,IF('3'!U34&lt;='7'!$V34,"shr",'4'!U34),'4'!U34))))</f>
        <v/>
      </c>
      <c r="V34" s="3">
        <f>'7'!V34</f>
        <v>0</v>
      </c>
    </row>
    <row r="35" spans="1:22" x14ac:dyDescent="0.15">
      <c r="A35" s="18" t="str">
        <f>IF(ISBLANK('Raw counts'!A36),"",'Raw counts'!A36)</f>
        <v>Attr32</v>
      </c>
      <c r="B35" s="19" t="str">
        <f>IF(ISBLANK('Raw counts'!B36),"",IF('7'!$V35=1,IF('3'!B35='7'!$V35,"sol",'4'!B35),IF('7'!$V35=2,IF('3'!B35&lt;='7'!$V35,"dul",'4'!B35),IF('7'!$V35&gt;=3,IF('3'!B35&lt;='7'!$V35,"shr",'4'!B35),'4'!B35))))</f>
        <v/>
      </c>
      <c r="C35" s="19" t="str">
        <f>IF(ISBLANK('Raw counts'!C36),"",IF('7'!$V35=1,IF('3'!C35='7'!$V35,"sol",'4'!C35),IF('7'!$V35=2,IF('3'!C35&lt;='7'!$V35,"dul",'4'!C35),IF('7'!$V35&gt;=3,IF('3'!C35&lt;='7'!$V35,"shr",'4'!C35),'4'!C35))))</f>
        <v/>
      </c>
      <c r="D35" s="19" t="str">
        <f>IF(ISBLANK('Raw counts'!D36),"",IF('7'!$V35=1,IF('3'!D35='7'!$V35,"sol",'4'!D35),IF('7'!$V35=2,IF('3'!D35&lt;='7'!$V35,"dul",'4'!D35),IF('7'!$V35&gt;=3,IF('3'!D35&lt;='7'!$V35,"shr",'4'!D35),'4'!D35))))</f>
        <v/>
      </c>
      <c r="E35" s="19" t="str">
        <f>IF(ISBLANK('Raw counts'!E36),"",IF('7'!$V35=1,IF('3'!E35='7'!$V35,"sol",'4'!E35),IF('7'!$V35=2,IF('3'!E35&lt;='7'!$V35,"dul",'4'!E35),IF('7'!$V35&gt;=3,IF('3'!E35&lt;='7'!$V35,"shr",'4'!E35),'4'!E35))))</f>
        <v/>
      </c>
      <c r="F35" s="19" t="str">
        <f>IF(ISBLANK('Raw counts'!F36),"",IF('7'!$V35=1,IF('3'!F35='7'!$V35,"sol",'4'!F35),IF('7'!$V35=2,IF('3'!F35&lt;='7'!$V35,"dul",'4'!F35),IF('7'!$V35&gt;=3,IF('3'!F35&lt;='7'!$V35,"shr",'4'!F35),'4'!F35))))</f>
        <v/>
      </c>
      <c r="G35" s="19" t="str">
        <f>IF(ISBLANK('Raw counts'!G36),"",IF('7'!$V35=1,IF('3'!G35='7'!$V35,"sol",'4'!G35),IF('7'!$V35=2,IF('3'!G35&lt;='7'!$V35,"dul",'4'!G35),IF('7'!$V35&gt;=3,IF('3'!G35&lt;='7'!$V35,"shr",'4'!G35),'4'!G35))))</f>
        <v/>
      </c>
      <c r="H35" s="19" t="str">
        <f>IF(ISBLANK('Raw counts'!H36),"",IF('7'!$V35=1,IF('3'!H35='7'!$V35,"sol",'4'!H35),IF('7'!$V35=2,IF('3'!H35&lt;='7'!$V35,"dul",'4'!H35),IF('7'!$V35&gt;=3,IF('3'!H35&lt;='7'!$V35,"shr",'4'!H35),'4'!H35))))</f>
        <v/>
      </c>
      <c r="I35" s="19" t="str">
        <f>IF(ISBLANK('Raw counts'!I36),"",IF('7'!$V35=1,IF('3'!I35='7'!$V35,"sol",'4'!I35),IF('7'!$V35=2,IF('3'!I35&lt;='7'!$V35,"dul",'4'!I35),IF('7'!$V35&gt;=3,IF('3'!I35&lt;='7'!$V35,"shr",'4'!I35),'4'!I35))))</f>
        <v/>
      </c>
      <c r="J35" s="19" t="str">
        <f>IF(ISBLANK('Raw counts'!J36),"",IF('7'!$V35=1,IF('3'!J35='7'!$V35,"sol",'4'!J35),IF('7'!$V35=2,IF('3'!J35&lt;='7'!$V35,"dul",'4'!J35),IF('7'!$V35&gt;=3,IF('3'!J35&lt;='7'!$V35,"shr",'4'!J35),'4'!J35))))</f>
        <v/>
      </c>
      <c r="K35" s="19" t="str">
        <f>IF(ISBLANK('Raw counts'!K36),"",IF('7'!$V35=1,IF('3'!K35='7'!$V35,"sol",'4'!K35),IF('7'!$V35=2,IF('3'!K35&lt;='7'!$V35,"dul",'4'!K35),IF('7'!$V35&gt;=3,IF('3'!K35&lt;='7'!$V35,"shr",'4'!K35),'4'!K35))))</f>
        <v/>
      </c>
      <c r="L35" s="19" t="str">
        <f>IF(ISBLANK('Raw counts'!L36),"",IF('7'!$V35=1,IF('3'!L35='7'!$V35,"sol",'4'!L35),IF('7'!$V35=2,IF('3'!L35&lt;='7'!$V35,"dul",'4'!L35),IF('7'!$V35&gt;=3,IF('3'!L35&lt;='7'!$V35,"shr",'4'!L35),'4'!L35))))</f>
        <v/>
      </c>
      <c r="M35" s="19" t="str">
        <f>IF(ISBLANK('Raw counts'!M36),"",IF('7'!$V35=1,IF('3'!M35='7'!$V35,"sol",'4'!M35),IF('7'!$V35=2,IF('3'!M35&lt;='7'!$V35,"dul",'4'!M35),IF('7'!$V35&gt;=3,IF('3'!M35&lt;='7'!$V35,"shr",'4'!M35),'4'!M35))))</f>
        <v/>
      </c>
      <c r="N35" s="19" t="str">
        <f>IF(ISBLANK('Raw counts'!N36),"",IF('7'!$V35=1,IF('3'!N35='7'!$V35,"sol",'4'!N35),IF('7'!$V35=2,IF('3'!N35&lt;='7'!$V35,"dul",'4'!N35),IF('7'!$V35&gt;=3,IF('3'!N35&lt;='7'!$V35,"shr",'4'!N35),'4'!N35))))</f>
        <v/>
      </c>
      <c r="O35" s="19" t="str">
        <f>IF(ISBLANK('Raw counts'!O36),"",IF('7'!$V35=1,IF('3'!O35='7'!$V35,"sol",'4'!O35),IF('7'!$V35=2,IF('3'!O35&lt;='7'!$V35,"dul",'4'!O35),IF('7'!$V35&gt;=3,IF('3'!O35&lt;='7'!$V35,"shr",'4'!O35),'4'!O35))))</f>
        <v/>
      </c>
      <c r="P35" s="19" t="str">
        <f>IF(ISBLANK('Raw counts'!P36),"",IF('7'!$V35=1,IF('3'!P35='7'!$V35,"sol",'4'!P35),IF('7'!$V35=2,IF('3'!P35&lt;='7'!$V35,"dul",'4'!P35),IF('7'!$V35&gt;=3,IF('3'!P35&lt;='7'!$V35,"shr",'4'!P35),'4'!P35))))</f>
        <v/>
      </c>
      <c r="Q35" s="19" t="str">
        <f>IF(ISBLANK('Raw counts'!Q36),"",IF('7'!$V35=1,IF('3'!Q35='7'!$V35,"sol",'4'!Q35),IF('7'!$V35=2,IF('3'!Q35&lt;='7'!$V35,"dul",'4'!Q35),IF('7'!$V35&gt;=3,IF('3'!Q35&lt;='7'!$V35,"shr",'4'!Q35),'4'!Q35))))</f>
        <v/>
      </c>
      <c r="R35" s="19" t="str">
        <f>IF(ISBLANK('Raw counts'!R36),"",IF('7'!$V35=1,IF('3'!R35='7'!$V35,"sol",'4'!R35),IF('7'!$V35=2,IF('3'!R35&lt;='7'!$V35,"dul",'4'!R35),IF('7'!$V35&gt;=3,IF('3'!R35&lt;='7'!$V35,"shr",'4'!R35),'4'!R35))))</f>
        <v/>
      </c>
      <c r="S35" s="19" t="str">
        <f>IF(ISBLANK('Raw counts'!S36),"",IF('7'!$V35=1,IF('3'!S35='7'!$V35,"sol",'4'!S35),IF('7'!$V35=2,IF('3'!S35&lt;='7'!$V35,"dul",'4'!S35),IF('7'!$V35&gt;=3,IF('3'!S35&lt;='7'!$V35,"shr",'4'!S35),'4'!S35))))</f>
        <v/>
      </c>
      <c r="T35" s="19" t="str">
        <f>IF(ISBLANK('Raw counts'!T36),"",IF('7'!$V35=1,IF('3'!T35='7'!$V35,"sol",'4'!T35),IF('7'!$V35=2,IF('3'!T35&lt;='7'!$V35,"dul",'4'!T35),IF('7'!$V35&gt;=3,IF('3'!T35&lt;='7'!$V35,"shr",'4'!T35),'4'!T35))))</f>
        <v/>
      </c>
      <c r="U35" s="19" t="str">
        <f>IF(ISBLANK('Raw counts'!U36),"",IF('7'!$V35=1,IF('3'!U35='7'!$V35,"sol",'4'!U35),IF('7'!$V35=2,IF('3'!U35&lt;='7'!$V35,"dul",'4'!U35),IF('7'!$V35&gt;=3,IF('3'!U35&lt;='7'!$V35,"shr",'4'!U35),'4'!U35))))</f>
        <v/>
      </c>
      <c r="V35" s="3">
        <f>'7'!V35</f>
        <v>0</v>
      </c>
    </row>
    <row r="36" spans="1:22" x14ac:dyDescent="0.15">
      <c r="A36" s="18" t="str">
        <f>IF(ISBLANK('Raw counts'!A37),"",'Raw counts'!A37)</f>
        <v>Attr33</v>
      </c>
      <c r="B36" s="19" t="str">
        <f>IF(ISBLANK('Raw counts'!B37),"",IF('7'!$V36=1,IF('3'!B36='7'!$V36,"sol",'4'!B36),IF('7'!$V36=2,IF('3'!B36&lt;='7'!$V36,"dul",'4'!B36),IF('7'!$V36&gt;=3,IF('3'!B36&lt;='7'!$V36,"shr",'4'!B36),'4'!B36))))</f>
        <v/>
      </c>
      <c r="C36" s="19" t="str">
        <f>IF(ISBLANK('Raw counts'!C37),"",IF('7'!$V36=1,IF('3'!C36='7'!$V36,"sol",'4'!C36),IF('7'!$V36=2,IF('3'!C36&lt;='7'!$V36,"dul",'4'!C36),IF('7'!$V36&gt;=3,IF('3'!C36&lt;='7'!$V36,"shr",'4'!C36),'4'!C36))))</f>
        <v/>
      </c>
      <c r="D36" s="19" t="str">
        <f>IF(ISBLANK('Raw counts'!D37),"",IF('7'!$V36=1,IF('3'!D36='7'!$V36,"sol",'4'!D36),IF('7'!$V36=2,IF('3'!D36&lt;='7'!$V36,"dul",'4'!D36),IF('7'!$V36&gt;=3,IF('3'!D36&lt;='7'!$V36,"shr",'4'!D36),'4'!D36))))</f>
        <v/>
      </c>
      <c r="E36" s="19" t="str">
        <f>IF(ISBLANK('Raw counts'!E37),"",IF('7'!$V36=1,IF('3'!E36='7'!$V36,"sol",'4'!E36),IF('7'!$V36=2,IF('3'!E36&lt;='7'!$V36,"dul",'4'!E36),IF('7'!$V36&gt;=3,IF('3'!E36&lt;='7'!$V36,"shr",'4'!E36),'4'!E36))))</f>
        <v/>
      </c>
      <c r="F36" s="19" t="str">
        <f>IF(ISBLANK('Raw counts'!F37),"",IF('7'!$V36=1,IF('3'!F36='7'!$V36,"sol",'4'!F36),IF('7'!$V36=2,IF('3'!F36&lt;='7'!$V36,"dul",'4'!F36),IF('7'!$V36&gt;=3,IF('3'!F36&lt;='7'!$V36,"shr",'4'!F36),'4'!F36))))</f>
        <v/>
      </c>
      <c r="G36" s="19" t="str">
        <f>IF(ISBLANK('Raw counts'!G37),"",IF('7'!$V36=1,IF('3'!G36='7'!$V36,"sol",'4'!G36),IF('7'!$V36=2,IF('3'!G36&lt;='7'!$V36,"dul",'4'!G36),IF('7'!$V36&gt;=3,IF('3'!G36&lt;='7'!$V36,"shr",'4'!G36),'4'!G36))))</f>
        <v/>
      </c>
      <c r="H36" s="19" t="str">
        <f>IF(ISBLANK('Raw counts'!H37),"",IF('7'!$V36=1,IF('3'!H36='7'!$V36,"sol",'4'!H36),IF('7'!$V36=2,IF('3'!H36&lt;='7'!$V36,"dul",'4'!H36),IF('7'!$V36&gt;=3,IF('3'!H36&lt;='7'!$V36,"shr",'4'!H36),'4'!H36))))</f>
        <v/>
      </c>
      <c r="I36" s="19" t="str">
        <f>IF(ISBLANK('Raw counts'!I37),"",IF('7'!$V36=1,IF('3'!I36='7'!$V36,"sol",'4'!I36),IF('7'!$V36=2,IF('3'!I36&lt;='7'!$V36,"dul",'4'!I36),IF('7'!$V36&gt;=3,IF('3'!I36&lt;='7'!$V36,"shr",'4'!I36),'4'!I36))))</f>
        <v/>
      </c>
      <c r="J36" s="19" t="str">
        <f>IF(ISBLANK('Raw counts'!J37),"",IF('7'!$V36=1,IF('3'!J36='7'!$V36,"sol",'4'!J36),IF('7'!$V36=2,IF('3'!J36&lt;='7'!$V36,"dul",'4'!J36),IF('7'!$V36&gt;=3,IF('3'!J36&lt;='7'!$V36,"shr",'4'!J36),'4'!J36))))</f>
        <v/>
      </c>
      <c r="K36" s="19" t="str">
        <f>IF(ISBLANK('Raw counts'!K37),"",IF('7'!$V36=1,IF('3'!K36='7'!$V36,"sol",'4'!K36),IF('7'!$V36=2,IF('3'!K36&lt;='7'!$V36,"dul",'4'!K36),IF('7'!$V36&gt;=3,IF('3'!K36&lt;='7'!$V36,"shr",'4'!K36),'4'!K36))))</f>
        <v/>
      </c>
      <c r="L36" s="19" t="str">
        <f>IF(ISBLANK('Raw counts'!L37),"",IF('7'!$V36=1,IF('3'!L36='7'!$V36,"sol",'4'!L36),IF('7'!$V36=2,IF('3'!L36&lt;='7'!$V36,"dul",'4'!L36),IF('7'!$V36&gt;=3,IF('3'!L36&lt;='7'!$V36,"shr",'4'!L36),'4'!L36))))</f>
        <v/>
      </c>
      <c r="M36" s="19" t="str">
        <f>IF(ISBLANK('Raw counts'!M37),"",IF('7'!$V36=1,IF('3'!M36='7'!$V36,"sol",'4'!M36),IF('7'!$V36=2,IF('3'!M36&lt;='7'!$V36,"dul",'4'!M36),IF('7'!$V36&gt;=3,IF('3'!M36&lt;='7'!$V36,"shr",'4'!M36),'4'!M36))))</f>
        <v/>
      </c>
      <c r="N36" s="19" t="str">
        <f>IF(ISBLANK('Raw counts'!N37),"",IF('7'!$V36=1,IF('3'!N36='7'!$V36,"sol",'4'!N36),IF('7'!$V36=2,IF('3'!N36&lt;='7'!$V36,"dul",'4'!N36),IF('7'!$V36&gt;=3,IF('3'!N36&lt;='7'!$V36,"shr",'4'!N36),'4'!N36))))</f>
        <v/>
      </c>
      <c r="O36" s="19" t="str">
        <f>IF(ISBLANK('Raw counts'!O37),"",IF('7'!$V36=1,IF('3'!O36='7'!$V36,"sol",'4'!O36),IF('7'!$V36=2,IF('3'!O36&lt;='7'!$V36,"dul",'4'!O36),IF('7'!$V36&gt;=3,IF('3'!O36&lt;='7'!$V36,"shr",'4'!O36),'4'!O36))))</f>
        <v/>
      </c>
      <c r="P36" s="19" t="str">
        <f>IF(ISBLANK('Raw counts'!P37),"",IF('7'!$V36=1,IF('3'!P36='7'!$V36,"sol",'4'!P36),IF('7'!$V36=2,IF('3'!P36&lt;='7'!$V36,"dul",'4'!P36),IF('7'!$V36&gt;=3,IF('3'!P36&lt;='7'!$V36,"shr",'4'!P36),'4'!P36))))</f>
        <v/>
      </c>
      <c r="Q36" s="19" t="str">
        <f>IF(ISBLANK('Raw counts'!Q37),"",IF('7'!$V36=1,IF('3'!Q36='7'!$V36,"sol",'4'!Q36),IF('7'!$V36=2,IF('3'!Q36&lt;='7'!$V36,"dul",'4'!Q36),IF('7'!$V36&gt;=3,IF('3'!Q36&lt;='7'!$V36,"shr",'4'!Q36),'4'!Q36))))</f>
        <v/>
      </c>
      <c r="R36" s="19" t="str">
        <f>IF(ISBLANK('Raw counts'!R37),"",IF('7'!$V36=1,IF('3'!R36='7'!$V36,"sol",'4'!R36),IF('7'!$V36=2,IF('3'!R36&lt;='7'!$V36,"dul",'4'!R36),IF('7'!$V36&gt;=3,IF('3'!R36&lt;='7'!$V36,"shr",'4'!R36),'4'!R36))))</f>
        <v/>
      </c>
      <c r="S36" s="19" t="str">
        <f>IF(ISBLANK('Raw counts'!S37),"",IF('7'!$V36=1,IF('3'!S36='7'!$V36,"sol",'4'!S36),IF('7'!$V36=2,IF('3'!S36&lt;='7'!$V36,"dul",'4'!S36),IF('7'!$V36&gt;=3,IF('3'!S36&lt;='7'!$V36,"shr",'4'!S36),'4'!S36))))</f>
        <v/>
      </c>
      <c r="T36" s="19" t="str">
        <f>IF(ISBLANK('Raw counts'!T37),"",IF('7'!$V36=1,IF('3'!T36='7'!$V36,"sol",'4'!T36),IF('7'!$V36=2,IF('3'!T36&lt;='7'!$V36,"dul",'4'!T36),IF('7'!$V36&gt;=3,IF('3'!T36&lt;='7'!$V36,"shr",'4'!T36),'4'!T36))))</f>
        <v/>
      </c>
      <c r="U36" s="19" t="str">
        <f>IF(ISBLANK('Raw counts'!U37),"",IF('7'!$V36=1,IF('3'!U36='7'!$V36,"sol",'4'!U36),IF('7'!$V36=2,IF('3'!U36&lt;='7'!$V36,"dul",'4'!U36),IF('7'!$V36&gt;=3,IF('3'!U36&lt;='7'!$V36,"shr",'4'!U36),'4'!U36))))</f>
        <v/>
      </c>
      <c r="V36" s="3">
        <f>'7'!V36</f>
        <v>0</v>
      </c>
    </row>
    <row r="37" spans="1:22" x14ac:dyDescent="0.15">
      <c r="A37" s="18" t="str">
        <f>IF(ISBLANK('Raw counts'!A38),"",'Raw counts'!A38)</f>
        <v>Attr34</v>
      </c>
      <c r="B37" s="19" t="str">
        <f>IF(ISBLANK('Raw counts'!B38),"",IF('7'!$V37=1,IF('3'!B37='7'!$V37,"sol",'4'!B37),IF('7'!$V37=2,IF('3'!B37&lt;='7'!$V37,"dul",'4'!B37),IF('7'!$V37&gt;=3,IF('3'!B37&lt;='7'!$V37,"shr",'4'!B37),'4'!B37))))</f>
        <v/>
      </c>
      <c r="C37" s="19" t="str">
        <f>IF(ISBLANK('Raw counts'!C38),"",IF('7'!$V37=1,IF('3'!C37='7'!$V37,"sol",'4'!C37),IF('7'!$V37=2,IF('3'!C37&lt;='7'!$V37,"dul",'4'!C37),IF('7'!$V37&gt;=3,IF('3'!C37&lt;='7'!$V37,"shr",'4'!C37),'4'!C37))))</f>
        <v/>
      </c>
      <c r="D37" s="19" t="str">
        <f>IF(ISBLANK('Raw counts'!D38),"",IF('7'!$V37=1,IF('3'!D37='7'!$V37,"sol",'4'!D37),IF('7'!$V37=2,IF('3'!D37&lt;='7'!$V37,"dul",'4'!D37),IF('7'!$V37&gt;=3,IF('3'!D37&lt;='7'!$V37,"shr",'4'!D37),'4'!D37))))</f>
        <v/>
      </c>
      <c r="E37" s="19" t="str">
        <f>IF(ISBLANK('Raw counts'!E38),"",IF('7'!$V37=1,IF('3'!E37='7'!$V37,"sol",'4'!E37),IF('7'!$V37=2,IF('3'!E37&lt;='7'!$V37,"dul",'4'!E37),IF('7'!$V37&gt;=3,IF('3'!E37&lt;='7'!$V37,"shr",'4'!E37),'4'!E37))))</f>
        <v/>
      </c>
      <c r="F37" s="19" t="str">
        <f>IF(ISBLANK('Raw counts'!F38),"",IF('7'!$V37=1,IF('3'!F37='7'!$V37,"sol",'4'!F37),IF('7'!$V37=2,IF('3'!F37&lt;='7'!$V37,"dul",'4'!F37),IF('7'!$V37&gt;=3,IF('3'!F37&lt;='7'!$V37,"shr",'4'!F37),'4'!F37))))</f>
        <v/>
      </c>
      <c r="G37" s="19" t="str">
        <f>IF(ISBLANK('Raw counts'!G38),"",IF('7'!$V37=1,IF('3'!G37='7'!$V37,"sol",'4'!G37),IF('7'!$V37=2,IF('3'!G37&lt;='7'!$V37,"dul",'4'!G37),IF('7'!$V37&gt;=3,IF('3'!G37&lt;='7'!$V37,"shr",'4'!G37),'4'!G37))))</f>
        <v/>
      </c>
      <c r="H37" s="19" t="str">
        <f>IF(ISBLANK('Raw counts'!H38),"",IF('7'!$V37=1,IF('3'!H37='7'!$V37,"sol",'4'!H37),IF('7'!$V37=2,IF('3'!H37&lt;='7'!$V37,"dul",'4'!H37),IF('7'!$V37&gt;=3,IF('3'!H37&lt;='7'!$V37,"shr",'4'!H37),'4'!H37))))</f>
        <v/>
      </c>
      <c r="I37" s="19" t="str">
        <f>IF(ISBLANK('Raw counts'!I38),"",IF('7'!$V37=1,IF('3'!I37='7'!$V37,"sol",'4'!I37),IF('7'!$V37=2,IF('3'!I37&lt;='7'!$V37,"dul",'4'!I37),IF('7'!$V37&gt;=3,IF('3'!I37&lt;='7'!$V37,"shr",'4'!I37),'4'!I37))))</f>
        <v/>
      </c>
      <c r="J37" s="19" t="str">
        <f>IF(ISBLANK('Raw counts'!J38),"",IF('7'!$V37=1,IF('3'!J37='7'!$V37,"sol",'4'!J37),IF('7'!$V37=2,IF('3'!J37&lt;='7'!$V37,"dul",'4'!J37),IF('7'!$V37&gt;=3,IF('3'!J37&lt;='7'!$V37,"shr",'4'!J37),'4'!J37))))</f>
        <v/>
      </c>
      <c r="K37" s="19" t="str">
        <f>IF(ISBLANK('Raw counts'!K38),"",IF('7'!$V37=1,IF('3'!K37='7'!$V37,"sol",'4'!K37),IF('7'!$V37=2,IF('3'!K37&lt;='7'!$V37,"dul",'4'!K37),IF('7'!$V37&gt;=3,IF('3'!K37&lt;='7'!$V37,"shr",'4'!K37),'4'!K37))))</f>
        <v/>
      </c>
      <c r="L37" s="19" t="str">
        <f>IF(ISBLANK('Raw counts'!L38),"",IF('7'!$V37=1,IF('3'!L37='7'!$V37,"sol",'4'!L37),IF('7'!$V37=2,IF('3'!L37&lt;='7'!$V37,"dul",'4'!L37),IF('7'!$V37&gt;=3,IF('3'!L37&lt;='7'!$V37,"shr",'4'!L37),'4'!L37))))</f>
        <v/>
      </c>
      <c r="M37" s="19" t="str">
        <f>IF(ISBLANK('Raw counts'!M38),"",IF('7'!$V37=1,IF('3'!M37='7'!$V37,"sol",'4'!M37),IF('7'!$V37=2,IF('3'!M37&lt;='7'!$V37,"dul",'4'!M37),IF('7'!$V37&gt;=3,IF('3'!M37&lt;='7'!$V37,"shr",'4'!M37),'4'!M37))))</f>
        <v/>
      </c>
      <c r="N37" s="19" t="str">
        <f>IF(ISBLANK('Raw counts'!N38),"",IF('7'!$V37=1,IF('3'!N37='7'!$V37,"sol",'4'!N37),IF('7'!$V37=2,IF('3'!N37&lt;='7'!$V37,"dul",'4'!N37),IF('7'!$V37&gt;=3,IF('3'!N37&lt;='7'!$V37,"shr",'4'!N37),'4'!N37))))</f>
        <v/>
      </c>
      <c r="O37" s="19" t="str">
        <f>IF(ISBLANK('Raw counts'!O38),"",IF('7'!$V37=1,IF('3'!O37='7'!$V37,"sol",'4'!O37),IF('7'!$V37=2,IF('3'!O37&lt;='7'!$V37,"dul",'4'!O37),IF('7'!$V37&gt;=3,IF('3'!O37&lt;='7'!$V37,"shr",'4'!O37),'4'!O37))))</f>
        <v/>
      </c>
      <c r="P37" s="19" t="str">
        <f>IF(ISBLANK('Raw counts'!P38),"",IF('7'!$V37=1,IF('3'!P37='7'!$V37,"sol",'4'!P37),IF('7'!$V37=2,IF('3'!P37&lt;='7'!$V37,"dul",'4'!P37),IF('7'!$V37&gt;=3,IF('3'!P37&lt;='7'!$V37,"shr",'4'!P37),'4'!P37))))</f>
        <v/>
      </c>
      <c r="Q37" s="19" t="str">
        <f>IF(ISBLANK('Raw counts'!Q38),"",IF('7'!$V37=1,IF('3'!Q37='7'!$V37,"sol",'4'!Q37),IF('7'!$V37=2,IF('3'!Q37&lt;='7'!$V37,"dul",'4'!Q37),IF('7'!$V37&gt;=3,IF('3'!Q37&lt;='7'!$V37,"shr",'4'!Q37),'4'!Q37))))</f>
        <v/>
      </c>
      <c r="R37" s="19" t="str">
        <f>IF(ISBLANK('Raw counts'!R38),"",IF('7'!$V37=1,IF('3'!R37='7'!$V37,"sol",'4'!R37),IF('7'!$V37=2,IF('3'!R37&lt;='7'!$V37,"dul",'4'!R37),IF('7'!$V37&gt;=3,IF('3'!R37&lt;='7'!$V37,"shr",'4'!R37),'4'!R37))))</f>
        <v/>
      </c>
      <c r="S37" s="19" t="str">
        <f>IF(ISBLANK('Raw counts'!S38),"",IF('7'!$V37=1,IF('3'!S37='7'!$V37,"sol",'4'!S37),IF('7'!$V37=2,IF('3'!S37&lt;='7'!$V37,"dul",'4'!S37),IF('7'!$V37&gt;=3,IF('3'!S37&lt;='7'!$V37,"shr",'4'!S37),'4'!S37))))</f>
        <v/>
      </c>
      <c r="T37" s="19" t="str">
        <f>IF(ISBLANK('Raw counts'!T38),"",IF('7'!$V37=1,IF('3'!T37='7'!$V37,"sol",'4'!T37),IF('7'!$V37=2,IF('3'!T37&lt;='7'!$V37,"dul",'4'!T37),IF('7'!$V37&gt;=3,IF('3'!T37&lt;='7'!$V37,"shr",'4'!T37),'4'!T37))))</f>
        <v/>
      </c>
      <c r="U37" s="19" t="str">
        <f>IF(ISBLANK('Raw counts'!U38),"",IF('7'!$V37=1,IF('3'!U37='7'!$V37,"sol",'4'!U37),IF('7'!$V37=2,IF('3'!U37&lt;='7'!$V37,"dul",'4'!U37),IF('7'!$V37&gt;=3,IF('3'!U37&lt;='7'!$V37,"shr",'4'!U37),'4'!U37))))</f>
        <v/>
      </c>
      <c r="V37" s="3">
        <f>'7'!V37</f>
        <v>0</v>
      </c>
    </row>
    <row r="38" spans="1:22" x14ac:dyDescent="0.15">
      <c r="A38" s="18" t="str">
        <f>IF(ISBLANK('Raw counts'!A39),"",'Raw counts'!A39)</f>
        <v>Attr35</v>
      </c>
      <c r="B38" s="19" t="str">
        <f>IF(ISBLANK('Raw counts'!B39),"",IF('7'!$V38=1,IF('3'!B38='7'!$V38,"sol",'4'!B38),IF('7'!$V38=2,IF('3'!B38&lt;='7'!$V38,"dul",'4'!B38),IF('7'!$V38&gt;=3,IF('3'!B38&lt;='7'!$V38,"shr",'4'!B38),'4'!B38))))</f>
        <v/>
      </c>
      <c r="C38" s="19" t="str">
        <f>IF(ISBLANK('Raw counts'!C39),"",IF('7'!$V38=1,IF('3'!C38='7'!$V38,"sol",'4'!C38),IF('7'!$V38=2,IF('3'!C38&lt;='7'!$V38,"dul",'4'!C38),IF('7'!$V38&gt;=3,IF('3'!C38&lt;='7'!$V38,"shr",'4'!C38),'4'!C38))))</f>
        <v/>
      </c>
      <c r="D38" s="19" t="str">
        <f>IF(ISBLANK('Raw counts'!D39),"",IF('7'!$V38=1,IF('3'!D38='7'!$V38,"sol",'4'!D38),IF('7'!$V38=2,IF('3'!D38&lt;='7'!$V38,"dul",'4'!D38),IF('7'!$V38&gt;=3,IF('3'!D38&lt;='7'!$V38,"shr",'4'!D38),'4'!D38))))</f>
        <v/>
      </c>
      <c r="E38" s="19" t="str">
        <f>IF(ISBLANK('Raw counts'!E39),"",IF('7'!$V38=1,IF('3'!E38='7'!$V38,"sol",'4'!E38),IF('7'!$V38=2,IF('3'!E38&lt;='7'!$V38,"dul",'4'!E38),IF('7'!$V38&gt;=3,IF('3'!E38&lt;='7'!$V38,"shr",'4'!E38),'4'!E38))))</f>
        <v/>
      </c>
      <c r="F38" s="19" t="str">
        <f>IF(ISBLANK('Raw counts'!F39),"",IF('7'!$V38=1,IF('3'!F38='7'!$V38,"sol",'4'!F38),IF('7'!$V38=2,IF('3'!F38&lt;='7'!$V38,"dul",'4'!F38),IF('7'!$V38&gt;=3,IF('3'!F38&lt;='7'!$V38,"shr",'4'!F38),'4'!F38))))</f>
        <v/>
      </c>
      <c r="G38" s="19" t="str">
        <f>IF(ISBLANK('Raw counts'!G39),"",IF('7'!$V38=1,IF('3'!G38='7'!$V38,"sol",'4'!G38),IF('7'!$V38=2,IF('3'!G38&lt;='7'!$V38,"dul",'4'!G38),IF('7'!$V38&gt;=3,IF('3'!G38&lt;='7'!$V38,"shr",'4'!G38),'4'!G38))))</f>
        <v/>
      </c>
      <c r="H38" s="19" t="str">
        <f>IF(ISBLANK('Raw counts'!H39),"",IF('7'!$V38=1,IF('3'!H38='7'!$V38,"sol",'4'!H38),IF('7'!$V38=2,IF('3'!H38&lt;='7'!$V38,"dul",'4'!H38),IF('7'!$V38&gt;=3,IF('3'!H38&lt;='7'!$V38,"shr",'4'!H38),'4'!H38))))</f>
        <v/>
      </c>
      <c r="I38" s="19" t="str">
        <f>IF(ISBLANK('Raw counts'!I39),"",IF('7'!$V38=1,IF('3'!I38='7'!$V38,"sol",'4'!I38),IF('7'!$V38=2,IF('3'!I38&lt;='7'!$V38,"dul",'4'!I38),IF('7'!$V38&gt;=3,IF('3'!I38&lt;='7'!$V38,"shr",'4'!I38),'4'!I38))))</f>
        <v/>
      </c>
      <c r="J38" s="19" t="str">
        <f>IF(ISBLANK('Raw counts'!J39),"",IF('7'!$V38=1,IF('3'!J38='7'!$V38,"sol",'4'!J38),IF('7'!$V38=2,IF('3'!J38&lt;='7'!$V38,"dul",'4'!J38),IF('7'!$V38&gt;=3,IF('3'!J38&lt;='7'!$V38,"shr",'4'!J38),'4'!J38))))</f>
        <v/>
      </c>
      <c r="K38" s="19" t="str">
        <f>IF(ISBLANK('Raw counts'!K39),"",IF('7'!$V38=1,IF('3'!K38='7'!$V38,"sol",'4'!K38),IF('7'!$V38=2,IF('3'!K38&lt;='7'!$V38,"dul",'4'!K38),IF('7'!$V38&gt;=3,IF('3'!K38&lt;='7'!$V38,"shr",'4'!K38),'4'!K38))))</f>
        <v/>
      </c>
      <c r="L38" s="19" t="str">
        <f>IF(ISBLANK('Raw counts'!L39),"",IF('7'!$V38=1,IF('3'!L38='7'!$V38,"sol",'4'!L38),IF('7'!$V38=2,IF('3'!L38&lt;='7'!$V38,"dul",'4'!L38),IF('7'!$V38&gt;=3,IF('3'!L38&lt;='7'!$V38,"shr",'4'!L38),'4'!L38))))</f>
        <v/>
      </c>
      <c r="M38" s="19" t="str">
        <f>IF(ISBLANK('Raw counts'!M39),"",IF('7'!$V38=1,IF('3'!M38='7'!$V38,"sol",'4'!M38),IF('7'!$V38=2,IF('3'!M38&lt;='7'!$V38,"dul",'4'!M38),IF('7'!$V38&gt;=3,IF('3'!M38&lt;='7'!$V38,"shr",'4'!M38),'4'!M38))))</f>
        <v/>
      </c>
      <c r="N38" s="19" t="str">
        <f>IF(ISBLANK('Raw counts'!N39),"",IF('7'!$V38=1,IF('3'!N38='7'!$V38,"sol",'4'!N38),IF('7'!$V38=2,IF('3'!N38&lt;='7'!$V38,"dul",'4'!N38),IF('7'!$V38&gt;=3,IF('3'!N38&lt;='7'!$V38,"shr",'4'!N38),'4'!N38))))</f>
        <v/>
      </c>
      <c r="O38" s="19" t="str">
        <f>IF(ISBLANK('Raw counts'!O39),"",IF('7'!$V38=1,IF('3'!O38='7'!$V38,"sol",'4'!O38),IF('7'!$V38=2,IF('3'!O38&lt;='7'!$V38,"dul",'4'!O38),IF('7'!$V38&gt;=3,IF('3'!O38&lt;='7'!$V38,"shr",'4'!O38),'4'!O38))))</f>
        <v/>
      </c>
      <c r="P38" s="19" t="str">
        <f>IF(ISBLANK('Raw counts'!P39),"",IF('7'!$V38=1,IF('3'!P38='7'!$V38,"sol",'4'!P38),IF('7'!$V38=2,IF('3'!P38&lt;='7'!$V38,"dul",'4'!P38),IF('7'!$V38&gt;=3,IF('3'!P38&lt;='7'!$V38,"shr",'4'!P38),'4'!P38))))</f>
        <v/>
      </c>
      <c r="Q38" s="19" t="str">
        <f>IF(ISBLANK('Raw counts'!Q39),"",IF('7'!$V38=1,IF('3'!Q38='7'!$V38,"sol",'4'!Q38),IF('7'!$V38=2,IF('3'!Q38&lt;='7'!$V38,"dul",'4'!Q38),IF('7'!$V38&gt;=3,IF('3'!Q38&lt;='7'!$V38,"shr",'4'!Q38),'4'!Q38))))</f>
        <v/>
      </c>
      <c r="R38" s="19" t="str">
        <f>IF(ISBLANK('Raw counts'!R39),"",IF('7'!$V38=1,IF('3'!R38='7'!$V38,"sol",'4'!R38),IF('7'!$V38=2,IF('3'!R38&lt;='7'!$V38,"dul",'4'!R38),IF('7'!$V38&gt;=3,IF('3'!R38&lt;='7'!$V38,"shr",'4'!R38),'4'!R38))))</f>
        <v/>
      </c>
      <c r="S38" s="19" t="str">
        <f>IF(ISBLANK('Raw counts'!S39),"",IF('7'!$V38=1,IF('3'!S38='7'!$V38,"sol",'4'!S38),IF('7'!$V38=2,IF('3'!S38&lt;='7'!$V38,"dul",'4'!S38),IF('7'!$V38&gt;=3,IF('3'!S38&lt;='7'!$V38,"shr",'4'!S38),'4'!S38))))</f>
        <v/>
      </c>
      <c r="T38" s="19" t="str">
        <f>IF(ISBLANK('Raw counts'!T39),"",IF('7'!$V38=1,IF('3'!T38='7'!$V38,"sol",'4'!T38),IF('7'!$V38=2,IF('3'!T38&lt;='7'!$V38,"dul",'4'!T38),IF('7'!$V38&gt;=3,IF('3'!T38&lt;='7'!$V38,"shr",'4'!T38),'4'!T38))))</f>
        <v/>
      </c>
      <c r="U38" s="19" t="str">
        <f>IF(ISBLANK('Raw counts'!U39),"",IF('7'!$V38=1,IF('3'!U38='7'!$V38,"sol",'4'!U38),IF('7'!$V38=2,IF('3'!U38&lt;='7'!$V38,"dul",'4'!U38),IF('7'!$V38&gt;=3,IF('3'!U38&lt;='7'!$V38,"shr",'4'!U38),'4'!U38))))</f>
        <v/>
      </c>
      <c r="V38" s="3">
        <f>'7'!V38</f>
        <v>0</v>
      </c>
    </row>
    <row r="39" spans="1:22" x14ac:dyDescent="0.15">
      <c r="A39" s="18" t="str">
        <f>IF(ISBLANK('Raw counts'!A40),"",'Raw counts'!A40)</f>
        <v>Attr36</v>
      </c>
      <c r="B39" s="19" t="str">
        <f>IF(ISBLANK('Raw counts'!B40),"",IF('7'!$V39=1,IF('3'!B39='7'!$V39,"sol",'4'!B39),IF('7'!$V39=2,IF('3'!B39&lt;='7'!$V39,"dul",'4'!B39),IF('7'!$V39&gt;=3,IF('3'!B39&lt;='7'!$V39,"shr",'4'!B39),'4'!B39))))</f>
        <v/>
      </c>
      <c r="C39" s="19" t="str">
        <f>IF(ISBLANK('Raw counts'!C40),"",IF('7'!$V39=1,IF('3'!C39='7'!$V39,"sol",'4'!C39),IF('7'!$V39=2,IF('3'!C39&lt;='7'!$V39,"dul",'4'!C39),IF('7'!$V39&gt;=3,IF('3'!C39&lt;='7'!$V39,"shr",'4'!C39),'4'!C39))))</f>
        <v/>
      </c>
      <c r="D39" s="19" t="str">
        <f>IF(ISBLANK('Raw counts'!D40),"",IF('7'!$V39=1,IF('3'!D39='7'!$V39,"sol",'4'!D39),IF('7'!$V39=2,IF('3'!D39&lt;='7'!$V39,"dul",'4'!D39),IF('7'!$V39&gt;=3,IF('3'!D39&lt;='7'!$V39,"shr",'4'!D39),'4'!D39))))</f>
        <v/>
      </c>
      <c r="E39" s="19" t="str">
        <f>IF(ISBLANK('Raw counts'!E40),"",IF('7'!$V39=1,IF('3'!E39='7'!$V39,"sol",'4'!E39),IF('7'!$V39=2,IF('3'!E39&lt;='7'!$V39,"dul",'4'!E39),IF('7'!$V39&gt;=3,IF('3'!E39&lt;='7'!$V39,"shr",'4'!E39),'4'!E39))))</f>
        <v/>
      </c>
      <c r="F39" s="19" t="str">
        <f>IF(ISBLANK('Raw counts'!F40),"",IF('7'!$V39=1,IF('3'!F39='7'!$V39,"sol",'4'!F39),IF('7'!$V39=2,IF('3'!F39&lt;='7'!$V39,"dul",'4'!F39),IF('7'!$V39&gt;=3,IF('3'!F39&lt;='7'!$V39,"shr",'4'!F39),'4'!F39))))</f>
        <v/>
      </c>
      <c r="G39" s="19" t="str">
        <f>IF(ISBLANK('Raw counts'!G40),"",IF('7'!$V39=1,IF('3'!G39='7'!$V39,"sol",'4'!G39),IF('7'!$V39=2,IF('3'!G39&lt;='7'!$V39,"dul",'4'!G39),IF('7'!$V39&gt;=3,IF('3'!G39&lt;='7'!$V39,"shr",'4'!G39),'4'!G39))))</f>
        <v/>
      </c>
      <c r="H39" s="19" t="str">
        <f>IF(ISBLANK('Raw counts'!H40),"",IF('7'!$V39=1,IF('3'!H39='7'!$V39,"sol",'4'!H39),IF('7'!$V39=2,IF('3'!H39&lt;='7'!$V39,"dul",'4'!H39),IF('7'!$V39&gt;=3,IF('3'!H39&lt;='7'!$V39,"shr",'4'!H39),'4'!H39))))</f>
        <v/>
      </c>
      <c r="I39" s="19" t="str">
        <f>IF(ISBLANK('Raw counts'!I40),"",IF('7'!$V39=1,IF('3'!I39='7'!$V39,"sol",'4'!I39),IF('7'!$V39=2,IF('3'!I39&lt;='7'!$V39,"dul",'4'!I39),IF('7'!$V39&gt;=3,IF('3'!I39&lt;='7'!$V39,"shr",'4'!I39),'4'!I39))))</f>
        <v/>
      </c>
      <c r="J39" s="19" t="str">
        <f>IF(ISBLANK('Raw counts'!J40),"",IF('7'!$V39=1,IF('3'!J39='7'!$V39,"sol",'4'!J39),IF('7'!$V39=2,IF('3'!J39&lt;='7'!$V39,"dul",'4'!J39),IF('7'!$V39&gt;=3,IF('3'!J39&lt;='7'!$V39,"shr",'4'!J39),'4'!J39))))</f>
        <v/>
      </c>
      <c r="K39" s="19" t="str">
        <f>IF(ISBLANK('Raw counts'!K40),"",IF('7'!$V39=1,IF('3'!K39='7'!$V39,"sol",'4'!K39),IF('7'!$V39=2,IF('3'!K39&lt;='7'!$V39,"dul",'4'!K39),IF('7'!$V39&gt;=3,IF('3'!K39&lt;='7'!$V39,"shr",'4'!K39),'4'!K39))))</f>
        <v/>
      </c>
      <c r="L39" s="19" t="str">
        <f>IF(ISBLANK('Raw counts'!L40),"",IF('7'!$V39=1,IF('3'!L39='7'!$V39,"sol",'4'!L39),IF('7'!$V39=2,IF('3'!L39&lt;='7'!$V39,"dul",'4'!L39),IF('7'!$V39&gt;=3,IF('3'!L39&lt;='7'!$V39,"shr",'4'!L39),'4'!L39))))</f>
        <v/>
      </c>
      <c r="M39" s="19" t="str">
        <f>IF(ISBLANK('Raw counts'!M40),"",IF('7'!$V39=1,IF('3'!M39='7'!$V39,"sol",'4'!M39),IF('7'!$V39=2,IF('3'!M39&lt;='7'!$V39,"dul",'4'!M39),IF('7'!$V39&gt;=3,IF('3'!M39&lt;='7'!$V39,"shr",'4'!M39),'4'!M39))))</f>
        <v/>
      </c>
      <c r="N39" s="19" t="str">
        <f>IF(ISBLANK('Raw counts'!N40),"",IF('7'!$V39=1,IF('3'!N39='7'!$V39,"sol",'4'!N39),IF('7'!$V39=2,IF('3'!N39&lt;='7'!$V39,"dul",'4'!N39),IF('7'!$V39&gt;=3,IF('3'!N39&lt;='7'!$V39,"shr",'4'!N39),'4'!N39))))</f>
        <v/>
      </c>
      <c r="O39" s="19" t="str">
        <f>IF(ISBLANK('Raw counts'!O40),"",IF('7'!$V39=1,IF('3'!O39='7'!$V39,"sol",'4'!O39),IF('7'!$V39=2,IF('3'!O39&lt;='7'!$V39,"dul",'4'!O39),IF('7'!$V39&gt;=3,IF('3'!O39&lt;='7'!$V39,"shr",'4'!O39),'4'!O39))))</f>
        <v/>
      </c>
      <c r="P39" s="19" t="str">
        <f>IF(ISBLANK('Raw counts'!P40),"",IF('7'!$V39=1,IF('3'!P39='7'!$V39,"sol",'4'!P39),IF('7'!$V39=2,IF('3'!P39&lt;='7'!$V39,"dul",'4'!P39),IF('7'!$V39&gt;=3,IF('3'!P39&lt;='7'!$V39,"shr",'4'!P39),'4'!P39))))</f>
        <v/>
      </c>
      <c r="Q39" s="19" t="str">
        <f>IF(ISBLANK('Raw counts'!Q40),"",IF('7'!$V39=1,IF('3'!Q39='7'!$V39,"sol",'4'!Q39),IF('7'!$V39=2,IF('3'!Q39&lt;='7'!$V39,"dul",'4'!Q39),IF('7'!$V39&gt;=3,IF('3'!Q39&lt;='7'!$V39,"shr",'4'!Q39),'4'!Q39))))</f>
        <v/>
      </c>
      <c r="R39" s="19" t="str">
        <f>IF(ISBLANK('Raw counts'!R40),"",IF('7'!$V39=1,IF('3'!R39='7'!$V39,"sol",'4'!R39),IF('7'!$V39=2,IF('3'!R39&lt;='7'!$V39,"dul",'4'!R39),IF('7'!$V39&gt;=3,IF('3'!R39&lt;='7'!$V39,"shr",'4'!R39),'4'!R39))))</f>
        <v/>
      </c>
      <c r="S39" s="19" t="str">
        <f>IF(ISBLANK('Raw counts'!S40),"",IF('7'!$V39=1,IF('3'!S39='7'!$V39,"sol",'4'!S39),IF('7'!$V39=2,IF('3'!S39&lt;='7'!$V39,"dul",'4'!S39),IF('7'!$V39&gt;=3,IF('3'!S39&lt;='7'!$V39,"shr",'4'!S39),'4'!S39))))</f>
        <v/>
      </c>
      <c r="T39" s="19" t="str">
        <f>IF(ISBLANK('Raw counts'!T40),"",IF('7'!$V39=1,IF('3'!T39='7'!$V39,"sol",'4'!T39),IF('7'!$V39=2,IF('3'!T39&lt;='7'!$V39,"dul",'4'!T39),IF('7'!$V39&gt;=3,IF('3'!T39&lt;='7'!$V39,"shr",'4'!T39),'4'!T39))))</f>
        <v/>
      </c>
      <c r="U39" s="19" t="str">
        <f>IF(ISBLANK('Raw counts'!U40),"",IF('7'!$V39=1,IF('3'!U39='7'!$V39,"sol",'4'!U39),IF('7'!$V39=2,IF('3'!U39&lt;='7'!$V39,"dul",'4'!U39),IF('7'!$V39&gt;=3,IF('3'!U39&lt;='7'!$V39,"shr",'4'!U39),'4'!U39))))</f>
        <v/>
      </c>
      <c r="V39" s="3">
        <f>'7'!V39</f>
        <v>0</v>
      </c>
    </row>
    <row r="40" spans="1:22" x14ac:dyDescent="0.15">
      <c r="A40" s="18" t="str">
        <f>IF(ISBLANK('Raw counts'!A41),"",'Raw counts'!A41)</f>
        <v>Attr37</v>
      </c>
      <c r="B40" s="19" t="str">
        <f>IF(ISBLANK('Raw counts'!B41),"",IF('7'!$V40=1,IF('3'!B40='7'!$V40,"sol",'4'!B40),IF('7'!$V40=2,IF('3'!B40&lt;='7'!$V40,"dul",'4'!B40),IF('7'!$V40&gt;=3,IF('3'!B40&lt;='7'!$V40,"shr",'4'!B40),'4'!B40))))</f>
        <v/>
      </c>
      <c r="C40" s="19" t="str">
        <f>IF(ISBLANK('Raw counts'!C41),"",IF('7'!$V40=1,IF('3'!C40='7'!$V40,"sol",'4'!C40),IF('7'!$V40=2,IF('3'!C40&lt;='7'!$V40,"dul",'4'!C40),IF('7'!$V40&gt;=3,IF('3'!C40&lt;='7'!$V40,"shr",'4'!C40),'4'!C40))))</f>
        <v/>
      </c>
      <c r="D40" s="19" t="str">
        <f>IF(ISBLANK('Raw counts'!D41),"",IF('7'!$V40=1,IF('3'!D40='7'!$V40,"sol",'4'!D40),IF('7'!$V40=2,IF('3'!D40&lt;='7'!$V40,"dul",'4'!D40),IF('7'!$V40&gt;=3,IF('3'!D40&lt;='7'!$V40,"shr",'4'!D40),'4'!D40))))</f>
        <v/>
      </c>
      <c r="E40" s="19" t="str">
        <f>IF(ISBLANK('Raw counts'!E41),"",IF('7'!$V40=1,IF('3'!E40='7'!$V40,"sol",'4'!E40),IF('7'!$V40=2,IF('3'!E40&lt;='7'!$V40,"dul",'4'!E40),IF('7'!$V40&gt;=3,IF('3'!E40&lt;='7'!$V40,"shr",'4'!E40),'4'!E40))))</f>
        <v/>
      </c>
      <c r="F40" s="19" t="str">
        <f>IF(ISBLANK('Raw counts'!F41),"",IF('7'!$V40=1,IF('3'!F40='7'!$V40,"sol",'4'!F40),IF('7'!$V40=2,IF('3'!F40&lt;='7'!$V40,"dul",'4'!F40),IF('7'!$V40&gt;=3,IF('3'!F40&lt;='7'!$V40,"shr",'4'!F40),'4'!F40))))</f>
        <v/>
      </c>
      <c r="G40" s="19" t="str">
        <f>IF(ISBLANK('Raw counts'!G41),"",IF('7'!$V40=1,IF('3'!G40='7'!$V40,"sol",'4'!G40),IF('7'!$V40=2,IF('3'!G40&lt;='7'!$V40,"dul",'4'!G40),IF('7'!$V40&gt;=3,IF('3'!G40&lt;='7'!$V40,"shr",'4'!G40),'4'!G40))))</f>
        <v/>
      </c>
      <c r="H40" s="19" t="str">
        <f>IF(ISBLANK('Raw counts'!H41),"",IF('7'!$V40=1,IF('3'!H40='7'!$V40,"sol",'4'!H40),IF('7'!$V40=2,IF('3'!H40&lt;='7'!$V40,"dul",'4'!H40),IF('7'!$V40&gt;=3,IF('3'!H40&lt;='7'!$V40,"shr",'4'!H40),'4'!H40))))</f>
        <v/>
      </c>
      <c r="I40" s="19" t="str">
        <f>IF(ISBLANK('Raw counts'!I41),"",IF('7'!$V40=1,IF('3'!I40='7'!$V40,"sol",'4'!I40),IF('7'!$V40=2,IF('3'!I40&lt;='7'!$V40,"dul",'4'!I40),IF('7'!$V40&gt;=3,IF('3'!I40&lt;='7'!$V40,"shr",'4'!I40),'4'!I40))))</f>
        <v/>
      </c>
      <c r="J40" s="19" t="str">
        <f>IF(ISBLANK('Raw counts'!J41),"",IF('7'!$V40=1,IF('3'!J40='7'!$V40,"sol",'4'!J40),IF('7'!$V40=2,IF('3'!J40&lt;='7'!$V40,"dul",'4'!J40),IF('7'!$V40&gt;=3,IF('3'!J40&lt;='7'!$V40,"shr",'4'!J40),'4'!J40))))</f>
        <v/>
      </c>
      <c r="K40" s="19" t="str">
        <f>IF(ISBLANK('Raw counts'!K41),"",IF('7'!$V40=1,IF('3'!K40='7'!$V40,"sol",'4'!K40),IF('7'!$V40=2,IF('3'!K40&lt;='7'!$V40,"dul",'4'!K40),IF('7'!$V40&gt;=3,IF('3'!K40&lt;='7'!$V40,"shr",'4'!K40),'4'!K40))))</f>
        <v/>
      </c>
      <c r="L40" s="19" t="str">
        <f>IF(ISBLANK('Raw counts'!L41),"",IF('7'!$V40=1,IF('3'!L40='7'!$V40,"sol",'4'!L40),IF('7'!$V40=2,IF('3'!L40&lt;='7'!$V40,"dul",'4'!L40),IF('7'!$V40&gt;=3,IF('3'!L40&lt;='7'!$V40,"shr",'4'!L40),'4'!L40))))</f>
        <v/>
      </c>
      <c r="M40" s="19" t="str">
        <f>IF(ISBLANK('Raw counts'!M41),"",IF('7'!$V40=1,IF('3'!M40='7'!$V40,"sol",'4'!M40),IF('7'!$V40=2,IF('3'!M40&lt;='7'!$V40,"dul",'4'!M40),IF('7'!$V40&gt;=3,IF('3'!M40&lt;='7'!$V40,"shr",'4'!M40),'4'!M40))))</f>
        <v/>
      </c>
      <c r="N40" s="19" t="str">
        <f>IF(ISBLANK('Raw counts'!N41),"",IF('7'!$V40=1,IF('3'!N40='7'!$V40,"sol",'4'!N40),IF('7'!$V40=2,IF('3'!N40&lt;='7'!$V40,"dul",'4'!N40),IF('7'!$V40&gt;=3,IF('3'!N40&lt;='7'!$V40,"shr",'4'!N40),'4'!N40))))</f>
        <v/>
      </c>
      <c r="O40" s="19" t="str">
        <f>IF(ISBLANK('Raw counts'!O41),"",IF('7'!$V40=1,IF('3'!O40='7'!$V40,"sol",'4'!O40),IF('7'!$V40=2,IF('3'!O40&lt;='7'!$V40,"dul",'4'!O40),IF('7'!$V40&gt;=3,IF('3'!O40&lt;='7'!$V40,"shr",'4'!O40),'4'!O40))))</f>
        <v/>
      </c>
      <c r="P40" s="19" t="str">
        <f>IF(ISBLANK('Raw counts'!P41),"",IF('7'!$V40=1,IF('3'!P40='7'!$V40,"sol",'4'!P40),IF('7'!$V40=2,IF('3'!P40&lt;='7'!$V40,"dul",'4'!P40),IF('7'!$V40&gt;=3,IF('3'!P40&lt;='7'!$V40,"shr",'4'!P40),'4'!P40))))</f>
        <v/>
      </c>
      <c r="Q40" s="19" t="str">
        <f>IF(ISBLANK('Raw counts'!Q41),"",IF('7'!$V40=1,IF('3'!Q40='7'!$V40,"sol",'4'!Q40),IF('7'!$V40=2,IF('3'!Q40&lt;='7'!$V40,"dul",'4'!Q40),IF('7'!$V40&gt;=3,IF('3'!Q40&lt;='7'!$V40,"shr",'4'!Q40),'4'!Q40))))</f>
        <v/>
      </c>
      <c r="R40" s="19" t="str">
        <f>IF(ISBLANK('Raw counts'!R41),"",IF('7'!$V40=1,IF('3'!R40='7'!$V40,"sol",'4'!R40),IF('7'!$V40=2,IF('3'!R40&lt;='7'!$V40,"dul",'4'!R40),IF('7'!$V40&gt;=3,IF('3'!R40&lt;='7'!$V40,"shr",'4'!R40),'4'!R40))))</f>
        <v/>
      </c>
      <c r="S40" s="19" t="str">
        <f>IF(ISBLANK('Raw counts'!S41),"",IF('7'!$V40=1,IF('3'!S40='7'!$V40,"sol",'4'!S40),IF('7'!$V40=2,IF('3'!S40&lt;='7'!$V40,"dul",'4'!S40),IF('7'!$V40&gt;=3,IF('3'!S40&lt;='7'!$V40,"shr",'4'!S40),'4'!S40))))</f>
        <v/>
      </c>
      <c r="T40" s="19" t="str">
        <f>IF(ISBLANK('Raw counts'!T41),"",IF('7'!$V40=1,IF('3'!T40='7'!$V40,"sol",'4'!T40),IF('7'!$V40=2,IF('3'!T40&lt;='7'!$V40,"dul",'4'!T40),IF('7'!$V40&gt;=3,IF('3'!T40&lt;='7'!$V40,"shr",'4'!T40),'4'!T40))))</f>
        <v/>
      </c>
      <c r="U40" s="19" t="str">
        <f>IF(ISBLANK('Raw counts'!U41),"",IF('7'!$V40=1,IF('3'!U40='7'!$V40,"sol",'4'!U40),IF('7'!$V40=2,IF('3'!U40&lt;='7'!$V40,"dul",'4'!U40),IF('7'!$V40&gt;=3,IF('3'!U40&lt;='7'!$V40,"shr",'4'!U40),'4'!U40))))</f>
        <v/>
      </c>
      <c r="V40" s="3">
        <f>'7'!V40</f>
        <v>0</v>
      </c>
    </row>
    <row r="41" spans="1:22" x14ac:dyDescent="0.15">
      <c r="A41" s="18" t="str">
        <f>IF(ISBLANK('Raw counts'!A42),"",'Raw counts'!A42)</f>
        <v>Attr38</v>
      </c>
      <c r="B41" s="19" t="str">
        <f>IF(ISBLANK('Raw counts'!B42),"",IF('7'!$V41=1,IF('3'!B41='7'!$V41,"sol",'4'!B41),IF('7'!$V41=2,IF('3'!B41&lt;='7'!$V41,"dul",'4'!B41),IF('7'!$V41&gt;=3,IF('3'!B41&lt;='7'!$V41,"shr",'4'!B41),'4'!B41))))</f>
        <v/>
      </c>
      <c r="C41" s="19" t="str">
        <f>IF(ISBLANK('Raw counts'!C42),"",IF('7'!$V41=1,IF('3'!C41='7'!$V41,"sol",'4'!C41),IF('7'!$V41=2,IF('3'!C41&lt;='7'!$V41,"dul",'4'!C41),IF('7'!$V41&gt;=3,IF('3'!C41&lt;='7'!$V41,"shr",'4'!C41),'4'!C41))))</f>
        <v/>
      </c>
      <c r="D41" s="19" t="str">
        <f>IF(ISBLANK('Raw counts'!D42),"",IF('7'!$V41=1,IF('3'!D41='7'!$V41,"sol",'4'!D41),IF('7'!$V41=2,IF('3'!D41&lt;='7'!$V41,"dul",'4'!D41),IF('7'!$V41&gt;=3,IF('3'!D41&lt;='7'!$V41,"shr",'4'!D41),'4'!D41))))</f>
        <v/>
      </c>
      <c r="E41" s="19" t="str">
        <f>IF(ISBLANK('Raw counts'!E42),"",IF('7'!$V41=1,IF('3'!E41='7'!$V41,"sol",'4'!E41),IF('7'!$V41=2,IF('3'!E41&lt;='7'!$V41,"dul",'4'!E41),IF('7'!$V41&gt;=3,IF('3'!E41&lt;='7'!$V41,"shr",'4'!E41),'4'!E41))))</f>
        <v/>
      </c>
      <c r="F41" s="19" t="str">
        <f>IF(ISBLANK('Raw counts'!F42),"",IF('7'!$V41=1,IF('3'!F41='7'!$V41,"sol",'4'!F41),IF('7'!$V41=2,IF('3'!F41&lt;='7'!$V41,"dul",'4'!F41),IF('7'!$V41&gt;=3,IF('3'!F41&lt;='7'!$V41,"shr",'4'!F41),'4'!F41))))</f>
        <v/>
      </c>
      <c r="G41" s="19" t="str">
        <f>IF(ISBLANK('Raw counts'!G42),"",IF('7'!$V41=1,IF('3'!G41='7'!$V41,"sol",'4'!G41),IF('7'!$V41=2,IF('3'!G41&lt;='7'!$V41,"dul",'4'!G41),IF('7'!$V41&gt;=3,IF('3'!G41&lt;='7'!$V41,"shr",'4'!G41),'4'!G41))))</f>
        <v/>
      </c>
      <c r="H41" s="19" t="str">
        <f>IF(ISBLANK('Raw counts'!H42),"",IF('7'!$V41=1,IF('3'!H41='7'!$V41,"sol",'4'!H41),IF('7'!$V41=2,IF('3'!H41&lt;='7'!$V41,"dul",'4'!H41),IF('7'!$V41&gt;=3,IF('3'!H41&lt;='7'!$V41,"shr",'4'!H41),'4'!H41))))</f>
        <v/>
      </c>
      <c r="I41" s="19" t="str">
        <f>IF(ISBLANK('Raw counts'!I42),"",IF('7'!$V41=1,IF('3'!I41='7'!$V41,"sol",'4'!I41),IF('7'!$V41=2,IF('3'!I41&lt;='7'!$V41,"dul",'4'!I41),IF('7'!$V41&gt;=3,IF('3'!I41&lt;='7'!$V41,"shr",'4'!I41),'4'!I41))))</f>
        <v/>
      </c>
      <c r="J41" s="19" t="str">
        <f>IF(ISBLANK('Raw counts'!J42),"",IF('7'!$V41=1,IF('3'!J41='7'!$V41,"sol",'4'!J41),IF('7'!$V41=2,IF('3'!J41&lt;='7'!$V41,"dul",'4'!J41),IF('7'!$V41&gt;=3,IF('3'!J41&lt;='7'!$V41,"shr",'4'!J41),'4'!J41))))</f>
        <v/>
      </c>
      <c r="K41" s="19" t="str">
        <f>IF(ISBLANK('Raw counts'!K42),"",IF('7'!$V41=1,IF('3'!K41='7'!$V41,"sol",'4'!K41),IF('7'!$V41=2,IF('3'!K41&lt;='7'!$V41,"dul",'4'!K41),IF('7'!$V41&gt;=3,IF('3'!K41&lt;='7'!$V41,"shr",'4'!K41),'4'!K41))))</f>
        <v/>
      </c>
      <c r="L41" s="19" t="str">
        <f>IF(ISBLANK('Raw counts'!L42),"",IF('7'!$V41=1,IF('3'!L41='7'!$V41,"sol",'4'!L41),IF('7'!$V41=2,IF('3'!L41&lt;='7'!$V41,"dul",'4'!L41),IF('7'!$V41&gt;=3,IF('3'!L41&lt;='7'!$V41,"shr",'4'!L41),'4'!L41))))</f>
        <v/>
      </c>
      <c r="M41" s="19" t="str">
        <f>IF(ISBLANK('Raw counts'!M42),"",IF('7'!$V41=1,IF('3'!M41='7'!$V41,"sol",'4'!M41),IF('7'!$V41=2,IF('3'!M41&lt;='7'!$V41,"dul",'4'!M41),IF('7'!$V41&gt;=3,IF('3'!M41&lt;='7'!$V41,"shr",'4'!M41),'4'!M41))))</f>
        <v/>
      </c>
      <c r="N41" s="19" t="str">
        <f>IF(ISBLANK('Raw counts'!N42),"",IF('7'!$V41=1,IF('3'!N41='7'!$V41,"sol",'4'!N41),IF('7'!$V41=2,IF('3'!N41&lt;='7'!$V41,"dul",'4'!N41),IF('7'!$V41&gt;=3,IF('3'!N41&lt;='7'!$V41,"shr",'4'!N41),'4'!N41))))</f>
        <v/>
      </c>
      <c r="O41" s="19" t="str">
        <f>IF(ISBLANK('Raw counts'!O42),"",IF('7'!$V41=1,IF('3'!O41='7'!$V41,"sol",'4'!O41),IF('7'!$V41=2,IF('3'!O41&lt;='7'!$V41,"dul",'4'!O41),IF('7'!$V41&gt;=3,IF('3'!O41&lt;='7'!$V41,"shr",'4'!O41),'4'!O41))))</f>
        <v/>
      </c>
      <c r="P41" s="19" t="str">
        <f>IF(ISBLANK('Raw counts'!P42),"",IF('7'!$V41=1,IF('3'!P41='7'!$V41,"sol",'4'!P41),IF('7'!$V41=2,IF('3'!P41&lt;='7'!$V41,"dul",'4'!P41),IF('7'!$V41&gt;=3,IF('3'!P41&lt;='7'!$V41,"shr",'4'!P41),'4'!P41))))</f>
        <v/>
      </c>
      <c r="Q41" s="19" t="str">
        <f>IF(ISBLANK('Raw counts'!Q42),"",IF('7'!$V41=1,IF('3'!Q41='7'!$V41,"sol",'4'!Q41),IF('7'!$V41=2,IF('3'!Q41&lt;='7'!$V41,"dul",'4'!Q41),IF('7'!$V41&gt;=3,IF('3'!Q41&lt;='7'!$V41,"shr",'4'!Q41),'4'!Q41))))</f>
        <v/>
      </c>
      <c r="R41" s="19" t="str">
        <f>IF(ISBLANK('Raw counts'!R42),"",IF('7'!$V41=1,IF('3'!R41='7'!$V41,"sol",'4'!R41),IF('7'!$V41=2,IF('3'!R41&lt;='7'!$V41,"dul",'4'!R41),IF('7'!$V41&gt;=3,IF('3'!R41&lt;='7'!$V41,"shr",'4'!R41),'4'!R41))))</f>
        <v/>
      </c>
      <c r="S41" s="19" t="str">
        <f>IF(ISBLANK('Raw counts'!S42),"",IF('7'!$V41=1,IF('3'!S41='7'!$V41,"sol",'4'!S41),IF('7'!$V41=2,IF('3'!S41&lt;='7'!$V41,"dul",'4'!S41),IF('7'!$V41&gt;=3,IF('3'!S41&lt;='7'!$V41,"shr",'4'!S41),'4'!S41))))</f>
        <v/>
      </c>
      <c r="T41" s="19" t="str">
        <f>IF(ISBLANK('Raw counts'!T42),"",IF('7'!$V41=1,IF('3'!T41='7'!$V41,"sol",'4'!T41),IF('7'!$V41=2,IF('3'!T41&lt;='7'!$V41,"dul",'4'!T41),IF('7'!$V41&gt;=3,IF('3'!T41&lt;='7'!$V41,"shr",'4'!T41),'4'!T41))))</f>
        <v/>
      </c>
      <c r="U41" s="19" t="str">
        <f>IF(ISBLANK('Raw counts'!U42),"",IF('7'!$V41=1,IF('3'!U41='7'!$V41,"sol",'4'!U41),IF('7'!$V41=2,IF('3'!U41&lt;='7'!$V41,"dul",'4'!U41),IF('7'!$V41&gt;=3,IF('3'!U41&lt;='7'!$V41,"shr",'4'!U41),'4'!U41))))</f>
        <v/>
      </c>
      <c r="V41" s="3">
        <f>'7'!V41</f>
        <v>0</v>
      </c>
    </row>
    <row r="42" spans="1:22" x14ac:dyDescent="0.15">
      <c r="A42" s="18" t="str">
        <f>IF(ISBLANK('Raw counts'!A43),"",'Raw counts'!A43)</f>
        <v>Attr39</v>
      </c>
      <c r="B42" s="19" t="str">
        <f>IF(ISBLANK('Raw counts'!B43),"",IF('7'!$V42=1,IF('3'!B42='7'!$V42,"sol",'4'!B42),IF('7'!$V42=2,IF('3'!B42&lt;='7'!$V42,"dul",'4'!B42),IF('7'!$V42&gt;=3,IF('3'!B42&lt;='7'!$V42,"shr",'4'!B42),'4'!B42))))</f>
        <v/>
      </c>
      <c r="C42" s="19" t="str">
        <f>IF(ISBLANK('Raw counts'!C43),"",IF('7'!$V42=1,IF('3'!C42='7'!$V42,"sol",'4'!C42),IF('7'!$V42=2,IF('3'!C42&lt;='7'!$V42,"dul",'4'!C42),IF('7'!$V42&gt;=3,IF('3'!C42&lt;='7'!$V42,"shr",'4'!C42),'4'!C42))))</f>
        <v/>
      </c>
      <c r="D42" s="19" t="str">
        <f>IF(ISBLANK('Raw counts'!D43),"",IF('7'!$V42=1,IF('3'!D42='7'!$V42,"sol",'4'!D42),IF('7'!$V42=2,IF('3'!D42&lt;='7'!$V42,"dul",'4'!D42),IF('7'!$V42&gt;=3,IF('3'!D42&lt;='7'!$V42,"shr",'4'!D42),'4'!D42))))</f>
        <v/>
      </c>
      <c r="E42" s="19" t="str">
        <f>IF(ISBLANK('Raw counts'!E43),"",IF('7'!$V42=1,IF('3'!E42='7'!$V42,"sol",'4'!E42),IF('7'!$V42=2,IF('3'!E42&lt;='7'!$V42,"dul",'4'!E42),IF('7'!$V42&gt;=3,IF('3'!E42&lt;='7'!$V42,"shr",'4'!E42),'4'!E42))))</f>
        <v/>
      </c>
      <c r="F42" s="19" t="str">
        <f>IF(ISBLANK('Raw counts'!F43),"",IF('7'!$V42=1,IF('3'!F42='7'!$V42,"sol",'4'!F42),IF('7'!$V42=2,IF('3'!F42&lt;='7'!$V42,"dul",'4'!F42),IF('7'!$V42&gt;=3,IF('3'!F42&lt;='7'!$V42,"shr",'4'!F42),'4'!F42))))</f>
        <v/>
      </c>
      <c r="G42" s="19" t="str">
        <f>IF(ISBLANK('Raw counts'!G43),"",IF('7'!$V42=1,IF('3'!G42='7'!$V42,"sol",'4'!G42),IF('7'!$V42=2,IF('3'!G42&lt;='7'!$V42,"dul",'4'!G42),IF('7'!$V42&gt;=3,IF('3'!G42&lt;='7'!$V42,"shr",'4'!G42),'4'!G42))))</f>
        <v/>
      </c>
      <c r="H42" s="19" t="str">
        <f>IF(ISBLANK('Raw counts'!H43),"",IF('7'!$V42=1,IF('3'!H42='7'!$V42,"sol",'4'!H42),IF('7'!$V42=2,IF('3'!H42&lt;='7'!$V42,"dul",'4'!H42),IF('7'!$V42&gt;=3,IF('3'!H42&lt;='7'!$V42,"shr",'4'!H42),'4'!H42))))</f>
        <v/>
      </c>
      <c r="I42" s="19" t="str">
        <f>IF(ISBLANK('Raw counts'!I43),"",IF('7'!$V42=1,IF('3'!I42='7'!$V42,"sol",'4'!I42),IF('7'!$V42=2,IF('3'!I42&lt;='7'!$V42,"dul",'4'!I42),IF('7'!$V42&gt;=3,IF('3'!I42&lt;='7'!$V42,"shr",'4'!I42),'4'!I42))))</f>
        <v/>
      </c>
      <c r="J42" s="19" t="str">
        <f>IF(ISBLANK('Raw counts'!J43),"",IF('7'!$V42=1,IF('3'!J42='7'!$V42,"sol",'4'!J42),IF('7'!$V42=2,IF('3'!J42&lt;='7'!$V42,"dul",'4'!J42),IF('7'!$V42&gt;=3,IF('3'!J42&lt;='7'!$V42,"shr",'4'!J42),'4'!J42))))</f>
        <v/>
      </c>
      <c r="K42" s="19" t="str">
        <f>IF(ISBLANK('Raw counts'!K43),"",IF('7'!$V42=1,IF('3'!K42='7'!$V42,"sol",'4'!K42),IF('7'!$V42=2,IF('3'!K42&lt;='7'!$V42,"dul",'4'!K42),IF('7'!$V42&gt;=3,IF('3'!K42&lt;='7'!$V42,"shr",'4'!K42),'4'!K42))))</f>
        <v/>
      </c>
      <c r="L42" s="19" t="str">
        <f>IF(ISBLANK('Raw counts'!L43),"",IF('7'!$V42=1,IF('3'!L42='7'!$V42,"sol",'4'!L42),IF('7'!$V42=2,IF('3'!L42&lt;='7'!$V42,"dul",'4'!L42),IF('7'!$V42&gt;=3,IF('3'!L42&lt;='7'!$V42,"shr",'4'!L42),'4'!L42))))</f>
        <v/>
      </c>
      <c r="M42" s="19" t="str">
        <f>IF(ISBLANK('Raw counts'!M43),"",IF('7'!$V42=1,IF('3'!M42='7'!$V42,"sol",'4'!M42),IF('7'!$V42=2,IF('3'!M42&lt;='7'!$V42,"dul",'4'!M42),IF('7'!$V42&gt;=3,IF('3'!M42&lt;='7'!$V42,"shr",'4'!M42),'4'!M42))))</f>
        <v/>
      </c>
      <c r="N42" s="19" t="str">
        <f>IF(ISBLANK('Raw counts'!N43),"",IF('7'!$V42=1,IF('3'!N42='7'!$V42,"sol",'4'!N42),IF('7'!$V42=2,IF('3'!N42&lt;='7'!$V42,"dul",'4'!N42),IF('7'!$V42&gt;=3,IF('3'!N42&lt;='7'!$V42,"shr",'4'!N42),'4'!N42))))</f>
        <v/>
      </c>
      <c r="O42" s="19" t="str">
        <f>IF(ISBLANK('Raw counts'!O43),"",IF('7'!$V42=1,IF('3'!O42='7'!$V42,"sol",'4'!O42),IF('7'!$V42=2,IF('3'!O42&lt;='7'!$V42,"dul",'4'!O42),IF('7'!$V42&gt;=3,IF('3'!O42&lt;='7'!$V42,"shr",'4'!O42),'4'!O42))))</f>
        <v/>
      </c>
      <c r="P42" s="19" t="str">
        <f>IF(ISBLANK('Raw counts'!P43),"",IF('7'!$V42=1,IF('3'!P42='7'!$V42,"sol",'4'!P42),IF('7'!$V42=2,IF('3'!P42&lt;='7'!$V42,"dul",'4'!P42),IF('7'!$V42&gt;=3,IF('3'!P42&lt;='7'!$V42,"shr",'4'!P42),'4'!P42))))</f>
        <v/>
      </c>
      <c r="Q42" s="19" t="str">
        <f>IF(ISBLANK('Raw counts'!Q43),"",IF('7'!$V42=1,IF('3'!Q42='7'!$V42,"sol",'4'!Q42),IF('7'!$V42=2,IF('3'!Q42&lt;='7'!$V42,"dul",'4'!Q42),IF('7'!$V42&gt;=3,IF('3'!Q42&lt;='7'!$V42,"shr",'4'!Q42),'4'!Q42))))</f>
        <v/>
      </c>
      <c r="R42" s="19" t="str">
        <f>IF(ISBLANK('Raw counts'!R43),"",IF('7'!$V42=1,IF('3'!R42='7'!$V42,"sol",'4'!R42),IF('7'!$V42=2,IF('3'!R42&lt;='7'!$V42,"dul",'4'!R42),IF('7'!$V42&gt;=3,IF('3'!R42&lt;='7'!$V42,"shr",'4'!R42),'4'!R42))))</f>
        <v/>
      </c>
      <c r="S42" s="19" t="str">
        <f>IF(ISBLANK('Raw counts'!S43),"",IF('7'!$V42=1,IF('3'!S42='7'!$V42,"sol",'4'!S42),IF('7'!$V42=2,IF('3'!S42&lt;='7'!$V42,"dul",'4'!S42),IF('7'!$V42&gt;=3,IF('3'!S42&lt;='7'!$V42,"shr",'4'!S42),'4'!S42))))</f>
        <v/>
      </c>
      <c r="T42" s="19" t="str">
        <f>IF(ISBLANK('Raw counts'!T43),"",IF('7'!$V42=1,IF('3'!T42='7'!$V42,"sol",'4'!T42),IF('7'!$V42=2,IF('3'!T42&lt;='7'!$V42,"dul",'4'!T42),IF('7'!$V42&gt;=3,IF('3'!T42&lt;='7'!$V42,"shr",'4'!T42),'4'!T42))))</f>
        <v/>
      </c>
      <c r="U42" s="19" t="str">
        <f>IF(ISBLANK('Raw counts'!U43),"",IF('7'!$V42=1,IF('3'!U42='7'!$V42,"sol",'4'!U42),IF('7'!$V42=2,IF('3'!U42&lt;='7'!$V42,"dul",'4'!U42),IF('7'!$V42&gt;=3,IF('3'!U42&lt;='7'!$V42,"shr",'4'!U42),'4'!U42))))</f>
        <v/>
      </c>
      <c r="V42" s="3">
        <f>'7'!V42</f>
        <v>0</v>
      </c>
    </row>
    <row r="43" spans="1:22" x14ac:dyDescent="0.15">
      <c r="A43" s="18" t="str">
        <f>IF(ISBLANK('Raw counts'!A44),"",'Raw counts'!A44)</f>
        <v>Attr40</v>
      </c>
      <c r="B43" s="19" t="str">
        <f>IF(ISBLANK('Raw counts'!B44),"",IF('7'!$V43=1,IF('3'!B43='7'!$V43,"sol",'4'!B43),IF('7'!$V43=2,IF('3'!B43&lt;='7'!$V43,"dul",'4'!B43),IF('7'!$V43&gt;=3,IF('3'!B43&lt;='7'!$V43,"shr",'4'!B43),'4'!B43))))</f>
        <v/>
      </c>
      <c r="C43" s="19" t="str">
        <f>IF(ISBLANK('Raw counts'!C44),"",IF('7'!$V43=1,IF('3'!C43='7'!$V43,"sol",'4'!C43),IF('7'!$V43=2,IF('3'!C43&lt;='7'!$V43,"dul",'4'!C43),IF('7'!$V43&gt;=3,IF('3'!C43&lt;='7'!$V43,"shr",'4'!C43),'4'!C43))))</f>
        <v/>
      </c>
      <c r="D43" s="19" t="str">
        <f>IF(ISBLANK('Raw counts'!D44),"",IF('7'!$V43=1,IF('3'!D43='7'!$V43,"sol",'4'!D43),IF('7'!$V43=2,IF('3'!D43&lt;='7'!$V43,"dul",'4'!D43),IF('7'!$V43&gt;=3,IF('3'!D43&lt;='7'!$V43,"shr",'4'!D43),'4'!D43))))</f>
        <v/>
      </c>
      <c r="E43" s="19" t="str">
        <f>IF(ISBLANK('Raw counts'!E44),"",IF('7'!$V43=1,IF('3'!E43='7'!$V43,"sol",'4'!E43),IF('7'!$V43=2,IF('3'!E43&lt;='7'!$V43,"dul",'4'!E43),IF('7'!$V43&gt;=3,IF('3'!E43&lt;='7'!$V43,"shr",'4'!E43),'4'!E43))))</f>
        <v/>
      </c>
      <c r="F43" s="19" t="str">
        <f>IF(ISBLANK('Raw counts'!F44),"",IF('7'!$V43=1,IF('3'!F43='7'!$V43,"sol",'4'!F43),IF('7'!$V43=2,IF('3'!F43&lt;='7'!$V43,"dul",'4'!F43),IF('7'!$V43&gt;=3,IF('3'!F43&lt;='7'!$V43,"shr",'4'!F43),'4'!F43))))</f>
        <v/>
      </c>
      <c r="G43" s="19" t="str">
        <f>IF(ISBLANK('Raw counts'!G44),"",IF('7'!$V43=1,IF('3'!G43='7'!$V43,"sol",'4'!G43),IF('7'!$V43=2,IF('3'!G43&lt;='7'!$V43,"dul",'4'!G43),IF('7'!$V43&gt;=3,IF('3'!G43&lt;='7'!$V43,"shr",'4'!G43),'4'!G43))))</f>
        <v/>
      </c>
      <c r="H43" s="19" t="str">
        <f>IF(ISBLANK('Raw counts'!H44),"",IF('7'!$V43=1,IF('3'!H43='7'!$V43,"sol",'4'!H43),IF('7'!$V43=2,IF('3'!H43&lt;='7'!$V43,"dul",'4'!H43),IF('7'!$V43&gt;=3,IF('3'!H43&lt;='7'!$V43,"shr",'4'!H43),'4'!H43))))</f>
        <v/>
      </c>
      <c r="I43" s="19" t="str">
        <f>IF(ISBLANK('Raw counts'!I44),"",IF('7'!$V43=1,IF('3'!I43='7'!$V43,"sol",'4'!I43),IF('7'!$V43=2,IF('3'!I43&lt;='7'!$V43,"dul",'4'!I43),IF('7'!$V43&gt;=3,IF('3'!I43&lt;='7'!$V43,"shr",'4'!I43),'4'!I43))))</f>
        <v/>
      </c>
      <c r="J43" s="19" t="str">
        <f>IF(ISBLANK('Raw counts'!J44),"",IF('7'!$V43=1,IF('3'!J43='7'!$V43,"sol",'4'!J43),IF('7'!$V43=2,IF('3'!J43&lt;='7'!$V43,"dul",'4'!J43),IF('7'!$V43&gt;=3,IF('3'!J43&lt;='7'!$V43,"shr",'4'!J43),'4'!J43))))</f>
        <v/>
      </c>
      <c r="K43" s="19" t="str">
        <f>IF(ISBLANK('Raw counts'!K44),"",IF('7'!$V43=1,IF('3'!K43='7'!$V43,"sol",'4'!K43),IF('7'!$V43=2,IF('3'!K43&lt;='7'!$V43,"dul",'4'!K43),IF('7'!$V43&gt;=3,IF('3'!K43&lt;='7'!$V43,"shr",'4'!K43),'4'!K43))))</f>
        <v/>
      </c>
      <c r="L43" s="19" t="str">
        <f>IF(ISBLANK('Raw counts'!L44),"",IF('7'!$V43=1,IF('3'!L43='7'!$V43,"sol",'4'!L43),IF('7'!$V43=2,IF('3'!L43&lt;='7'!$V43,"dul",'4'!L43),IF('7'!$V43&gt;=3,IF('3'!L43&lt;='7'!$V43,"shr",'4'!L43),'4'!L43))))</f>
        <v/>
      </c>
      <c r="M43" s="19" t="str">
        <f>IF(ISBLANK('Raw counts'!M44),"",IF('7'!$V43=1,IF('3'!M43='7'!$V43,"sol",'4'!M43),IF('7'!$V43=2,IF('3'!M43&lt;='7'!$V43,"dul",'4'!M43),IF('7'!$V43&gt;=3,IF('3'!M43&lt;='7'!$V43,"shr",'4'!M43),'4'!M43))))</f>
        <v/>
      </c>
      <c r="N43" s="19" t="str">
        <f>IF(ISBLANK('Raw counts'!N44),"",IF('7'!$V43=1,IF('3'!N43='7'!$V43,"sol",'4'!N43),IF('7'!$V43=2,IF('3'!N43&lt;='7'!$V43,"dul",'4'!N43),IF('7'!$V43&gt;=3,IF('3'!N43&lt;='7'!$V43,"shr",'4'!N43),'4'!N43))))</f>
        <v/>
      </c>
      <c r="O43" s="19" t="str">
        <f>IF(ISBLANK('Raw counts'!O44),"",IF('7'!$V43=1,IF('3'!O43='7'!$V43,"sol",'4'!O43),IF('7'!$V43=2,IF('3'!O43&lt;='7'!$V43,"dul",'4'!O43),IF('7'!$V43&gt;=3,IF('3'!O43&lt;='7'!$V43,"shr",'4'!O43),'4'!O43))))</f>
        <v/>
      </c>
      <c r="P43" s="19" t="str">
        <f>IF(ISBLANK('Raw counts'!P44),"",IF('7'!$V43=1,IF('3'!P43='7'!$V43,"sol",'4'!P43),IF('7'!$V43=2,IF('3'!P43&lt;='7'!$V43,"dul",'4'!P43),IF('7'!$V43&gt;=3,IF('3'!P43&lt;='7'!$V43,"shr",'4'!P43),'4'!P43))))</f>
        <v/>
      </c>
      <c r="Q43" s="19" t="str">
        <f>IF(ISBLANK('Raw counts'!Q44),"",IF('7'!$V43=1,IF('3'!Q43='7'!$V43,"sol",'4'!Q43),IF('7'!$V43=2,IF('3'!Q43&lt;='7'!$V43,"dul",'4'!Q43),IF('7'!$V43&gt;=3,IF('3'!Q43&lt;='7'!$V43,"shr",'4'!Q43),'4'!Q43))))</f>
        <v/>
      </c>
      <c r="R43" s="19" t="str">
        <f>IF(ISBLANK('Raw counts'!R44),"",IF('7'!$V43=1,IF('3'!R43='7'!$V43,"sol",'4'!R43),IF('7'!$V43=2,IF('3'!R43&lt;='7'!$V43,"dul",'4'!R43),IF('7'!$V43&gt;=3,IF('3'!R43&lt;='7'!$V43,"shr",'4'!R43),'4'!R43))))</f>
        <v/>
      </c>
      <c r="S43" s="19" t="str">
        <f>IF(ISBLANK('Raw counts'!S44),"",IF('7'!$V43=1,IF('3'!S43='7'!$V43,"sol",'4'!S43),IF('7'!$V43=2,IF('3'!S43&lt;='7'!$V43,"dul",'4'!S43),IF('7'!$V43&gt;=3,IF('3'!S43&lt;='7'!$V43,"shr",'4'!S43),'4'!S43))))</f>
        <v/>
      </c>
      <c r="T43" s="19" t="str">
        <f>IF(ISBLANK('Raw counts'!T44),"",IF('7'!$V43=1,IF('3'!T43='7'!$V43,"sol",'4'!T43),IF('7'!$V43=2,IF('3'!T43&lt;='7'!$V43,"dul",'4'!T43),IF('7'!$V43&gt;=3,IF('3'!T43&lt;='7'!$V43,"shr",'4'!T43),'4'!T43))))</f>
        <v/>
      </c>
      <c r="U43" s="19" t="str">
        <f>IF(ISBLANK('Raw counts'!U44),"",IF('7'!$V43=1,IF('3'!U43='7'!$V43,"sol",'4'!U43),IF('7'!$V43=2,IF('3'!U43&lt;='7'!$V43,"dul",'4'!U43),IF('7'!$V43&gt;=3,IF('3'!U43&lt;='7'!$V43,"shr",'4'!U43),'4'!U43))))</f>
        <v/>
      </c>
      <c r="V43" s="3">
        <f>'7'!V43</f>
        <v>0</v>
      </c>
    </row>
    <row r="44" spans="1:22" x14ac:dyDescent="0.15">
      <c r="A44" s="18" t="str">
        <f>IF(ISBLANK('Raw counts'!A45),"",'Raw counts'!A45)</f>
        <v>Attr41</v>
      </c>
      <c r="B44" s="19" t="str">
        <f>IF(ISBLANK('Raw counts'!B45),"",IF('7'!$V44=1,IF('3'!B44='7'!$V44,"sol",'4'!B44),IF('7'!$V44=2,IF('3'!B44&lt;='7'!$V44,"dul",'4'!B44),IF('7'!$V44&gt;=3,IF('3'!B44&lt;='7'!$V44,"shr",'4'!B44),'4'!B44))))</f>
        <v/>
      </c>
      <c r="C44" s="19" t="str">
        <f>IF(ISBLANK('Raw counts'!C45),"",IF('7'!$V44=1,IF('3'!C44='7'!$V44,"sol",'4'!C44),IF('7'!$V44=2,IF('3'!C44&lt;='7'!$V44,"dul",'4'!C44),IF('7'!$V44&gt;=3,IF('3'!C44&lt;='7'!$V44,"shr",'4'!C44),'4'!C44))))</f>
        <v/>
      </c>
      <c r="D44" s="19" t="str">
        <f>IF(ISBLANK('Raw counts'!D45),"",IF('7'!$V44=1,IF('3'!D44='7'!$V44,"sol",'4'!D44),IF('7'!$V44=2,IF('3'!D44&lt;='7'!$V44,"dul",'4'!D44),IF('7'!$V44&gt;=3,IF('3'!D44&lt;='7'!$V44,"shr",'4'!D44),'4'!D44))))</f>
        <v/>
      </c>
      <c r="E44" s="19" t="str">
        <f>IF(ISBLANK('Raw counts'!E45),"",IF('7'!$V44=1,IF('3'!E44='7'!$V44,"sol",'4'!E44),IF('7'!$V44=2,IF('3'!E44&lt;='7'!$V44,"dul",'4'!E44),IF('7'!$V44&gt;=3,IF('3'!E44&lt;='7'!$V44,"shr",'4'!E44),'4'!E44))))</f>
        <v/>
      </c>
      <c r="F44" s="19" t="str">
        <f>IF(ISBLANK('Raw counts'!F45),"",IF('7'!$V44=1,IF('3'!F44='7'!$V44,"sol",'4'!F44),IF('7'!$V44=2,IF('3'!F44&lt;='7'!$V44,"dul",'4'!F44),IF('7'!$V44&gt;=3,IF('3'!F44&lt;='7'!$V44,"shr",'4'!F44),'4'!F44))))</f>
        <v/>
      </c>
      <c r="G44" s="19" t="str">
        <f>IF(ISBLANK('Raw counts'!G45),"",IF('7'!$V44=1,IF('3'!G44='7'!$V44,"sol",'4'!G44),IF('7'!$V44=2,IF('3'!G44&lt;='7'!$V44,"dul",'4'!G44),IF('7'!$V44&gt;=3,IF('3'!G44&lt;='7'!$V44,"shr",'4'!G44),'4'!G44))))</f>
        <v/>
      </c>
      <c r="H44" s="19" t="str">
        <f>IF(ISBLANK('Raw counts'!H45),"",IF('7'!$V44=1,IF('3'!H44='7'!$V44,"sol",'4'!H44),IF('7'!$V44=2,IF('3'!H44&lt;='7'!$V44,"dul",'4'!H44),IF('7'!$V44&gt;=3,IF('3'!H44&lt;='7'!$V44,"shr",'4'!H44),'4'!H44))))</f>
        <v/>
      </c>
      <c r="I44" s="19" t="str">
        <f>IF(ISBLANK('Raw counts'!I45),"",IF('7'!$V44=1,IF('3'!I44='7'!$V44,"sol",'4'!I44),IF('7'!$V44=2,IF('3'!I44&lt;='7'!$V44,"dul",'4'!I44),IF('7'!$V44&gt;=3,IF('3'!I44&lt;='7'!$V44,"shr",'4'!I44),'4'!I44))))</f>
        <v/>
      </c>
      <c r="J44" s="19" t="str">
        <f>IF(ISBLANK('Raw counts'!J45),"",IF('7'!$V44=1,IF('3'!J44='7'!$V44,"sol",'4'!J44),IF('7'!$V44=2,IF('3'!J44&lt;='7'!$V44,"dul",'4'!J44),IF('7'!$V44&gt;=3,IF('3'!J44&lt;='7'!$V44,"shr",'4'!J44),'4'!J44))))</f>
        <v/>
      </c>
      <c r="K44" s="19" t="str">
        <f>IF(ISBLANK('Raw counts'!K45),"",IF('7'!$V44=1,IF('3'!K44='7'!$V44,"sol",'4'!K44),IF('7'!$V44=2,IF('3'!K44&lt;='7'!$V44,"dul",'4'!K44),IF('7'!$V44&gt;=3,IF('3'!K44&lt;='7'!$V44,"shr",'4'!K44),'4'!K44))))</f>
        <v/>
      </c>
      <c r="L44" s="19" t="str">
        <f>IF(ISBLANK('Raw counts'!L45),"",IF('7'!$V44=1,IF('3'!L44='7'!$V44,"sol",'4'!L44),IF('7'!$V44=2,IF('3'!L44&lt;='7'!$V44,"dul",'4'!L44),IF('7'!$V44&gt;=3,IF('3'!L44&lt;='7'!$V44,"shr",'4'!L44),'4'!L44))))</f>
        <v/>
      </c>
      <c r="M44" s="19" t="str">
        <f>IF(ISBLANK('Raw counts'!M45),"",IF('7'!$V44=1,IF('3'!M44='7'!$V44,"sol",'4'!M44),IF('7'!$V44=2,IF('3'!M44&lt;='7'!$V44,"dul",'4'!M44),IF('7'!$V44&gt;=3,IF('3'!M44&lt;='7'!$V44,"shr",'4'!M44),'4'!M44))))</f>
        <v/>
      </c>
      <c r="N44" s="19" t="str">
        <f>IF(ISBLANK('Raw counts'!N45),"",IF('7'!$V44=1,IF('3'!N44='7'!$V44,"sol",'4'!N44),IF('7'!$V44=2,IF('3'!N44&lt;='7'!$V44,"dul",'4'!N44),IF('7'!$V44&gt;=3,IF('3'!N44&lt;='7'!$V44,"shr",'4'!N44),'4'!N44))))</f>
        <v/>
      </c>
      <c r="O44" s="19" t="str">
        <f>IF(ISBLANK('Raw counts'!O45),"",IF('7'!$V44=1,IF('3'!O44='7'!$V44,"sol",'4'!O44),IF('7'!$V44=2,IF('3'!O44&lt;='7'!$V44,"dul",'4'!O44),IF('7'!$V44&gt;=3,IF('3'!O44&lt;='7'!$V44,"shr",'4'!O44),'4'!O44))))</f>
        <v/>
      </c>
      <c r="P44" s="19" t="str">
        <f>IF(ISBLANK('Raw counts'!P45),"",IF('7'!$V44=1,IF('3'!P44='7'!$V44,"sol",'4'!P44),IF('7'!$V44=2,IF('3'!P44&lt;='7'!$V44,"dul",'4'!P44),IF('7'!$V44&gt;=3,IF('3'!P44&lt;='7'!$V44,"shr",'4'!P44),'4'!P44))))</f>
        <v/>
      </c>
      <c r="Q44" s="19" t="str">
        <f>IF(ISBLANK('Raw counts'!Q45),"",IF('7'!$V44=1,IF('3'!Q44='7'!$V44,"sol",'4'!Q44),IF('7'!$V44=2,IF('3'!Q44&lt;='7'!$V44,"dul",'4'!Q44),IF('7'!$V44&gt;=3,IF('3'!Q44&lt;='7'!$V44,"shr",'4'!Q44),'4'!Q44))))</f>
        <v/>
      </c>
      <c r="R44" s="19" t="str">
        <f>IF(ISBLANK('Raw counts'!R45),"",IF('7'!$V44=1,IF('3'!R44='7'!$V44,"sol",'4'!R44),IF('7'!$V44=2,IF('3'!R44&lt;='7'!$V44,"dul",'4'!R44),IF('7'!$V44&gt;=3,IF('3'!R44&lt;='7'!$V44,"shr",'4'!R44),'4'!R44))))</f>
        <v/>
      </c>
      <c r="S44" s="19" t="str">
        <f>IF(ISBLANK('Raw counts'!S45),"",IF('7'!$V44=1,IF('3'!S44='7'!$V44,"sol",'4'!S44),IF('7'!$V44=2,IF('3'!S44&lt;='7'!$V44,"dul",'4'!S44),IF('7'!$V44&gt;=3,IF('3'!S44&lt;='7'!$V44,"shr",'4'!S44),'4'!S44))))</f>
        <v/>
      </c>
      <c r="T44" s="19" t="str">
        <f>IF(ISBLANK('Raw counts'!T45),"",IF('7'!$V44=1,IF('3'!T44='7'!$V44,"sol",'4'!T44),IF('7'!$V44=2,IF('3'!T44&lt;='7'!$V44,"dul",'4'!T44),IF('7'!$V44&gt;=3,IF('3'!T44&lt;='7'!$V44,"shr",'4'!T44),'4'!T44))))</f>
        <v/>
      </c>
      <c r="U44" s="19" t="str">
        <f>IF(ISBLANK('Raw counts'!U45),"",IF('7'!$V44=1,IF('3'!U44='7'!$V44,"sol",'4'!U44),IF('7'!$V44=2,IF('3'!U44&lt;='7'!$V44,"dul",'4'!U44),IF('7'!$V44&gt;=3,IF('3'!U44&lt;='7'!$V44,"shr",'4'!U44),'4'!U44))))</f>
        <v/>
      </c>
      <c r="V44" s="3">
        <f>'7'!V44</f>
        <v>0</v>
      </c>
    </row>
    <row r="45" spans="1:22" x14ac:dyDescent="0.15">
      <c r="A45" s="18" t="str">
        <f>IF(ISBLANK('Raw counts'!A46),"",'Raw counts'!A46)</f>
        <v>Attr42</v>
      </c>
      <c r="B45" s="19" t="str">
        <f>IF(ISBLANK('Raw counts'!B46),"",IF('7'!$V45=1,IF('3'!B45='7'!$V45,"sol",'4'!B45),IF('7'!$V45=2,IF('3'!B45&lt;='7'!$V45,"dul",'4'!B45),IF('7'!$V45&gt;=3,IF('3'!B45&lt;='7'!$V45,"shr",'4'!B45),'4'!B45))))</f>
        <v/>
      </c>
      <c r="C45" s="19" t="str">
        <f>IF(ISBLANK('Raw counts'!C46),"",IF('7'!$V45=1,IF('3'!C45='7'!$V45,"sol",'4'!C45),IF('7'!$V45=2,IF('3'!C45&lt;='7'!$V45,"dul",'4'!C45),IF('7'!$V45&gt;=3,IF('3'!C45&lt;='7'!$V45,"shr",'4'!C45),'4'!C45))))</f>
        <v/>
      </c>
      <c r="D45" s="19" t="str">
        <f>IF(ISBLANK('Raw counts'!D46),"",IF('7'!$V45=1,IF('3'!D45='7'!$V45,"sol",'4'!D45),IF('7'!$V45=2,IF('3'!D45&lt;='7'!$V45,"dul",'4'!D45),IF('7'!$V45&gt;=3,IF('3'!D45&lt;='7'!$V45,"shr",'4'!D45),'4'!D45))))</f>
        <v/>
      </c>
      <c r="E45" s="19" t="str">
        <f>IF(ISBLANK('Raw counts'!E46),"",IF('7'!$V45=1,IF('3'!E45='7'!$V45,"sol",'4'!E45),IF('7'!$V45=2,IF('3'!E45&lt;='7'!$V45,"dul",'4'!E45),IF('7'!$V45&gt;=3,IF('3'!E45&lt;='7'!$V45,"shr",'4'!E45),'4'!E45))))</f>
        <v/>
      </c>
      <c r="F45" s="19" t="str">
        <f>IF(ISBLANK('Raw counts'!F46),"",IF('7'!$V45=1,IF('3'!F45='7'!$V45,"sol",'4'!F45),IF('7'!$V45=2,IF('3'!F45&lt;='7'!$V45,"dul",'4'!F45),IF('7'!$V45&gt;=3,IF('3'!F45&lt;='7'!$V45,"shr",'4'!F45),'4'!F45))))</f>
        <v/>
      </c>
      <c r="G45" s="19" t="str">
        <f>IF(ISBLANK('Raw counts'!G46),"",IF('7'!$V45=1,IF('3'!G45='7'!$V45,"sol",'4'!G45),IF('7'!$V45=2,IF('3'!G45&lt;='7'!$V45,"dul",'4'!G45),IF('7'!$V45&gt;=3,IF('3'!G45&lt;='7'!$V45,"shr",'4'!G45),'4'!G45))))</f>
        <v/>
      </c>
      <c r="H45" s="19" t="str">
        <f>IF(ISBLANK('Raw counts'!H46),"",IF('7'!$V45=1,IF('3'!H45='7'!$V45,"sol",'4'!H45),IF('7'!$V45=2,IF('3'!H45&lt;='7'!$V45,"dul",'4'!H45),IF('7'!$V45&gt;=3,IF('3'!H45&lt;='7'!$V45,"shr",'4'!H45),'4'!H45))))</f>
        <v/>
      </c>
      <c r="I45" s="19" t="str">
        <f>IF(ISBLANK('Raw counts'!I46),"",IF('7'!$V45=1,IF('3'!I45='7'!$V45,"sol",'4'!I45),IF('7'!$V45=2,IF('3'!I45&lt;='7'!$V45,"dul",'4'!I45),IF('7'!$V45&gt;=3,IF('3'!I45&lt;='7'!$V45,"shr",'4'!I45),'4'!I45))))</f>
        <v/>
      </c>
      <c r="J45" s="19" t="str">
        <f>IF(ISBLANK('Raw counts'!J46),"",IF('7'!$V45=1,IF('3'!J45='7'!$V45,"sol",'4'!J45),IF('7'!$V45=2,IF('3'!J45&lt;='7'!$V45,"dul",'4'!J45),IF('7'!$V45&gt;=3,IF('3'!J45&lt;='7'!$V45,"shr",'4'!J45),'4'!J45))))</f>
        <v/>
      </c>
      <c r="K45" s="19" t="str">
        <f>IF(ISBLANK('Raw counts'!K46),"",IF('7'!$V45=1,IF('3'!K45='7'!$V45,"sol",'4'!K45),IF('7'!$V45=2,IF('3'!K45&lt;='7'!$V45,"dul",'4'!K45),IF('7'!$V45&gt;=3,IF('3'!K45&lt;='7'!$V45,"shr",'4'!K45),'4'!K45))))</f>
        <v/>
      </c>
      <c r="L45" s="19" t="str">
        <f>IF(ISBLANK('Raw counts'!L46),"",IF('7'!$V45=1,IF('3'!L45='7'!$V45,"sol",'4'!L45),IF('7'!$V45=2,IF('3'!L45&lt;='7'!$V45,"dul",'4'!L45),IF('7'!$V45&gt;=3,IF('3'!L45&lt;='7'!$V45,"shr",'4'!L45),'4'!L45))))</f>
        <v/>
      </c>
      <c r="M45" s="19" t="str">
        <f>IF(ISBLANK('Raw counts'!M46),"",IF('7'!$V45=1,IF('3'!M45='7'!$V45,"sol",'4'!M45),IF('7'!$V45=2,IF('3'!M45&lt;='7'!$V45,"dul",'4'!M45),IF('7'!$V45&gt;=3,IF('3'!M45&lt;='7'!$V45,"shr",'4'!M45),'4'!M45))))</f>
        <v/>
      </c>
      <c r="N45" s="19" t="str">
        <f>IF(ISBLANK('Raw counts'!N46),"",IF('7'!$V45=1,IF('3'!N45='7'!$V45,"sol",'4'!N45),IF('7'!$V45=2,IF('3'!N45&lt;='7'!$V45,"dul",'4'!N45),IF('7'!$V45&gt;=3,IF('3'!N45&lt;='7'!$V45,"shr",'4'!N45),'4'!N45))))</f>
        <v/>
      </c>
      <c r="O45" s="19" t="str">
        <f>IF(ISBLANK('Raw counts'!O46),"",IF('7'!$V45=1,IF('3'!O45='7'!$V45,"sol",'4'!O45),IF('7'!$V45=2,IF('3'!O45&lt;='7'!$V45,"dul",'4'!O45),IF('7'!$V45&gt;=3,IF('3'!O45&lt;='7'!$V45,"shr",'4'!O45),'4'!O45))))</f>
        <v/>
      </c>
      <c r="P45" s="19" t="str">
        <f>IF(ISBLANK('Raw counts'!P46),"",IF('7'!$V45=1,IF('3'!P45='7'!$V45,"sol",'4'!P45),IF('7'!$V45=2,IF('3'!P45&lt;='7'!$V45,"dul",'4'!P45),IF('7'!$V45&gt;=3,IF('3'!P45&lt;='7'!$V45,"shr",'4'!P45),'4'!P45))))</f>
        <v/>
      </c>
      <c r="Q45" s="19" t="str">
        <f>IF(ISBLANK('Raw counts'!Q46),"",IF('7'!$V45=1,IF('3'!Q45='7'!$V45,"sol",'4'!Q45),IF('7'!$V45=2,IF('3'!Q45&lt;='7'!$V45,"dul",'4'!Q45),IF('7'!$V45&gt;=3,IF('3'!Q45&lt;='7'!$V45,"shr",'4'!Q45),'4'!Q45))))</f>
        <v/>
      </c>
      <c r="R45" s="19" t="str">
        <f>IF(ISBLANK('Raw counts'!R46),"",IF('7'!$V45=1,IF('3'!R45='7'!$V45,"sol",'4'!R45),IF('7'!$V45=2,IF('3'!R45&lt;='7'!$V45,"dul",'4'!R45),IF('7'!$V45&gt;=3,IF('3'!R45&lt;='7'!$V45,"shr",'4'!R45),'4'!R45))))</f>
        <v/>
      </c>
      <c r="S45" s="19" t="str">
        <f>IF(ISBLANK('Raw counts'!S46),"",IF('7'!$V45=1,IF('3'!S45='7'!$V45,"sol",'4'!S45),IF('7'!$V45=2,IF('3'!S45&lt;='7'!$V45,"dul",'4'!S45),IF('7'!$V45&gt;=3,IF('3'!S45&lt;='7'!$V45,"shr",'4'!S45),'4'!S45))))</f>
        <v/>
      </c>
      <c r="T45" s="19" t="str">
        <f>IF(ISBLANK('Raw counts'!T46),"",IF('7'!$V45=1,IF('3'!T45='7'!$V45,"sol",'4'!T45),IF('7'!$V45=2,IF('3'!T45&lt;='7'!$V45,"dul",'4'!T45),IF('7'!$V45&gt;=3,IF('3'!T45&lt;='7'!$V45,"shr",'4'!T45),'4'!T45))))</f>
        <v/>
      </c>
      <c r="U45" s="19" t="str">
        <f>IF(ISBLANK('Raw counts'!U46),"",IF('7'!$V45=1,IF('3'!U45='7'!$V45,"sol",'4'!U45),IF('7'!$V45=2,IF('3'!U45&lt;='7'!$V45,"dul",'4'!U45),IF('7'!$V45&gt;=3,IF('3'!U45&lt;='7'!$V45,"shr",'4'!U45),'4'!U45))))</f>
        <v/>
      </c>
      <c r="V45" s="3">
        <f>'7'!V45</f>
        <v>0</v>
      </c>
    </row>
    <row r="46" spans="1:22" x14ac:dyDescent="0.15">
      <c r="A46" s="18" t="str">
        <f>IF(ISBLANK('Raw counts'!A47),"",'Raw counts'!A47)</f>
        <v>Attr43</v>
      </c>
      <c r="B46" s="19" t="str">
        <f>IF(ISBLANK('Raw counts'!B47),"",IF('7'!$V46=1,IF('3'!B46='7'!$V46,"sol",'4'!B46),IF('7'!$V46=2,IF('3'!B46&lt;='7'!$V46,"dul",'4'!B46),IF('7'!$V46&gt;=3,IF('3'!B46&lt;='7'!$V46,"shr",'4'!B46),'4'!B46))))</f>
        <v/>
      </c>
      <c r="C46" s="19" t="str">
        <f>IF(ISBLANK('Raw counts'!C47),"",IF('7'!$V46=1,IF('3'!C46='7'!$V46,"sol",'4'!C46),IF('7'!$V46=2,IF('3'!C46&lt;='7'!$V46,"dul",'4'!C46),IF('7'!$V46&gt;=3,IF('3'!C46&lt;='7'!$V46,"shr",'4'!C46),'4'!C46))))</f>
        <v/>
      </c>
      <c r="D46" s="19" t="str">
        <f>IF(ISBLANK('Raw counts'!D47),"",IF('7'!$V46=1,IF('3'!D46='7'!$V46,"sol",'4'!D46),IF('7'!$V46=2,IF('3'!D46&lt;='7'!$V46,"dul",'4'!D46),IF('7'!$V46&gt;=3,IF('3'!D46&lt;='7'!$V46,"shr",'4'!D46),'4'!D46))))</f>
        <v/>
      </c>
      <c r="E46" s="19" t="str">
        <f>IF(ISBLANK('Raw counts'!E47),"",IF('7'!$V46=1,IF('3'!E46='7'!$V46,"sol",'4'!E46),IF('7'!$V46=2,IF('3'!E46&lt;='7'!$V46,"dul",'4'!E46),IF('7'!$V46&gt;=3,IF('3'!E46&lt;='7'!$V46,"shr",'4'!E46),'4'!E46))))</f>
        <v/>
      </c>
      <c r="F46" s="19" t="str">
        <f>IF(ISBLANK('Raw counts'!F47),"",IF('7'!$V46=1,IF('3'!F46='7'!$V46,"sol",'4'!F46),IF('7'!$V46=2,IF('3'!F46&lt;='7'!$V46,"dul",'4'!F46),IF('7'!$V46&gt;=3,IF('3'!F46&lt;='7'!$V46,"shr",'4'!F46),'4'!F46))))</f>
        <v/>
      </c>
      <c r="G46" s="19" t="str">
        <f>IF(ISBLANK('Raw counts'!G47),"",IF('7'!$V46=1,IF('3'!G46='7'!$V46,"sol",'4'!G46),IF('7'!$V46=2,IF('3'!G46&lt;='7'!$V46,"dul",'4'!G46),IF('7'!$V46&gt;=3,IF('3'!G46&lt;='7'!$V46,"shr",'4'!G46),'4'!G46))))</f>
        <v/>
      </c>
      <c r="H46" s="19" t="str">
        <f>IF(ISBLANK('Raw counts'!H47),"",IF('7'!$V46=1,IF('3'!H46='7'!$V46,"sol",'4'!H46),IF('7'!$V46=2,IF('3'!H46&lt;='7'!$V46,"dul",'4'!H46),IF('7'!$V46&gt;=3,IF('3'!H46&lt;='7'!$V46,"shr",'4'!H46),'4'!H46))))</f>
        <v/>
      </c>
      <c r="I46" s="19" t="str">
        <f>IF(ISBLANK('Raw counts'!I47),"",IF('7'!$V46=1,IF('3'!I46='7'!$V46,"sol",'4'!I46),IF('7'!$V46=2,IF('3'!I46&lt;='7'!$V46,"dul",'4'!I46),IF('7'!$V46&gt;=3,IF('3'!I46&lt;='7'!$V46,"shr",'4'!I46),'4'!I46))))</f>
        <v/>
      </c>
      <c r="J46" s="19" t="str">
        <f>IF(ISBLANK('Raw counts'!J47),"",IF('7'!$V46=1,IF('3'!J46='7'!$V46,"sol",'4'!J46),IF('7'!$V46=2,IF('3'!J46&lt;='7'!$V46,"dul",'4'!J46),IF('7'!$V46&gt;=3,IF('3'!J46&lt;='7'!$V46,"shr",'4'!J46),'4'!J46))))</f>
        <v/>
      </c>
      <c r="K46" s="19" t="str">
        <f>IF(ISBLANK('Raw counts'!K47),"",IF('7'!$V46=1,IF('3'!K46='7'!$V46,"sol",'4'!K46),IF('7'!$V46=2,IF('3'!K46&lt;='7'!$V46,"dul",'4'!K46),IF('7'!$V46&gt;=3,IF('3'!K46&lt;='7'!$V46,"shr",'4'!K46),'4'!K46))))</f>
        <v/>
      </c>
      <c r="L46" s="19" t="str">
        <f>IF(ISBLANK('Raw counts'!L47),"",IF('7'!$V46=1,IF('3'!L46='7'!$V46,"sol",'4'!L46),IF('7'!$V46=2,IF('3'!L46&lt;='7'!$V46,"dul",'4'!L46),IF('7'!$V46&gt;=3,IF('3'!L46&lt;='7'!$V46,"shr",'4'!L46),'4'!L46))))</f>
        <v/>
      </c>
      <c r="M46" s="19" t="str">
        <f>IF(ISBLANK('Raw counts'!M47),"",IF('7'!$V46=1,IF('3'!M46='7'!$V46,"sol",'4'!M46),IF('7'!$V46=2,IF('3'!M46&lt;='7'!$V46,"dul",'4'!M46),IF('7'!$V46&gt;=3,IF('3'!M46&lt;='7'!$V46,"shr",'4'!M46),'4'!M46))))</f>
        <v/>
      </c>
      <c r="N46" s="19" t="str">
        <f>IF(ISBLANK('Raw counts'!N47),"",IF('7'!$V46=1,IF('3'!N46='7'!$V46,"sol",'4'!N46),IF('7'!$V46=2,IF('3'!N46&lt;='7'!$V46,"dul",'4'!N46),IF('7'!$V46&gt;=3,IF('3'!N46&lt;='7'!$V46,"shr",'4'!N46),'4'!N46))))</f>
        <v/>
      </c>
      <c r="O46" s="19" t="str">
        <f>IF(ISBLANK('Raw counts'!O47),"",IF('7'!$V46=1,IF('3'!O46='7'!$V46,"sol",'4'!O46),IF('7'!$V46=2,IF('3'!O46&lt;='7'!$V46,"dul",'4'!O46),IF('7'!$V46&gt;=3,IF('3'!O46&lt;='7'!$V46,"shr",'4'!O46),'4'!O46))))</f>
        <v/>
      </c>
      <c r="P46" s="19" t="str">
        <f>IF(ISBLANK('Raw counts'!P47),"",IF('7'!$V46=1,IF('3'!P46='7'!$V46,"sol",'4'!P46),IF('7'!$V46=2,IF('3'!P46&lt;='7'!$V46,"dul",'4'!P46),IF('7'!$V46&gt;=3,IF('3'!P46&lt;='7'!$V46,"shr",'4'!P46),'4'!P46))))</f>
        <v/>
      </c>
      <c r="Q46" s="19" t="str">
        <f>IF(ISBLANK('Raw counts'!Q47),"",IF('7'!$V46=1,IF('3'!Q46='7'!$V46,"sol",'4'!Q46),IF('7'!$V46=2,IF('3'!Q46&lt;='7'!$V46,"dul",'4'!Q46),IF('7'!$V46&gt;=3,IF('3'!Q46&lt;='7'!$V46,"shr",'4'!Q46),'4'!Q46))))</f>
        <v/>
      </c>
      <c r="R46" s="19" t="str">
        <f>IF(ISBLANK('Raw counts'!R47),"",IF('7'!$V46=1,IF('3'!R46='7'!$V46,"sol",'4'!R46),IF('7'!$V46=2,IF('3'!R46&lt;='7'!$V46,"dul",'4'!R46),IF('7'!$V46&gt;=3,IF('3'!R46&lt;='7'!$V46,"shr",'4'!R46),'4'!R46))))</f>
        <v/>
      </c>
      <c r="S46" s="19" t="str">
        <f>IF(ISBLANK('Raw counts'!S47),"",IF('7'!$V46=1,IF('3'!S46='7'!$V46,"sol",'4'!S46),IF('7'!$V46=2,IF('3'!S46&lt;='7'!$V46,"dul",'4'!S46),IF('7'!$V46&gt;=3,IF('3'!S46&lt;='7'!$V46,"shr",'4'!S46),'4'!S46))))</f>
        <v/>
      </c>
      <c r="T46" s="19" t="str">
        <f>IF(ISBLANK('Raw counts'!T47),"",IF('7'!$V46=1,IF('3'!T46='7'!$V46,"sol",'4'!T46),IF('7'!$V46=2,IF('3'!T46&lt;='7'!$V46,"dul",'4'!T46),IF('7'!$V46&gt;=3,IF('3'!T46&lt;='7'!$V46,"shr",'4'!T46),'4'!T46))))</f>
        <v/>
      </c>
      <c r="U46" s="19" t="str">
        <f>IF(ISBLANK('Raw counts'!U47),"",IF('7'!$V46=1,IF('3'!U46='7'!$V46,"sol",'4'!U46),IF('7'!$V46=2,IF('3'!U46&lt;='7'!$V46,"dul",'4'!U46),IF('7'!$V46&gt;=3,IF('3'!U46&lt;='7'!$V46,"shr",'4'!U46),'4'!U46))))</f>
        <v/>
      </c>
      <c r="V46" s="3">
        <f>'7'!V46</f>
        <v>0</v>
      </c>
    </row>
    <row r="47" spans="1:22" x14ac:dyDescent="0.15">
      <c r="A47" s="18" t="str">
        <f>IF(ISBLANK('Raw counts'!A48),"",'Raw counts'!A48)</f>
        <v>Attr44</v>
      </c>
      <c r="B47" s="19" t="str">
        <f>IF(ISBLANK('Raw counts'!B48),"",IF('7'!$V47=1,IF('3'!B47='7'!$V47,"sol",'4'!B47),IF('7'!$V47=2,IF('3'!B47&lt;='7'!$V47,"dul",'4'!B47),IF('7'!$V47&gt;=3,IF('3'!B47&lt;='7'!$V47,"shr",'4'!B47),'4'!B47))))</f>
        <v/>
      </c>
      <c r="C47" s="19" t="str">
        <f>IF(ISBLANK('Raw counts'!C48),"",IF('7'!$V47=1,IF('3'!C47='7'!$V47,"sol",'4'!C47),IF('7'!$V47=2,IF('3'!C47&lt;='7'!$V47,"dul",'4'!C47),IF('7'!$V47&gt;=3,IF('3'!C47&lt;='7'!$V47,"shr",'4'!C47),'4'!C47))))</f>
        <v/>
      </c>
      <c r="D47" s="19" t="str">
        <f>IF(ISBLANK('Raw counts'!D48),"",IF('7'!$V47=1,IF('3'!D47='7'!$V47,"sol",'4'!D47),IF('7'!$V47=2,IF('3'!D47&lt;='7'!$V47,"dul",'4'!D47),IF('7'!$V47&gt;=3,IF('3'!D47&lt;='7'!$V47,"shr",'4'!D47),'4'!D47))))</f>
        <v/>
      </c>
      <c r="E47" s="19" t="str">
        <f>IF(ISBLANK('Raw counts'!E48),"",IF('7'!$V47=1,IF('3'!E47='7'!$V47,"sol",'4'!E47),IF('7'!$V47=2,IF('3'!E47&lt;='7'!$V47,"dul",'4'!E47),IF('7'!$V47&gt;=3,IF('3'!E47&lt;='7'!$V47,"shr",'4'!E47),'4'!E47))))</f>
        <v/>
      </c>
      <c r="F47" s="19" t="str">
        <f>IF(ISBLANK('Raw counts'!F48),"",IF('7'!$V47=1,IF('3'!F47='7'!$V47,"sol",'4'!F47),IF('7'!$V47=2,IF('3'!F47&lt;='7'!$V47,"dul",'4'!F47),IF('7'!$V47&gt;=3,IF('3'!F47&lt;='7'!$V47,"shr",'4'!F47),'4'!F47))))</f>
        <v/>
      </c>
      <c r="G47" s="19" t="str">
        <f>IF(ISBLANK('Raw counts'!G48),"",IF('7'!$V47=1,IF('3'!G47='7'!$V47,"sol",'4'!G47),IF('7'!$V47=2,IF('3'!G47&lt;='7'!$V47,"dul",'4'!G47),IF('7'!$V47&gt;=3,IF('3'!G47&lt;='7'!$V47,"shr",'4'!G47),'4'!G47))))</f>
        <v/>
      </c>
      <c r="H47" s="19" t="str">
        <f>IF(ISBLANK('Raw counts'!H48),"",IF('7'!$V47=1,IF('3'!H47='7'!$V47,"sol",'4'!H47),IF('7'!$V47=2,IF('3'!H47&lt;='7'!$V47,"dul",'4'!H47),IF('7'!$V47&gt;=3,IF('3'!H47&lt;='7'!$V47,"shr",'4'!H47),'4'!H47))))</f>
        <v/>
      </c>
      <c r="I47" s="19" t="str">
        <f>IF(ISBLANK('Raw counts'!I48),"",IF('7'!$V47=1,IF('3'!I47='7'!$V47,"sol",'4'!I47),IF('7'!$V47=2,IF('3'!I47&lt;='7'!$V47,"dul",'4'!I47),IF('7'!$V47&gt;=3,IF('3'!I47&lt;='7'!$V47,"shr",'4'!I47),'4'!I47))))</f>
        <v/>
      </c>
      <c r="J47" s="19" t="str">
        <f>IF(ISBLANK('Raw counts'!J48),"",IF('7'!$V47=1,IF('3'!J47='7'!$V47,"sol",'4'!J47),IF('7'!$V47=2,IF('3'!J47&lt;='7'!$V47,"dul",'4'!J47),IF('7'!$V47&gt;=3,IF('3'!J47&lt;='7'!$V47,"shr",'4'!J47),'4'!J47))))</f>
        <v/>
      </c>
      <c r="K47" s="19" t="str">
        <f>IF(ISBLANK('Raw counts'!K48),"",IF('7'!$V47=1,IF('3'!K47='7'!$V47,"sol",'4'!K47),IF('7'!$V47=2,IF('3'!K47&lt;='7'!$V47,"dul",'4'!K47),IF('7'!$V47&gt;=3,IF('3'!K47&lt;='7'!$V47,"shr",'4'!K47),'4'!K47))))</f>
        <v/>
      </c>
      <c r="L47" s="19" t="str">
        <f>IF(ISBLANK('Raw counts'!L48),"",IF('7'!$V47=1,IF('3'!L47='7'!$V47,"sol",'4'!L47),IF('7'!$V47=2,IF('3'!L47&lt;='7'!$V47,"dul",'4'!L47),IF('7'!$V47&gt;=3,IF('3'!L47&lt;='7'!$V47,"shr",'4'!L47),'4'!L47))))</f>
        <v/>
      </c>
      <c r="M47" s="19" t="str">
        <f>IF(ISBLANK('Raw counts'!M48),"",IF('7'!$V47=1,IF('3'!M47='7'!$V47,"sol",'4'!M47),IF('7'!$V47=2,IF('3'!M47&lt;='7'!$V47,"dul",'4'!M47),IF('7'!$V47&gt;=3,IF('3'!M47&lt;='7'!$V47,"shr",'4'!M47),'4'!M47))))</f>
        <v/>
      </c>
      <c r="N47" s="19" t="str">
        <f>IF(ISBLANK('Raw counts'!N48),"",IF('7'!$V47=1,IF('3'!N47='7'!$V47,"sol",'4'!N47),IF('7'!$V47=2,IF('3'!N47&lt;='7'!$V47,"dul",'4'!N47),IF('7'!$V47&gt;=3,IF('3'!N47&lt;='7'!$V47,"shr",'4'!N47),'4'!N47))))</f>
        <v/>
      </c>
      <c r="O47" s="19" t="str">
        <f>IF(ISBLANK('Raw counts'!O48),"",IF('7'!$V47=1,IF('3'!O47='7'!$V47,"sol",'4'!O47),IF('7'!$V47=2,IF('3'!O47&lt;='7'!$V47,"dul",'4'!O47),IF('7'!$V47&gt;=3,IF('3'!O47&lt;='7'!$V47,"shr",'4'!O47),'4'!O47))))</f>
        <v/>
      </c>
      <c r="P47" s="19" t="str">
        <f>IF(ISBLANK('Raw counts'!P48),"",IF('7'!$V47=1,IF('3'!P47='7'!$V47,"sol",'4'!P47),IF('7'!$V47=2,IF('3'!P47&lt;='7'!$V47,"dul",'4'!P47),IF('7'!$V47&gt;=3,IF('3'!P47&lt;='7'!$V47,"shr",'4'!P47),'4'!P47))))</f>
        <v/>
      </c>
      <c r="Q47" s="19" t="str">
        <f>IF(ISBLANK('Raw counts'!Q48),"",IF('7'!$V47=1,IF('3'!Q47='7'!$V47,"sol",'4'!Q47),IF('7'!$V47=2,IF('3'!Q47&lt;='7'!$V47,"dul",'4'!Q47),IF('7'!$V47&gt;=3,IF('3'!Q47&lt;='7'!$V47,"shr",'4'!Q47),'4'!Q47))))</f>
        <v/>
      </c>
      <c r="R47" s="19" t="str">
        <f>IF(ISBLANK('Raw counts'!R48),"",IF('7'!$V47=1,IF('3'!R47='7'!$V47,"sol",'4'!R47),IF('7'!$V47=2,IF('3'!R47&lt;='7'!$V47,"dul",'4'!R47),IF('7'!$V47&gt;=3,IF('3'!R47&lt;='7'!$V47,"shr",'4'!R47),'4'!R47))))</f>
        <v/>
      </c>
      <c r="S47" s="19" t="str">
        <f>IF(ISBLANK('Raw counts'!S48),"",IF('7'!$V47=1,IF('3'!S47='7'!$V47,"sol",'4'!S47),IF('7'!$V47=2,IF('3'!S47&lt;='7'!$V47,"dul",'4'!S47),IF('7'!$V47&gt;=3,IF('3'!S47&lt;='7'!$V47,"shr",'4'!S47),'4'!S47))))</f>
        <v/>
      </c>
      <c r="T47" s="19" t="str">
        <f>IF(ISBLANK('Raw counts'!T48),"",IF('7'!$V47=1,IF('3'!T47='7'!$V47,"sol",'4'!T47),IF('7'!$V47=2,IF('3'!T47&lt;='7'!$V47,"dul",'4'!T47),IF('7'!$V47&gt;=3,IF('3'!T47&lt;='7'!$V47,"shr",'4'!T47),'4'!T47))))</f>
        <v/>
      </c>
      <c r="U47" s="19" t="str">
        <f>IF(ISBLANK('Raw counts'!U48),"",IF('7'!$V47=1,IF('3'!U47='7'!$V47,"sol",'4'!U47),IF('7'!$V47=2,IF('3'!U47&lt;='7'!$V47,"dul",'4'!U47),IF('7'!$V47&gt;=3,IF('3'!U47&lt;='7'!$V47,"shr",'4'!U47),'4'!U47))))</f>
        <v/>
      </c>
      <c r="V47" s="3">
        <f>'7'!V47</f>
        <v>0</v>
      </c>
    </row>
    <row r="48" spans="1:22" x14ac:dyDescent="0.15">
      <c r="A48" s="18" t="str">
        <f>IF(ISBLANK('Raw counts'!A49),"",'Raw counts'!A49)</f>
        <v>Attr45</v>
      </c>
      <c r="B48" s="19" t="str">
        <f>IF(ISBLANK('Raw counts'!B49),"",IF('7'!$V48=1,IF('3'!B48='7'!$V48,"sol",'4'!B48),IF('7'!$V48=2,IF('3'!B48&lt;='7'!$V48,"dul",'4'!B48),IF('7'!$V48&gt;=3,IF('3'!B48&lt;='7'!$V48,"shr",'4'!B48),'4'!B48))))</f>
        <v/>
      </c>
      <c r="C48" s="19" t="str">
        <f>IF(ISBLANK('Raw counts'!C49),"",IF('7'!$V48=1,IF('3'!C48='7'!$V48,"sol",'4'!C48),IF('7'!$V48=2,IF('3'!C48&lt;='7'!$V48,"dul",'4'!C48),IF('7'!$V48&gt;=3,IF('3'!C48&lt;='7'!$V48,"shr",'4'!C48),'4'!C48))))</f>
        <v/>
      </c>
      <c r="D48" s="19" t="str">
        <f>IF(ISBLANK('Raw counts'!D49),"",IF('7'!$V48=1,IF('3'!D48='7'!$V48,"sol",'4'!D48),IF('7'!$V48=2,IF('3'!D48&lt;='7'!$V48,"dul",'4'!D48),IF('7'!$V48&gt;=3,IF('3'!D48&lt;='7'!$V48,"shr",'4'!D48),'4'!D48))))</f>
        <v/>
      </c>
      <c r="E48" s="19" t="str">
        <f>IF(ISBLANK('Raw counts'!E49),"",IF('7'!$V48=1,IF('3'!E48='7'!$V48,"sol",'4'!E48),IF('7'!$V48=2,IF('3'!E48&lt;='7'!$V48,"dul",'4'!E48),IF('7'!$V48&gt;=3,IF('3'!E48&lt;='7'!$V48,"shr",'4'!E48),'4'!E48))))</f>
        <v/>
      </c>
      <c r="F48" s="19" t="str">
        <f>IF(ISBLANK('Raw counts'!F49),"",IF('7'!$V48=1,IF('3'!F48='7'!$V48,"sol",'4'!F48),IF('7'!$V48=2,IF('3'!F48&lt;='7'!$V48,"dul",'4'!F48),IF('7'!$V48&gt;=3,IF('3'!F48&lt;='7'!$V48,"shr",'4'!F48),'4'!F48))))</f>
        <v/>
      </c>
      <c r="G48" s="19" t="str">
        <f>IF(ISBLANK('Raw counts'!G49),"",IF('7'!$V48=1,IF('3'!G48='7'!$V48,"sol",'4'!G48),IF('7'!$V48=2,IF('3'!G48&lt;='7'!$V48,"dul",'4'!G48),IF('7'!$V48&gt;=3,IF('3'!G48&lt;='7'!$V48,"shr",'4'!G48),'4'!G48))))</f>
        <v/>
      </c>
      <c r="H48" s="19" t="str">
        <f>IF(ISBLANK('Raw counts'!H49),"",IF('7'!$V48=1,IF('3'!H48='7'!$V48,"sol",'4'!H48),IF('7'!$V48=2,IF('3'!H48&lt;='7'!$V48,"dul",'4'!H48),IF('7'!$V48&gt;=3,IF('3'!H48&lt;='7'!$V48,"shr",'4'!H48),'4'!H48))))</f>
        <v/>
      </c>
      <c r="I48" s="19" t="str">
        <f>IF(ISBLANK('Raw counts'!I49),"",IF('7'!$V48=1,IF('3'!I48='7'!$V48,"sol",'4'!I48),IF('7'!$V48=2,IF('3'!I48&lt;='7'!$V48,"dul",'4'!I48),IF('7'!$V48&gt;=3,IF('3'!I48&lt;='7'!$V48,"shr",'4'!I48),'4'!I48))))</f>
        <v/>
      </c>
      <c r="J48" s="19" t="str">
        <f>IF(ISBLANK('Raw counts'!J49),"",IF('7'!$V48=1,IF('3'!J48='7'!$V48,"sol",'4'!J48),IF('7'!$V48=2,IF('3'!J48&lt;='7'!$V48,"dul",'4'!J48),IF('7'!$V48&gt;=3,IF('3'!J48&lt;='7'!$V48,"shr",'4'!J48),'4'!J48))))</f>
        <v/>
      </c>
      <c r="K48" s="19" t="str">
        <f>IF(ISBLANK('Raw counts'!K49),"",IF('7'!$V48=1,IF('3'!K48='7'!$V48,"sol",'4'!K48),IF('7'!$V48=2,IF('3'!K48&lt;='7'!$V48,"dul",'4'!K48),IF('7'!$V48&gt;=3,IF('3'!K48&lt;='7'!$V48,"shr",'4'!K48),'4'!K48))))</f>
        <v/>
      </c>
      <c r="L48" s="19" t="str">
        <f>IF(ISBLANK('Raw counts'!L49),"",IF('7'!$V48=1,IF('3'!L48='7'!$V48,"sol",'4'!L48),IF('7'!$V48=2,IF('3'!L48&lt;='7'!$V48,"dul",'4'!L48),IF('7'!$V48&gt;=3,IF('3'!L48&lt;='7'!$V48,"shr",'4'!L48),'4'!L48))))</f>
        <v/>
      </c>
      <c r="M48" s="19" t="str">
        <f>IF(ISBLANK('Raw counts'!M49),"",IF('7'!$V48=1,IF('3'!M48='7'!$V48,"sol",'4'!M48),IF('7'!$V48=2,IF('3'!M48&lt;='7'!$V48,"dul",'4'!M48),IF('7'!$V48&gt;=3,IF('3'!M48&lt;='7'!$V48,"shr",'4'!M48),'4'!M48))))</f>
        <v/>
      </c>
      <c r="N48" s="19" t="str">
        <f>IF(ISBLANK('Raw counts'!N49),"",IF('7'!$V48=1,IF('3'!N48='7'!$V48,"sol",'4'!N48),IF('7'!$V48=2,IF('3'!N48&lt;='7'!$V48,"dul",'4'!N48),IF('7'!$V48&gt;=3,IF('3'!N48&lt;='7'!$V48,"shr",'4'!N48),'4'!N48))))</f>
        <v/>
      </c>
      <c r="O48" s="19" t="str">
        <f>IF(ISBLANK('Raw counts'!O49),"",IF('7'!$V48=1,IF('3'!O48='7'!$V48,"sol",'4'!O48),IF('7'!$V48=2,IF('3'!O48&lt;='7'!$V48,"dul",'4'!O48),IF('7'!$V48&gt;=3,IF('3'!O48&lt;='7'!$V48,"shr",'4'!O48),'4'!O48))))</f>
        <v/>
      </c>
      <c r="P48" s="19" t="str">
        <f>IF(ISBLANK('Raw counts'!P49),"",IF('7'!$V48=1,IF('3'!P48='7'!$V48,"sol",'4'!P48),IF('7'!$V48=2,IF('3'!P48&lt;='7'!$V48,"dul",'4'!P48),IF('7'!$V48&gt;=3,IF('3'!P48&lt;='7'!$V48,"shr",'4'!P48),'4'!P48))))</f>
        <v/>
      </c>
      <c r="Q48" s="19" t="str">
        <f>IF(ISBLANK('Raw counts'!Q49),"",IF('7'!$V48=1,IF('3'!Q48='7'!$V48,"sol",'4'!Q48),IF('7'!$V48=2,IF('3'!Q48&lt;='7'!$V48,"dul",'4'!Q48),IF('7'!$V48&gt;=3,IF('3'!Q48&lt;='7'!$V48,"shr",'4'!Q48),'4'!Q48))))</f>
        <v/>
      </c>
      <c r="R48" s="19" t="str">
        <f>IF(ISBLANK('Raw counts'!R49),"",IF('7'!$V48=1,IF('3'!R48='7'!$V48,"sol",'4'!R48),IF('7'!$V48=2,IF('3'!R48&lt;='7'!$V48,"dul",'4'!R48),IF('7'!$V48&gt;=3,IF('3'!R48&lt;='7'!$V48,"shr",'4'!R48),'4'!R48))))</f>
        <v/>
      </c>
      <c r="S48" s="19" t="str">
        <f>IF(ISBLANK('Raw counts'!S49),"",IF('7'!$V48=1,IF('3'!S48='7'!$V48,"sol",'4'!S48),IF('7'!$V48=2,IF('3'!S48&lt;='7'!$V48,"dul",'4'!S48),IF('7'!$V48&gt;=3,IF('3'!S48&lt;='7'!$V48,"shr",'4'!S48),'4'!S48))))</f>
        <v/>
      </c>
      <c r="T48" s="19" t="str">
        <f>IF(ISBLANK('Raw counts'!T49),"",IF('7'!$V48=1,IF('3'!T48='7'!$V48,"sol",'4'!T48),IF('7'!$V48=2,IF('3'!T48&lt;='7'!$V48,"dul",'4'!T48),IF('7'!$V48&gt;=3,IF('3'!T48&lt;='7'!$V48,"shr",'4'!T48),'4'!T48))))</f>
        <v/>
      </c>
      <c r="U48" s="19" t="str">
        <f>IF(ISBLANK('Raw counts'!U49),"",IF('7'!$V48=1,IF('3'!U48='7'!$V48,"sol",'4'!U48),IF('7'!$V48=2,IF('3'!U48&lt;='7'!$V48,"dul",'4'!U48),IF('7'!$V48&gt;=3,IF('3'!U48&lt;='7'!$V48,"shr",'4'!U48),'4'!U48))))</f>
        <v/>
      </c>
      <c r="V48" s="3">
        <f>'7'!V48</f>
        <v>0</v>
      </c>
    </row>
    <row r="49" spans="1:22" x14ac:dyDescent="0.15">
      <c r="A49" s="18" t="str">
        <f>IF(ISBLANK('Raw counts'!A50),"",'Raw counts'!A50)</f>
        <v>Attr46</v>
      </c>
      <c r="B49" s="19" t="str">
        <f>IF(ISBLANK('Raw counts'!B50),"",IF('7'!$V49=1,IF('3'!B49='7'!$V49,"sol",'4'!B49),IF('7'!$V49=2,IF('3'!B49&lt;='7'!$V49,"dul",'4'!B49),IF('7'!$V49&gt;=3,IF('3'!B49&lt;='7'!$V49,"shr",'4'!B49),'4'!B49))))</f>
        <v/>
      </c>
      <c r="C49" s="19" t="str">
        <f>IF(ISBLANK('Raw counts'!C50),"",IF('7'!$V49=1,IF('3'!C49='7'!$V49,"sol",'4'!C49),IF('7'!$V49=2,IF('3'!C49&lt;='7'!$V49,"dul",'4'!C49),IF('7'!$V49&gt;=3,IF('3'!C49&lt;='7'!$V49,"shr",'4'!C49),'4'!C49))))</f>
        <v/>
      </c>
      <c r="D49" s="19" t="str">
        <f>IF(ISBLANK('Raw counts'!D50),"",IF('7'!$V49=1,IF('3'!D49='7'!$V49,"sol",'4'!D49),IF('7'!$V49=2,IF('3'!D49&lt;='7'!$V49,"dul",'4'!D49),IF('7'!$V49&gt;=3,IF('3'!D49&lt;='7'!$V49,"shr",'4'!D49),'4'!D49))))</f>
        <v/>
      </c>
      <c r="E49" s="19" t="str">
        <f>IF(ISBLANK('Raw counts'!E50),"",IF('7'!$V49=1,IF('3'!E49='7'!$V49,"sol",'4'!E49),IF('7'!$V49=2,IF('3'!E49&lt;='7'!$V49,"dul",'4'!E49),IF('7'!$V49&gt;=3,IF('3'!E49&lt;='7'!$V49,"shr",'4'!E49),'4'!E49))))</f>
        <v/>
      </c>
      <c r="F49" s="19" t="str">
        <f>IF(ISBLANK('Raw counts'!F50),"",IF('7'!$V49=1,IF('3'!F49='7'!$V49,"sol",'4'!F49),IF('7'!$V49=2,IF('3'!F49&lt;='7'!$V49,"dul",'4'!F49),IF('7'!$V49&gt;=3,IF('3'!F49&lt;='7'!$V49,"shr",'4'!F49),'4'!F49))))</f>
        <v/>
      </c>
      <c r="G49" s="19" t="str">
        <f>IF(ISBLANK('Raw counts'!G50),"",IF('7'!$V49=1,IF('3'!G49='7'!$V49,"sol",'4'!G49),IF('7'!$V49=2,IF('3'!G49&lt;='7'!$V49,"dul",'4'!G49),IF('7'!$V49&gt;=3,IF('3'!G49&lt;='7'!$V49,"shr",'4'!G49),'4'!G49))))</f>
        <v/>
      </c>
      <c r="H49" s="19" t="str">
        <f>IF(ISBLANK('Raw counts'!H50),"",IF('7'!$V49=1,IF('3'!H49='7'!$V49,"sol",'4'!H49),IF('7'!$V49=2,IF('3'!H49&lt;='7'!$V49,"dul",'4'!H49),IF('7'!$V49&gt;=3,IF('3'!H49&lt;='7'!$V49,"shr",'4'!H49),'4'!H49))))</f>
        <v/>
      </c>
      <c r="I49" s="19" t="str">
        <f>IF(ISBLANK('Raw counts'!I50),"",IF('7'!$V49=1,IF('3'!I49='7'!$V49,"sol",'4'!I49),IF('7'!$V49=2,IF('3'!I49&lt;='7'!$V49,"dul",'4'!I49),IF('7'!$V49&gt;=3,IF('3'!I49&lt;='7'!$V49,"shr",'4'!I49),'4'!I49))))</f>
        <v/>
      </c>
      <c r="J49" s="19" t="str">
        <f>IF(ISBLANK('Raw counts'!J50),"",IF('7'!$V49=1,IF('3'!J49='7'!$V49,"sol",'4'!J49),IF('7'!$V49=2,IF('3'!J49&lt;='7'!$V49,"dul",'4'!J49),IF('7'!$V49&gt;=3,IF('3'!J49&lt;='7'!$V49,"shr",'4'!J49),'4'!J49))))</f>
        <v/>
      </c>
      <c r="K49" s="19" t="str">
        <f>IF(ISBLANK('Raw counts'!K50),"",IF('7'!$V49=1,IF('3'!K49='7'!$V49,"sol",'4'!K49),IF('7'!$V49=2,IF('3'!K49&lt;='7'!$V49,"dul",'4'!K49),IF('7'!$V49&gt;=3,IF('3'!K49&lt;='7'!$V49,"shr",'4'!K49),'4'!K49))))</f>
        <v/>
      </c>
      <c r="L49" s="19" t="str">
        <f>IF(ISBLANK('Raw counts'!L50),"",IF('7'!$V49=1,IF('3'!L49='7'!$V49,"sol",'4'!L49),IF('7'!$V49=2,IF('3'!L49&lt;='7'!$V49,"dul",'4'!L49),IF('7'!$V49&gt;=3,IF('3'!L49&lt;='7'!$V49,"shr",'4'!L49),'4'!L49))))</f>
        <v/>
      </c>
      <c r="M49" s="19" t="str">
        <f>IF(ISBLANK('Raw counts'!M50),"",IF('7'!$V49=1,IF('3'!M49='7'!$V49,"sol",'4'!M49),IF('7'!$V49=2,IF('3'!M49&lt;='7'!$V49,"dul",'4'!M49),IF('7'!$V49&gt;=3,IF('3'!M49&lt;='7'!$V49,"shr",'4'!M49),'4'!M49))))</f>
        <v/>
      </c>
      <c r="N49" s="19" t="str">
        <f>IF(ISBLANK('Raw counts'!N50),"",IF('7'!$V49=1,IF('3'!N49='7'!$V49,"sol",'4'!N49),IF('7'!$V49=2,IF('3'!N49&lt;='7'!$V49,"dul",'4'!N49),IF('7'!$V49&gt;=3,IF('3'!N49&lt;='7'!$V49,"shr",'4'!N49),'4'!N49))))</f>
        <v/>
      </c>
      <c r="O49" s="19" t="str">
        <f>IF(ISBLANK('Raw counts'!O50),"",IF('7'!$V49=1,IF('3'!O49='7'!$V49,"sol",'4'!O49),IF('7'!$V49=2,IF('3'!O49&lt;='7'!$V49,"dul",'4'!O49),IF('7'!$V49&gt;=3,IF('3'!O49&lt;='7'!$V49,"shr",'4'!O49),'4'!O49))))</f>
        <v/>
      </c>
      <c r="P49" s="19" t="str">
        <f>IF(ISBLANK('Raw counts'!P50),"",IF('7'!$V49=1,IF('3'!P49='7'!$V49,"sol",'4'!P49),IF('7'!$V49=2,IF('3'!P49&lt;='7'!$V49,"dul",'4'!P49),IF('7'!$V49&gt;=3,IF('3'!P49&lt;='7'!$V49,"shr",'4'!P49),'4'!P49))))</f>
        <v/>
      </c>
      <c r="Q49" s="19" t="str">
        <f>IF(ISBLANK('Raw counts'!Q50),"",IF('7'!$V49=1,IF('3'!Q49='7'!$V49,"sol",'4'!Q49),IF('7'!$V49=2,IF('3'!Q49&lt;='7'!$V49,"dul",'4'!Q49),IF('7'!$V49&gt;=3,IF('3'!Q49&lt;='7'!$V49,"shr",'4'!Q49),'4'!Q49))))</f>
        <v/>
      </c>
      <c r="R49" s="19" t="str">
        <f>IF(ISBLANK('Raw counts'!R50),"",IF('7'!$V49=1,IF('3'!R49='7'!$V49,"sol",'4'!R49),IF('7'!$V49=2,IF('3'!R49&lt;='7'!$V49,"dul",'4'!R49),IF('7'!$V49&gt;=3,IF('3'!R49&lt;='7'!$V49,"shr",'4'!R49),'4'!R49))))</f>
        <v/>
      </c>
      <c r="S49" s="19" t="str">
        <f>IF(ISBLANK('Raw counts'!S50),"",IF('7'!$V49=1,IF('3'!S49='7'!$V49,"sol",'4'!S49),IF('7'!$V49=2,IF('3'!S49&lt;='7'!$V49,"dul",'4'!S49),IF('7'!$V49&gt;=3,IF('3'!S49&lt;='7'!$V49,"shr",'4'!S49),'4'!S49))))</f>
        <v/>
      </c>
      <c r="T49" s="19" t="str">
        <f>IF(ISBLANK('Raw counts'!T50),"",IF('7'!$V49=1,IF('3'!T49='7'!$V49,"sol",'4'!T49),IF('7'!$V49=2,IF('3'!T49&lt;='7'!$V49,"dul",'4'!T49),IF('7'!$V49&gt;=3,IF('3'!T49&lt;='7'!$V49,"shr",'4'!T49),'4'!T49))))</f>
        <v/>
      </c>
      <c r="U49" s="19" t="str">
        <f>IF(ISBLANK('Raw counts'!U50),"",IF('7'!$V49=1,IF('3'!U49='7'!$V49,"sol",'4'!U49),IF('7'!$V49=2,IF('3'!U49&lt;='7'!$V49,"dul",'4'!U49),IF('7'!$V49&gt;=3,IF('3'!U49&lt;='7'!$V49,"shr",'4'!U49),'4'!U49))))</f>
        <v/>
      </c>
      <c r="V49" s="3">
        <f>'7'!V49</f>
        <v>0</v>
      </c>
    </row>
    <row r="50" spans="1:22" x14ac:dyDescent="0.15">
      <c r="A50" s="18" t="str">
        <f>IF(ISBLANK('Raw counts'!A51),"",'Raw counts'!A51)</f>
        <v>Attr47</v>
      </c>
      <c r="B50" s="19" t="str">
        <f>IF(ISBLANK('Raw counts'!B51),"",IF('7'!$V50=1,IF('3'!B50='7'!$V50,"sol",'4'!B50),IF('7'!$V50=2,IF('3'!B50&lt;='7'!$V50,"dul",'4'!B50),IF('7'!$V50&gt;=3,IF('3'!B50&lt;='7'!$V50,"shr",'4'!B50),'4'!B50))))</f>
        <v/>
      </c>
      <c r="C50" s="19" t="str">
        <f>IF(ISBLANK('Raw counts'!C51),"",IF('7'!$V50=1,IF('3'!C50='7'!$V50,"sol",'4'!C50),IF('7'!$V50=2,IF('3'!C50&lt;='7'!$V50,"dul",'4'!C50),IF('7'!$V50&gt;=3,IF('3'!C50&lt;='7'!$V50,"shr",'4'!C50),'4'!C50))))</f>
        <v/>
      </c>
      <c r="D50" s="19" t="str">
        <f>IF(ISBLANK('Raw counts'!D51),"",IF('7'!$V50=1,IF('3'!D50='7'!$V50,"sol",'4'!D50),IF('7'!$V50=2,IF('3'!D50&lt;='7'!$V50,"dul",'4'!D50),IF('7'!$V50&gt;=3,IF('3'!D50&lt;='7'!$V50,"shr",'4'!D50),'4'!D50))))</f>
        <v/>
      </c>
      <c r="E50" s="19" t="str">
        <f>IF(ISBLANK('Raw counts'!E51),"",IF('7'!$V50=1,IF('3'!E50='7'!$V50,"sol",'4'!E50),IF('7'!$V50=2,IF('3'!E50&lt;='7'!$V50,"dul",'4'!E50),IF('7'!$V50&gt;=3,IF('3'!E50&lt;='7'!$V50,"shr",'4'!E50),'4'!E50))))</f>
        <v/>
      </c>
      <c r="F50" s="19" t="str">
        <f>IF(ISBLANK('Raw counts'!F51),"",IF('7'!$V50=1,IF('3'!F50='7'!$V50,"sol",'4'!F50),IF('7'!$V50=2,IF('3'!F50&lt;='7'!$V50,"dul",'4'!F50),IF('7'!$V50&gt;=3,IF('3'!F50&lt;='7'!$V50,"shr",'4'!F50),'4'!F50))))</f>
        <v/>
      </c>
      <c r="G50" s="19" t="str">
        <f>IF(ISBLANK('Raw counts'!G51),"",IF('7'!$V50=1,IF('3'!G50='7'!$V50,"sol",'4'!G50),IF('7'!$V50=2,IF('3'!G50&lt;='7'!$V50,"dul",'4'!G50),IF('7'!$V50&gt;=3,IF('3'!G50&lt;='7'!$V50,"shr",'4'!G50),'4'!G50))))</f>
        <v/>
      </c>
      <c r="H50" s="19" t="str">
        <f>IF(ISBLANK('Raw counts'!H51),"",IF('7'!$V50=1,IF('3'!H50='7'!$V50,"sol",'4'!H50),IF('7'!$V50=2,IF('3'!H50&lt;='7'!$V50,"dul",'4'!H50),IF('7'!$V50&gt;=3,IF('3'!H50&lt;='7'!$V50,"shr",'4'!H50),'4'!H50))))</f>
        <v/>
      </c>
      <c r="I50" s="19" t="str">
        <f>IF(ISBLANK('Raw counts'!I51),"",IF('7'!$V50=1,IF('3'!I50='7'!$V50,"sol",'4'!I50),IF('7'!$V50=2,IF('3'!I50&lt;='7'!$V50,"dul",'4'!I50),IF('7'!$V50&gt;=3,IF('3'!I50&lt;='7'!$V50,"shr",'4'!I50),'4'!I50))))</f>
        <v/>
      </c>
      <c r="J50" s="19" t="str">
        <f>IF(ISBLANK('Raw counts'!J51),"",IF('7'!$V50=1,IF('3'!J50='7'!$V50,"sol",'4'!J50),IF('7'!$V50=2,IF('3'!J50&lt;='7'!$V50,"dul",'4'!J50),IF('7'!$V50&gt;=3,IF('3'!J50&lt;='7'!$V50,"shr",'4'!J50),'4'!J50))))</f>
        <v/>
      </c>
      <c r="K50" s="19" t="str">
        <f>IF(ISBLANK('Raw counts'!K51),"",IF('7'!$V50=1,IF('3'!K50='7'!$V50,"sol",'4'!K50),IF('7'!$V50=2,IF('3'!K50&lt;='7'!$V50,"dul",'4'!K50),IF('7'!$V50&gt;=3,IF('3'!K50&lt;='7'!$V50,"shr",'4'!K50),'4'!K50))))</f>
        <v/>
      </c>
      <c r="L50" s="19" t="str">
        <f>IF(ISBLANK('Raw counts'!L51),"",IF('7'!$V50=1,IF('3'!L50='7'!$V50,"sol",'4'!L50),IF('7'!$V50=2,IF('3'!L50&lt;='7'!$V50,"dul",'4'!L50),IF('7'!$V50&gt;=3,IF('3'!L50&lt;='7'!$V50,"shr",'4'!L50),'4'!L50))))</f>
        <v/>
      </c>
      <c r="M50" s="19" t="str">
        <f>IF(ISBLANK('Raw counts'!M51),"",IF('7'!$V50=1,IF('3'!M50='7'!$V50,"sol",'4'!M50),IF('7'!$V50=2,IF('3'!M50&lt;='7'!$V50,"dul",'4'!M50),IF('7'!$V50&gt;=3,IF('3'!M50&lt;='7'!$V50,"shr",'4'!M50),'4'!M50))))</f>
        <v/>
      </c>
      <c r="N50" s="19" t="str">
        <f>IF(ISBLANK('Raw counts'!N51),"",IF('7'!$V50=1,IF('3'!N50='7'!$V50,"sol",'4'!N50),IF('7'!$V50=2,IF('3'!N50&lt;='7'!$V50,"dul",'4'!N50),IF('7'!$V50&gt;=3,IF('3'!N50&lt;='7'!$V50,"shr",'4'!N50),'4'!N50))))</f>
        <v/>
      </c>
      <c r="O50" s="19" t="str">
        <f>IF(ISBLANK('Raw counts'!O51),"",IF('7'!$V50=1,IF('3'!O50='7'!$V50,"sol",'4'!O50),IF('7'!$V50=2,IF('3'!O50&lt;='7'!$V50,"dul",'4'!O50),IF('7'!$V50&gt;=3,IF('3'!O50&lt;='7'!$V50,"shr",'4'!O50),'4'!O50))))</f>
        <v/>
      </c>
      <c r="P50" s="19" t="str">
        <f>IF(ISBLANK('Raw counts'!P51),"",IF('7'!$V50=1,IF('3'!P50='7'!$V50,"sol",'4'!P50),IF('7'!$V50=2,IF('3'!P50&lt;='7'!$V50,"dul",'4'!P50),IF('7'!$V50&gt;=3,IF('3'!P50&lt;='7'!$V50,"shr",'4'!P50),'4'!P50))))</f>
        <v/>
      </c>
      <c r="Q50" s="19" t="str">
        <f>IF(ISBLANK('Raw counts'!Q51),"",IF('7'!$V50=1,IF('3'!Q50='7'!$V50,"sol",'4'!Q50),IF('7'!$V50=2,IF('3'!Q50&lt;='7'!$V50,"dul",'4'!Q50),IF('7'!$V50&gt;=3,IF('3'!Q50&lt;='7'!$V50,"shr",'4'!Q50),'4'!Q50))))</f>
        <v/>
      </c>
      <c r="R50" s="19" t="str">
        <f>IF(ISBLANK('Raw counts'!R51),"",IF('7'!$V50=1,IF('3'!R50='7'!$V50,"sol",'4'!R50),IF('7'!$V50=2,IF('3'!R50&lt;='7'!$V50,"dul",'4'!R50),IF('7'!$V50&gt;=3,IF('3'!R50&lt;='7'!$V50,"shr",'4'!R50),'4'!R50))))</f>
        <v/>
      </c>
      <c r="S50" s="19" t="str">
        <f>IF(ISBLANK('Raw counts'!S51),"",IF('7'!$V50=1,IF('3'!S50='7'!$V50,"sol",'4'!S50),IF('7'!$V50=2,IF('3'!S50&lt;='7'!$V50,"dul",'4'!S50),IF('7'!$V50&gt;=3,IF('3'!S50&lt;='7'!$V50,"shr",'4'!S50),'4'!S50))))</f>
        <v/>
      </c>
      <c r="T50" s="19" t="str">
        <f>IF(ISBLANK('Raw counts'!T51),"",IF('7'!$V50=1,IF('3'!T50='7'!$V50,"sol",'4'!T50),IF('7'!$V50=2,IF('3'!T50&lt;='7'!$V50,"dul",'4'!T50),IF('7'!$V50&gt;=3,IF('3'!T50&lt;='7'!$V50,"shr",'4'!T50),'4'!T50))))</f>
        <v/>
      </c>
      <c r="U50" s="19" t="str">
        <f>IF(ISBLANK('Raw counts'!U51),"",IF('7'!$V50=1,IF('3'!U50='7'!$V50,"sol",'4'!U50),IF('7'!$V50=2,IF('3'!U50&lt;='7'!$V50,"dul",'4'!U50),IF('7'!$V50&gt;=3,IF('3'!U50&lt;='7'!$V50,"shr",'4'!U50),'4'!U50))))</f>
        <v/>
      </c>
      <c r="V50" s="3">
        <f>'7'!V50</f>
        <v>0</v>
      </c>
    </row>
    <row r="51" spans="1:22" x14ac:dyDescent="0.15">
      <c r="A51" s="18" t="str">
        <f>IF(ISBLANK('Raw counts'!A52),"",'Raw counts'!A52)</f>
        <v>Attr48</v>
      </c>
      <c r="B51" s="19" t="str">
        <f>IF(ISBLANK('Raw counts'!B52),"",IF('7'!$V51=1,IF('3'!B51='7'!$V51,"sol",'4'!B51),IF('7'!$V51=2,IF('3'!B51&lt;='7'!$V51,"dul",'4'!B51),IF('7'!$V51&gt;=3,IF('3'!B51&lt;='7'!$V51,"shr",'4'!B51),'4'!B51))))</f>
        <v/>
      </c>
      <c r="C51" s="19" t="str">
        <f>IF(ISBLANK('Raw counts'!C52),"",IF('7'!$V51=1,IF('3'!C51='7'!$V51,"sol",'4'!C51),IF('7'!$V51=2,IF('3'!C51&lt;='7'!$V51,"dul",'4'!C51),IF('7'!$V51&gt;=3,IF('3'!C51&lt;='7'!$V51,"shr",'4'!C51),'4'!C51))))</f>
        <v/>
      </c>
      <c r="D51" s="19" t="str">
        <f>IF(ISBLANK('Raw counts'!D52),"",IF('7'!$V51=1,IF('3'!D51='7'!$V51,"sol",'4'!D51),IF('7'!$V51=2,IF('3'!D51&lt;='7'!$V51,"dul",'4'!D51),IF('7'!$V51&gt;=3,IF('3'!D51&lt;='7'!$V51,"shr",'4'!D51),'4'!D51))))</f>
        <v/>
      </c>
      <c r="E51" s="19" t="str">
        <f>IF(ISBLANK('Raw counts'!E52),"",IF('7'!$V51=1,IF('3'!E51='7'!$V51,"sol",'4'!E51),IF('7'!$V51=2,IF('3'!E51&lt;='7'!$V51,"dul",'4'!E51),IF('7'!$V51&gt;=3,IF('3'!E51&lt;='7'!$V51,"shr",'4'!E51),'4'!E51))))</f>
        <v/>
      </c>
      <c r="F51" s="19" t="str">
        <f>IF(ISBLANK('Raw counts'!F52),"",IF('7'!$V51=1,IF('3'!F51='7'!$V51,"sol",'4'!F51),IF('7'!$V51=2,IF('3'!F51&lt;='7'!$V51,"dul",'4'!F51),IF('7'!$V51&gt;=3,IF('3'!F51&lt;='7'!$V51,"shr",'4'!F51),'4'!F51))))</f>
        <v/>
      </c>
      <c r="G51" s="19" t="str">
        <f>IF(ISBLANK('Raw counts'!G52),"",IF('7'!$V51=1,IF('3'!G51='7'!$V51,"sol",'4'!G51),IF('7'!$V51=2,IF('3'!G51&lt;='7'!$V51,"dul",'4'!G51),IF('7'!$V51&gt;=3,IF('3'!G51&lt;='7'!$V51,"shr",'4'!G51),'4'!G51))))</f>
        <v/>
      </c>
      <c r="H51" s="19" t="str">
        <f>IF(ISBLANK('Raw counts'!H52),"",IF('7'!$V51=1,IF('3'!H51='7'!$V51,"sol",'4'!H51),IF('7'!$V51=2,IF('3'!H51&lt;='7'!$V51,"dul",'4'!H51),IF('7'!$V51&gt;=3,IF('3'!H51&lt;='7'!$V51,"shr",'4'!H51),'4'!H51))))</f>
        <v/>
      </c>
      <c r="I51" s="19" t="str">
        <f>IF(ISBLANK('Raw counts'!I52),"",IF('7'!$V51=1,IF('3'!I51='7'!$V51,"sol",'4'!I51),IF('7'!$V51=2,IF('3'!I51&lt;='7'!$V51,"dul",'4'!I51),IF('7'!$V51&gt;=3,IF('3'!I51&lt;='7'!$V51,"shr",'4'!I51),'4'!I51))))</f>
        <v/>
      </c>
      <c r="J51" s="19" t="str">
        <f>IF(ISBLANK('Raw counts'!J52),"",IF('7'!$V51=1,IF('3'!J51='7'!$V51,"sol",'4'!J51),IF('7'!$V51=2,IF('3'!J51&lt;='7'!$V51,"dul",'4'!J51),IF('7'!$V51&gt;=3,IF('3'!J51&lt;='7'!$V51,"shr",'4'!J51),'4'!J51))))</f>
        <v/>
      </c>
      <c r="K51" s="19" t="str">
        <f>IF(ISBLANK('Raw counts'!K52),"",IF('7'!$V51=1,IF('3'!K51='7'!$V51,"sol",'4'!K51),IF('7'!$V51=2,IF('3'!K51&lt;='7'!$V51,"dul",'4'!K51),IF('7'!$V51&gt;=3,IF('3'!K51&lt;='7'!$V51,"shr",'4'!K51),'4'!K51))))</f>
        <v/>
      </c>
      <c r="L51" s="19" t="str">
        <f>IF(ISBLANK('Raw counts'!L52),"",IF('7'!$V51=1,IF('3'!L51='7'!$V51,"sol",'4'!L51),IF('7'!$V51=2,IF('3'!L51&lt;='7'!$V51,"dul",'4'!L51),IF('7'!$V51&gt;=3,IF('3'!L51&lt;='7'!$V51,"shr",'4'!L51),'4'!L51))))</f>
        <v/>
      </c>
      <c r="M51" s="19" t="str">
        <f>IF(ISBLANK('Raw counts'!M52),"",IF('7'!$V51=1,IF('3'!M51='7'!$V51,"sol",'4'!M51),IF('7'!$V51=2,IF('3'!M51&lt;='7'!$V51,"dul",'4'!M51),IF('7'!$V51&gt;=3,IF('3'!M51&lt;='7'!$V51,"shr",'4'!M51),'4'!M51))))</f>
        <v/>
      </c>
      <c r="N51" s="19" t="str">
        <f>IF(ISBLANK('Raw counts'!N52),"",IF('7'!$V51=1,IF('3'!N51='7'!$V51,"sol",'4'!N51),IF('7'!$V51=2,IF('3'!N51&lt;='7'!$V51,"dul",'4'!N51),IF('7'!$V51&gt;=3,IF('3'!N51&lt;='7'!$V51,"shr",'4'!N51),'4'!N51))))</f>
        <v/>
      </c>
      <c r="O51" s="19" t="str">
        <f>IF(ISBLANK('Raw counts'!O52),"",IF('7'!$V51=1,IF('3'!O51='7'!$V51,"sol",'4'!O51),IF('7'!$V51=2,IF('3'!O51&lt;='7'!$V51,"dul",'4'!O51),IF('7'!$V51&gt;=3,IF('3'!O51&lt;='7'!$V51,"shr",'4'!O51),'4'!O51))))</f>
        <v/>
      </c>
      <c r="P51" s="19" t="str">
        <f>IF(ISBLANK('Raw counts'!P52),"",IF('7'!$V51=1,IF('3'!P51='7'!$V51,"sol",'4'!P51),IF('7'!$V51=2,IF('3'!P51&lt;='7'!$V51,"dul",'4'!P51),IF('7'!$V51&gt;=3,IF('3'!P51&lt;='7'!$V51,"shr",'4'!P51),'4'!P51))))</f>
        <v/>
      </c>
      <c r="Q51" s="19" t="str">
        <f>IF(ISBLANK('Raw counts'!Q52),"",IF('7'!$V51=1,IF('3'!Q51='7'!$V51,"sol",'4'!Q51),IF('7'!$V51=2,IF('3'!Q51&lt;='7'!$V51,"dul",'4'!Q51),IF('7'!$V51&gt;=3,IF('3'!Q51&lt;='7'!$V51,"shr",'4'!Q51),'4'!Q51))))</f>
        <v/>
      </c>
      <c r="R51" s="19" t="str">
        <f>IF(ISBLANK('Raw counts'!R52),"",IF('7'!$V51=1,IF('3'!R51='7'!$V51,"sol",'4'!R51),IF('7'!$V51=2,IF('3'!R51&lt;='7'!$V51,"dul",'4'!R51),IF('7'!$V51&gt;=3,IF('3'!R51&lt;='7'!$V51,"shr",'4'!R51),'4'!R51))))</f>
        <v/>
      </c>
      <c r="S51" s="19" t="str">
        <f>IF(ISBLANK('Raw counts'!S52),"",IF('7'!$V51=1,IF('3'!S51='7'!$V51,"sol",'4'!S51),IF('7'!$V51=2,IF('3'!S51&lt;='7'!$V51,"dul",'4'!S51),IF('7'!$V51&gt;=3,IF('3'!S51&lt;='7'!$V51,"shr",'4'!S51),'4'!S51))))</f>
        <v/>
      </c>
      <c r="T51" s="19" t="str">
        <f>IF(ISBLANK('Raw counts'!T52),"",IF('7'!$V51=1,IF('3'!T51='7'!$V51,"sol",'4'!T51),IF('7'!$V51=2,IF('3'!T51&lt;='7'!$V51,"dul",'4'!T51),IF('7'!$V51&gt;=3,IF('3'!T51&lt;='7'!$V51,"shr",'4'!T51),'4'!T51))))</f>
        <v/>
      </c>
      <c r="U51" s="19" t="str">
        <f>IF(ISBLANK('Raw counts'!U52),"",IF('7'!$V51=1,IF('3'!U51='7'!$V51,"sol",'4'!U51),IF('7'!$V51=2,IF('3'!U51&lt;='7'!$V51,"dul",'4'!U51),IF('7'!$V51&gt;=3,IF('3'!U51&lt;='7'!$V51,"shr",'4'!U51),'4'!U51))))</f>
        <v/>
      </c>
      <c r="V51" s="3">
        <f>'7'!V51</f>
        <v>0</v>
      </c>
    </row>
    <row r="52" spans="1:22" x14ac:dyDescent="0.15">
      <c r="A52" s="18" t="str">
        <f>IF(ISBLANK('Raw counts'!A53),"",'Raw counts'!A53)</f>
        <v>Attr49</v>
      </c>
      <c r="B52" s="19" t="str">
        <f>IF(ISBLANK('Raw counts'!B53),"",IF('7'!$V52=1,IF('3'!B52='7'!$V52,"sol",'4'!B52),IF('7'!$V52=2,IF('3'!B52&lt;='7'!$V52,"dul",'4'!B52),IF('7'!$V52&gt;=3,IF('3'!B52&lt;='7'!$V52,"shr",'4'!B52),'4'!B52))))</f>
        <v/>
      </c>
      <c r="C52" s="19" t="str">
        <f>IF(ISBLANK('Raw counts'!C53),"",IF('7'!$V52=1,IF('3'!C52='7'!$V52,"sol",'4'!C52),IF('7'!$V52=2,IF('3'!C52&lt;='7'!$V52,"dul",'4'!C52),IF('7'!$V52&gt;=3,IF('3'!C52&lt;='7'!$V52,"shr",'4'!C52),'4'!C52))))</f>
        <v/>
      </c>
      <c r="D52" s="19" t="str">
        <f>IF(ISBLANK('Raw counts'!D53),"",IF('7'!$V52=1,IF('3'!D52='7'!$V52,"sol",'4'!D52),IF('7'!$V52=2,IF('3'!D52&lt;='7'!$V52,"dul",'4'!D52),IF('7'!$V52&gt;=3,IF('3'!D52&lt;='7'!$V52,"shr",'4'!D52),'4'!D52))))</f>
        <v/>
      </c>
      <c r="E52" s="19" t="str">
        <f>IF(ISBLANK('Raw counts'!E53),"",IF('7'!$V52=1,IF('3'!E52='7'!$V52,"sol",'4'!E52),IF('7'!$V52=2,IF('3'!E52&lt;='7'!$V52,"dul",'4'!E52),IF('7'!$V52&gt;=3,IF('3'!E52&lt;='7'!$V52,"shr",'4'!E52),'4'!E52))))</f>
        <v/>
      </c>
      <c r="F52" s="19" t="str">
        <f>IF(ISBLANK('Raw counts'!F53),"",IF('7'!$V52=1,IF('3'!F52='7'!$V52,"sol",'4'!F52),IF('7'!$V52=2,IF('3'!F52&lt;='7'!$V52,"dul",'4'!F52),IF('7'!$V52&gt;=3,IF('3'!F52&lt;='7'!$V52,"shr",'4'!F52),'4'!F52))))</f>
        <v/>
      </c>
      <c r="G52" s="19" t="str">
        <f>IF(ISBLANK('Raw counts'!G53),"",IF('7'!$V52=1,IF('3'!G52='7'!$V52,"sol",'4'!G52),IF('7'!$V52=2,IF('3'!G52&lt;='7'!$V52,"dul",'4'!G52),IF('7'!$V52&gt;=3,IF('3'!G52&lt;='7'!$V52,"shr",'4'!G52),'4'!G52))))</f>
        <v/>
      </c>
      <c r="H52" s="19" t="str">
        <f>IF(ISBLANK('Raw counts'!H53),"",IF('7'!$V52=1,IF('3'!H52='7'!$V52,"sol",'4'!H52),IF('7'!$V52=2,IF('3'!H52&lt;='7'!$V52,"dul",'4'!H52),IF('7'!$V52&gt;=3,IF('3'!H52&lt;='7'!$V52,"shr",'4'!H52),'4'!H52))))</f>
        <v/>
      </c>
      <c r="I52" s="19" t="str">
        <f>IF(ISBLANK('Raw counts'!I53),"",IF('7'!$V52=1,IF('3'!I52='7'!$V52,"sol",'4'!I52),IF('7'!$V52=2,IF('3'!I52&lt;='7'!$V52,"dul",'4'!I52),IF('7'!$V52&gt;=3,IF('3'!I52&lt;='7'!$V52,"shr",'4'!I52),'4'!I52))))</f>
        <v/>
      </c>
      <c r="J52" s="19" t="str">
        <f>IF(ISBLANK('Raw counts'!J53),"",IF('7'!$V52=1,IF('3'!J52='7'!$V52,"sol",'4'!J52),IF('7'!$V52=2,IF('3'!J52&lt;='7'!$V52,"dul",'4'!J52),IF('7'!$V52&gt;=3,IF('3'!J52&lt;='7'!$V52,"shr",'4'!J52),'4'!J52))))</f>
        <v/>
      </c>
      <c r="K52" s="19" t="str">
        <f>IF(ISBLANK('Raw counts'!K53),"",IF('7'!$V52=1,IF('3'!K52='7'!$V52,"sol",'4'!K52),IF('7'!$V52=2,IF('3'!K52&lt;='7'!$V52,"dul",'4'!K52),IF('7'!$V52&gt;=3,IF('3'!K52&lt;='7'!$V52,"shr",'4'!K52),'4'!K52))))</f>
        <v/>
      </c>
      <c r="L52" s="19" t="str">
        <f>IF(ISBLANK('Raw counts'!L53),"",IF('7'!$V52=1,IF('3'!L52='7'!$V52,"sol",'4'!L52),IF('7'!$V52=2,IF('3'!L52&lt;='7'!$V52,"dul",'4'!L52),IF('7'!$V52&gt;=3,IF('3'!L52&lt;='7'!$V52,"shr",'4'!L52),'4'!L52))))</f>
        <v/>
      </c>
      <c r="M52" s="19" t="str">
        <f>IF(ISBLANK('Raw counts'!M53),"",IF('7'!$V52=1,IF('3'!M52='7'!$V52,"sol",'4'!M52),IF('7'!$V52=2,IF('3'!M52&lt;='7'!$V52,"dul",'4'!M52),IF('7'!$V52&gt;=3,IF('3'!M52&lt;='7'!$V52,"shr",'4'!M52),'4'!M52))))</f>
        <v/>
      </c>
      <c r="N52" s="19" t="str">
        <f>IF(ISBLANK('Raw counts'!N53),"",IF('7'!$V52=1,IF('3'!N52='7'!$V52,"sol",'4'!N52),IF('7'!$V52=2,IF('3'!N52&lt;='7'!$V52,"dul",'4'!N52),IF('7'!$V52&gt;=3,IF('3'!N52&lt;='7'!$V52,"shr",'4'!N52),'4'!N52))))</f>
        <v/>
      </c>
      <c r="O52" s="19" t="str">
        <f>IF(ISBLANK('Raw counts'!O53),"",IF('7'!$V52=1,IF('3'!O52='7'!$V52,"sol",'4'!O52),IF('7'!$V52=2,IF('3'!O52&lt;='7'!$V52,"dul",'4'!O52),IF('7'!$V52&gt;=3,IF('3'!O52&lt;='7'!$V52,"shr",'4'!O52),'4'!O52))))</f>
        <v/>
      </c>
      <c r="P52" s="19" t="str">
        <f>IF(ISBLANK('Raw counts'!P53),"",IF('7'!$V52=1,IF('3'!P52='7'!$V52,"sol",'4'!P52),IF('7'!$V52=2,IF('3'!P52&lt;='7'!$V52,"dul",'4'!P52),IF('7'!$V52&gt;=3,IF('3'!P52&lt;='7'!$V52,"shr",'4'!P52),'4'!P52))))</f>
        <v/>
      </c>
      <c r="Q52" s="19" t="str">
        <f>IF(ISBLANK('Raw counts'!Q53),"",IF('7'!$V52=1,IF('3'!Q52='7'!$V52,"sol",'4'!Q52),IF('7'!$V52=2,IF('3'!Q52&lt;='7'!$V52,"dul",'4'!Q52),IF('7'!$V52&gt;=3,IF('3'!Q52&lt;='7'!$V52,"shr",'4'!Q52),'4'!Q52))))</f>
        <v/>
      </c>
      <c r="R52" s="19" t="str">
        <f>IF(ISBLANK('Raw counts'!R53),"",IF('7'!$V52=1,IF('3'!R52='7'!$V52,"sol",'4'!R52),IF('7'!$V52=2,IF('3'!R52&lt;='7'!$V52,"dul",'4'!R52),IF('7'!$V52&gt;=3,IF('3'!R52&lt;='7'!$V52,"shr",'4'!R52),'4'!R52))))</f>
        <v/>
      </c>
      <c r="S52" s="19" t="str">
        <f>IF(ISBLANK('Raw counts'!S53),"",IF('7'!$V52=1,IF('3'!S52='7'!$V52,"sol",'4'!S52),IF('7'!$V52=2,IF('3'!S52&lt;='7'!$V52,"dul",'4'!S52),IF('7'!$V52&gt;=3,IF('3'!S52&lt;='7'!$V52,"shr",'4'!S52),'4'!S52))))</f>
        <v/>
      </c>
      <c r="T52" s="19" t="str">
        <f>IF(ISBLANK('Raw counts'!T53),"",IF('7'!$V52=1,IF('3'!T52='7'!$V52,"sol",'4'!T52),IF('7'!$V52=2,IF('3'!T52&lt;='7'!$V52,"dul",'4'!T52),IF('7'!$V52&gt;=3,IF('3'!T52&lt;='7'!$V52,"shr",'4'!T52),'4'!T52))))</f>
        <v/>
      </c>
      <c r="U52" s="19" t="str">
        <f>IF(ISBLANK('Raw counts'!U53),"",IF('7'!$V52=1,IF('3'!U52='7'!$V52,"sol",'4'!U52),IF('7'!$V52=2,IF('3'!U52&lt;='7'!$V52,"dul",'4'!U52),IF('7'!$V52&gt;=3,IF('3'!U52&lt;='7'!$V52,"shr",'4'!U52),'4'!U52))))</f>
        <v/>
      </c>
      <c r="V52" s="3">
        <f>'7'!V52</f>
        <v>0</v>
      </c>
    </row>
    <row r="53" spans="1:22" x14ac:dyDescent="0.15">
      <c r="A53" s="18" t="str">
        <f>IF(ISBLANK('Raw counts'!A54),"",'Raw counts'!A54)</f>
        <v>Attr50</v>
      </c>
      <c r="B53" s="19" t="str">
        <f>IF(ISBLANK('Raw counts'!B54),"",IF('7'!$V53=1,IF('3'!B53='7'!$V53,"sol",'4'!B53),IF('7'!$V53=2,IF('3'!B53&lt;='7'!$V53,"dul",'4'!B53),IF('7'!$V53&gt;=3,IF('3'!B53&lt;='7'!$V53,"shr",'4'!B53),'4'!B53))))</f>
        <v/>
      </c>
      <c r="C53" s="19" t="str">
        <f>IF(ISBLANK('Raw counts'!C54),"",IF('7'!$V53=1,IF('3'!C53='7'!$V53,"sol",'4'!C53),IF('7'!$V53=2,IF('3'!C53&lt;='7'!$V53,"dul",'4'!C53),IF('7'!$V53&gt;=3,IF('3'!C53&lt;='7'!$V53,"shr",'4'!C53),'4'!C53))))</f>
        <v/>
      </c>
      <c r="D53" s="19" t="str">
        <f>IF(ISBLANK('Raw counts'!D54),"",IF('7'!$V53=1,IF('3'!D53='7'!$V53,"sol",'4'!D53),IF('7'!$V53=2,IF('3'!D53&lt;='7'!$V53,"dul",'4'!D53),IF('7'!$V53&gt;=3,IF('3'!D53&lt;='7'!$V53,"shr",'4'!D53),'4'!D53))))</f>
        <v/>
      </c>
      <c r="E53" s="19" t="str">
        <f>IF(ISBLANK('Raw counts'!E54),"",IF('7'!$V53=1,IF('3'!E53='7'!$V53,"sol",'4'!E53),IF('7'!$V53=2,IF('3'!E53&lt;='7'!$V53,"dul",'4'!E53),IF('7'!$V53&gt;=3,IF('3'!E53&lt;='7'!$V53,"shr",'4'!E53),'4'!E53))))</f>
        <v/>
      </c>
      <c r="F53" s="19" t="str">
        <f>IF(ISBLANK('Raw counts'!F54),"",IF('7'!$V53=1,IF('3'!F53='7'!$V53,"sol",'4'!F53),IF('7'!$V53=2,IF('3'!F53&lt;='7'!$V53,"dul",'4'!F53),IF('7'!$V53&gt;=3,IF('3'!F53&lt;='7'!$V53,"shr",'4'!F53),'4'!F53))))</f>
        <v/>
      </c>
      <c r="G53" s="19" t="str">
        <f>IF(ISBLANK('Raw counts'!G54),"",IF('7'!$V53=1,IF('3'!G53='7'!$V53,"sol",'4'!G53),IF('7'!$V53=2,IF('3'!G53&lt;='7'!$V53,"dul",'4'!G53),IF('7'!$V53&gt;=3,IF('3'!G53&lt;='7'!$V53,"shr",'4'!G53),'4'!G53))))</f>
        <v/>
      </c>
      <c r="H53" s="19" t="str">
        <f>IF(ISBLANK('Raw counts'!H54),"",IF('7'!$V53=1,IF('3'!H53='7'!$V53,"sol",'4'!H53),IF('7'!$V53=2,IF('3'!H53&lt;='7'!$V53,"dul",'4'!H53),IF('7'!$V53&gt;=3,IF('3'!H53&lt;='7'!$V53,"shr",'4'!H53),'4'!H53))))</f>
        <v/>
      </c>
      <c r="I53" s="19" t="str">
        <f>IF(ISBLANK('Raw counts'!I54),"",IF('7'!$V53=1,IF('3'!I53='7'!$V53,"sol",'4'!I53),IF('7'!$V53=2,IF('3'!I53&lt;='7'!$V53,"dul",'4'!I53),IF('7'!$V53&gt;=3,IF('3'!I53&lt;='7'!$V53,"shr",'4'!I53),'4'!I53))))</f>
        <v/>
      </c>
      <c r="J53" s="19" t="str">
        <f>IF(ISBLANK('Raw counts'!J54),"",IF('7'!$V53=1,IF('3'!J53='7'!$V53,"sol",'4'!J53),IF('7'!$V53=2,IF('3'!J53&lt;='7'!$V53,"dul",'4'!J53),IF('7'!$V53&gt;=3,IF('3'!J53&lt;='7'!$V53,"shr",'4'!J53),'4'!J53))))</f>
        <v/>
      </c>
      <c r="K53" s="19" t="str">
        <f>IF(ISBLANK('Raw counts'!K54),"",IF('7'!$V53=1,IF('3'!K53='7'!$V53,"sol",'4'!K53),IF('7'!$V53=2,IF('3'!K53&lt;='7'!$V53,"dul",'4'!K53),IF('7'!$V53&gt;=3,IF('3'!K53&lt;='7'!$V53,"shr",'4'!K53),'4'!K53))))</f>
        <v/>
      </c>
      <c r="L53" s="19" t="str">
        <f>IF(ISBLANK('Raw counts'!L54),"",IF('7'!$V53=1,IF('3'!L53='7'!$V53,"sol",'4'!L53),IF('7'!$V53=2,IF('3'!L53&lt;='7'!$V53,"dul",'4'!L53),IF('7'!$V53&gt;=3,IF('3'!L53&lt;='7'!$V53,"shr",'4'!L53),'4'!L53))))</f>
        <v/>
      </c>
      <c r="M53" s="19" t="str">
        <f>IF(ISBLANK('Raw counts'!M54),"",IF('7'!$V53=1,IF('3'!M53='7'!$V53,"sol",'4'!M53),IF('7'!$V53=2,IF('3'!M53&lt;='7'!$V53,"dul",'4'!M53),IF('7'!$V53&gt;=3,IF('3'!M53&lt;='7'!$V53,"shr",'4'!M53),'4'!M53))))</f>
        <v/>
      </c>
      <c r="N53" s="19" t="str">
        <f>IF(ISBLANK('Raw counts'!N54),"",IF('7'!$V53=1,IF('3'!N53='7'!$V53,"sol",'4'!N53),IF('7'!$V53=2,IF('3'!N53&lt;='7'!$V53,"dul",'4'!N53),IF('7'!$V53&gt;=3,IF('3'!N53&lt;='7'!$V53,"shr",'4'!N53),'4'!N53))))</f>
        <v/>
      </c>
      <c r="O53" s="19" t="str">
        <f>IF(ISBLANK('Raw counts'!O54),"",IF('7'!$V53=1,IF('3'!O53='7'!$V53,"sol",'4'!O53),IF('7'!$V53=2,IF('3'!O53&lt;='7'!$V53,"dul",'4'!O53),IF('7'!$V53&gt;=3,IF('3'!O53&lt;='7'!$V53,"shr",'4'!O53),'4'!O53))))</f>
        <v/>
      </c>
      <c r="P53" s="19" t="str">
        <f>IF(ISBLANK('Raw counts'!P54),"",IF('7'!$V53=1,IF('3'!P53='7'!$V53,"sol",'4'!P53),IF('7'!$V53=2,IF('3'!P53&lt;='7'!$V53,"dul",'4'!P53),IF('7'!$V53&gt;=3,IF('3'!P53&lt;='7'!$V53,"shr",'4'!P53),'4'!P53))))</f>
        <v/>
      </c>
      <c r="Q53" s="19" t="str">
        <f>IF(ISBLANK('Raw counts'!Q54),"",IF('7'!$V53=1,IF('3'!Q53='7'!$V53,"sol",'4'!Q53),IF('7'!$V53=2,IF('3'!Q53&lt;='7'!$V53,"dul",'4'!Q53),IF('7'!$V53&gt;=3,IF('3'!Q53&lt;='7'!$V53,"shr",'4'!Q53),'4'!Q53))))</f>
        <v/>
      </c>
      <c r="R53" s="19" t="str">
        <f>IF(ISBLANK('Raw counts'!R54),"",IF('7'!$V53=1,IF('3'!R53='7'!$V53,"sol",'4'!R53),IF('7'!$V53=2,IF('3'!R53&lt;='7'!$V53,"dul",'4'!R53),IF('7'!$V53&gt;=3,IF('3'!R53&lt;='7'!$V53,"shr",'4'!R53),'4'!R53))))</f>
        <v/>
      </c>
      <c r="S53" s="19" t="str">
        <f>IF(ISBLANK('Raw counts'!S54),"",IF('7'!$V53=1,IF('3'!S53='7'!$V53,"sol",'4'!S53),IF('7'!$V53=2,IF('3'!S53&lt;='7'!$V53,"dul",'4'!S53),IF('7'!$V53&gt;=3,IF('3'!S53&lt;='7'!$V53,"shr",'4'!S53),'4'!S53))))</f>
        <v/>
      </c>
      <c r="T53" s="19" t="str">
        <f>IF(ISBLANK('Raw counts'!T54),"",IF('7'!$V53=1,IF('3'!T53='7'!$V53,"sol",'4'!T53),IF('7'!$V53=2,IF('3'!T53&lt;='7'!$V53,"dul",'4'!T53),IF('7'!$V53&gt;=3,IF('3'!T53&lt;='7'!$V53,"shr",'4'!T53),'4'!T53))))</f>
        <v/>
      </c>
      <c r="U53" s="19" t="str">
        <f>IF(ISBLANK('Raw counts'!U54),"",IF('7'!$V53=1,IF('3'!U53='7'!$V53,"sol",'4'!U53),IF('7'!$V53=2,IF('3'!U53&lt;='7'!$V53,"dul",'4'!U53),IF('7'!$V53&gt;=3,IF('3'!U53&lt;='7'!$V53,"shr",'4'!U53),'4'!U53))))</f>
        <v/>
      </c>
      <c r="V53" s="3">
        <f>'7'!V53</f>
        <v>0</v>
      </c>
    </row>
    <row r="54" spans="1:22" x14ac:dyDescent="0.15">
      <c r="A54" s="18" t="str">
        <f>IF(ISBLANK('Raw counts'!A55),"",'Raw counts'!A55)</f>
        <v>Attr51</v>
      </c>
      <c r="B54" s="19" t="str">
        <f>IF(ISBLANK('Raw counts'!B55),"",IF('7'!$V54=1,IF('3'!B54='7'!$V54,"sol",'4'!B54),IF('7'!$V54=2,IF('3'!B54&lt;='7'!$V54,"dul",'4'!B54),IF('7'!$V54&gt;=3,IF('3'!B54&lt;='7'!$V54,"shr",'4'!B54),'4'!B54))))</f>
        <v/>
      </c>
      <c r="C54" s="19" t="str">
        <f>IF(ISBLANK('Raw counts'!C55),"",IF('7'!$V54=1,IF('3'!C54='7'!$V54,"sol",'4'!C54),IF('7'!$V54=2,IF('3'!C54&lt;='7'!$V54,"dul",'4'!C54),IF('7'!$V54&gt;=3,IF('3'!C54&lt;='7'!$V54,"shr",'4'!C54),'4'!C54))))</f>
        <v/>
      </c>
      <c r="D54" s="19" t="str">
        <f>IF(ISBLANK('Raw counts'!D55),"",IF('7'!$V54=1,IF('3'!D54='7'!$V54,"sol",'4'!D54),IF('7'!$V54=2,IF('3'!D54&lt;='7'!$V54,"dul",'4'!D54),IF('7'!$V54&gt;=3,IF('3'!D54&lt;='7'!$V54,"shr",'4'!D54),'4'!D54))))</f>
        <v/>
      </c>
      <c r="E54" s="19" t="str">
        <f>IF(ISBLANK('Raw counts'!E55),"",IF('7'!$V54=1,IF('3'!E54='7'!$V54,"sol",'4'!E54),IF('7'!$V54=2,IF('3'!E54&lt;='7'!$V54,"dul",'4'!E54),IF('7'!$V54&gt;=3,IF('3'!E54&lt;='7'!$V54,"shr",'4'!E54),'4'!E54))))</f>
        <v/>
      </c>
      <c r="F54" s="19" t="str">
        <f>IF(ISBLANK('Raw counts'!F55),"",IF('7'!$V54=1,IF('3'!F54='7'!$V54,"sol",'4'!F54),IF('7'!$V54=2,IF('3'!F54&lt;='7'!$V54,"dul",'4'!F54),IF('7'!$V54&gt;=3,IF('3'!F54&lt;='7'!$V54,"shr",'4'!F54),'4'!F54))))</f>
        <v/>
      </c>
      <c r="G54" s="19" t="str">
        <f>IF(ISBLANK('Raw counts'!G55),"",IF('7'!$V54=1,IF('3'!G54='7'!$V54,"sol",'4'!G54),IF('7'!$V54=2,IF('3'!G54&lt;='7'!$V54,"dul",'4'!G54),IF('7'!$V54&gt;=3,IF('3'!G54&lt;='7'!$V54,"shr",'4'!G54),'4'!G54))))</f>
        <v/>
      </c>
      <c r="H54" s="19" t="str">
        <f>IF(ISBLANK('Raw counts'!H55),"",IF('7'!$V54=1,IF('3'!H54='7'!$V54,"sol",'4'!H54),IF('7'!$V54=2,IF('3'!H54&lt;='7'!$V54,"dul",'4'!H54),IF('7'!$V54&gt;=3,IF('3'!H54&lt;='7'!$V54,"shr",'4'!H54),'4'!H54))))</f>
        <v/>
      </c>
      <c r="I54" s="19" t="str">
        <f>IF(ISBLANK('Raw counts'!I55),"",IF('7'!$V54=1,IF('3'!I54='7'!$V54,"sol",'4'!I54),IF('7'!$V54=2,IF('3'!I54&lt;='7'!$V54,"dul",'4'!I54),IF('7'!$V54&gt;=3,IF('3'!I54&lt;='7'!$V54,"shr",'4'!I54),'4'!I54))))</f>
        <v/>
      </c>
      <c r="J54" s="19" t="str">
        <f>IF(ISBLANK('Raw counts'!J55),"",IF('7'!$V54=1,IF('3'!J54='7'!$V54,"sol",'4'!J54),IF('7'!$V54=2,IF('3'!J54&lt;='7'!$V54,"dul",'4'!J54),IF('7'!$V54&gt;=3,IF('3'!J54&lt;='7'!$V54,"shr",'4'!J54),'4'!J54))))</f>
        <v/>
      </c>
      <c r="K54" s="19" t="str">
        <f>IF(ISBLANK('Raw counts'!K55),"",IF('7'!$V54=1,IF('3'!K54='7'!$V54,"sol",'4'!K54),IF('7'!$V54=2,IF('3'!K54&lt;='7'!$V54,"dul",'4'!K54),IF('7'!$V54&gt;=3,IF('3'!K54&lt;='7'!$V54,"shr",'4'!K54),'4'!K54))))</f>
        <v/>
      </c>
      <c r="L54" s="19" t="str">
        <f>IF(ISBLANK('Raw counts'!L55),"",IF('7'!$V54=1,IF('3'!L54='7'!$V54,"sol",'4'!L54),IF('7'!$V54=2,IF('3'!L54&lt;='7'!$V54,"dul",'4'!L54),IF('7'!$V54&gt;=3,IF('3'!L54&lt;='7'!$V54,"shr",'4'!L54),'4'!L54))))</f>
        <v/>
      </c>
      <c r="M54" s="19" t="str">
        <f>IF(ISBLANK('Raw counts'!M55),"",IF('7'!$V54=1,IF('3'!M54='7'!$V54,"sol",'4'!M54),IF('7'!$V54=2,IF('3'!M54&lt;='7'!$V54,"dul",'4'!M54),IF('7'!$V54&gt;=3,IF('3'!M54&lt;='7'!$V54,"shr",'4'!M54),'4'!M54))))</f>
        <v/>
      </c>
      <c r="N54" s="19" t="str">
        <f>IF(ISBLANK('Raw counts'!N55),"",IF('7'!$V54=1,IF('3'!N54='7'!$V54,"sol",'4'!N54),IF('7'!$V54=2,IF('3'!N54&lt;='7'!$V54,"dul",'4'!N54),IF('7'!$V54&gt;=3,IF('3'!N54&lt;='7'!$V54,"shr",'4'!N54),'4'!N54))))</f>
        <v/>
      </c>
      <c r="O54" s="19" t="str">
        <f>IF(ISBLANK('Raw counts'!O55),"",IF('7'!$V54=1,IF('3'!O54='7'!$V54,"sol",'4'!O54),IF('7'!$V54=2,IF('3'!O54&lt;='7'!$V54,"dul",'4'!O54),IF('7'!$V54&gt;=3,IF('3'!O54&lt;='7'!$V54,"shr",'4'!O54),'4'!O54))))</f>
        <v/>
      </c>
      <c r="P54" s="19" t="str">
        <f>IF(ISBLANK('Raw counts'!P55),"",IF('7'!$V54=1,IF('3'!P54='7'!$V54,"sol",'4'!P54),IF('7'!$V54=2,IF('3'!P54&lt;='7'!$V54,"dul",'4'!P54),IF('7'!$V54&gt;=3,IF('3'!P54&lt;='7'!$V54,"shr",'4'!P54),'4'!P54))))</f>
        <v/>
      </c>
      <c r="Q54" s="19" t="str">
        <f>IF(ISBLANK('Raw counts'!Q55),"",IF('7'!$V54=1,IF('3'!Q54='7'!$V54,"sol",'4'!Q54),IF('7'!$V54=2,IF('3'!Q54&lt;='7'!$V54,"dul",'4'!Q54),IF('7'!$V54&gt;=3,IF('3'!Q54&lt;='7'!$V54,"shr",'4'!Q54),'4'!Q54))))</f>
        <v/>
      </c>
      <c r="R54" s="19" t="str">
        <f>IF(ISBLANK('Raw counts'!R55),"",IF('7'!$V54=1,IF('3'!R54='7'!$V54,"sol",'4'!R54),IF('7'!$V54=2,IF('3'!R54&lt;='7'!$V54,"dul",'4'!R54),IF('7'!$V54&gt;=3,IF('3'!R54&lt;='7'!$V54,"shr",'4'!R54),'4'!R54))))</f>
        <v/>
      </c>
      <c r="S54" s="19" t="str">
        <f>IF(ISBLANK('Raw counts'!S55),"",IF('7'!$V54=1,IF('3'!S54='7'!$V54,"sol",'4'!S54),IF('7'!$V54=2,IF('3'!S54&lt;='7'!$V54,"dul",'4'!S54),IF('7'!$V54&gt;=3,IF('3'!S54&lt;='7'!$V54,"shr",'4'!S54),'4'!S54))))</f>
        <v/>
      </c>
      <c r="T54" s="19" t="str">
        <f>IF(ISBLANK('Raw counts'!T55),"",IF('7'!$V54=1,IF('3'!T54='7'!$V54,"sol",'4'!T54),IF('7'!$V54=2,IF('3'!T54&lt;='7'!$V54,"dul",'4'!T54),IF('7'!$V54&gt;=3,IF('3'!T54&lt;='7'!$V54,"shr",'4'!T54),'4'!T54))))</f>
        <v/>
      </c>
      <c r="U54" s="19" t="str">
        <f>IF(ISBLANK('Raw counts'!U55),"",IF('7'!$V54=1,IF('3'!U54='7'!$V54,"sol",'4'!U54),IF('7'!$V54=2,IF('3'!U54&lt;='7'!$V54,"dul",'4'!U54),IF('7'!$V54&gt;=3,IF('3'!U54&lt;='7'!$V54,"shr",'4'!U54),'4'!U54))))</f>
        <v/>
      </c>
      <c r="V54" s="3">
        <f>'7'!V54</f>
        <v>0</v>
      </c>
    </row>
    <row r="55" spans="1:22" x14ac:dyDescent="0.15">
      <c r="A55" s="18" t="str">
        <f>IF(ISBLANK('Raw counts'!A56),"",'Raw counts'!A56)</f>
        <v>Attr52</v>
      </c>
      <c r="B55" s="19" t="str">
        <f>IF(ISBLANK('Raw counts'!B56),"",IF('7'!$V55=1,IF('3'!B55='7'!$V55,"sol",'4'!B55),IF('7'!$V55=2,IF('3'!B55&lt;='7'!$V55,"dul",'4'!B55),IF('7'!$V55&gt;=3,IF('3'!B55&lt;='7'!$V55,"shr",'4'!B55),'4'!B55))))</f>
        <v/>
      </c>
      <c r="C55" s="19" t="str">
        <f>IF(ISBLANK('Raw counts'!C56),"",IF('7'!$V55=1,IF('3'!C55='7'!$V55,"sol",'4'!C55),IF('7'!$V55=2,IF('3'!C55&lt;='7'!$V55,"dul",'4'!C55),IF('7'!$V55&gt;=3,IF('3'!C55&lt;='7'!$V55,"shr",'4'!C55),'4'!C55))))</f>
        <v/>
      </c>
      <c r="D55" s="19" t="str">
        <f>IF(ISBLANK('Raw counts'!D56),"",IF('7'!$V55=1,IF('3'!D55='7'!$V55,"sol",'4'!D55),IF('7'!$V55=2,IF('3'!D55&lt;='7'!$V55,"dul",'4'!D55),IF('7'!$V55&gt;=3,IF('3'!D55&lt;='7'!$V55,"shr",'4'!D55),'4'!D55))))</f>
        <v/>
      </c>
      <c r="E55" s="19" t="str">
        <f>IF(ISBLANK('Raw counts'!E56),"",IF('7'!$V55=1,IF('3'!E55='7'!$V55,"sol",'4'!E55),IF('7'!$V55=2,IF('3'!E55&lt;='7'!$V55,"dul",'4'!E55),IF('7'!$V55&gt;=3,IF('3'!E55&lt;='7'!$V55,"shr",'4'!E55),'4'!E55))))</f>
        <v/>
      </c>
      <c r="F55" s="19" t="str">
        <f>IF(ISBLANK('Raw counts'!F56),"",IF('7'!$V55=1,IF('3'!F55='7'!$V55,"sol",'4'!F55),IF('7'!$V55=2,IF('3'!F55&lt;='7'!$V55,"dul",'4'!F55),IF('7'!$V55&gt;=3,IF('3'!F55&lt;='7'!$V55,"shr",'4'!F55),'4'!F55))))</f>
        <v/>
      </c>
      <c r="G55" s="19" t="str">
        <f>IF(ISBLANK('Raw counts'!G56),"",IF('7'!$V55=1,IF('3'!G55='7'!$V55,"sol",'4'!G55),IF('7'!$V55=2,IF('3'!G55&lt;='7'!$V55,"dul",'4'!G55),IF('7'!$V55&gt;=3,IF('3'!G55&lt;='7'!$V55,"shr",'4'!G55),'4'!G55))))</f>
        <v/>
      </c>
      <c r="H55" s="19" t="str">
        <f>IF(ISBLANK('Raw counts'!H56),"",IF('7'!$V55=1,IF('3'!H55='7'!$V55,"sol",'4'!H55),IF('7'!$V55=2,IF('3'!H55&lt;='7'!$V55,"dul",'4'!H55),IF('7'!$V55&gt;=3,IF('3'!H55&lt;='7'!$V55,"shr",'4'!H55),'4'!H55))))</f>
        <v/>
      </c>
      <c r="I55" s="19" t="str">
        <f>IF(ISBLANK('Raw counts'!I56),"",IF('7'!$V55=1,IF('3'!I55='7'!$V55,"sol",'4'!I55),IF('7'!$V55=2,IF('3'!I55&lt;='7'!$V55,"dul",'4'!I55),IF('7'!$V55&gt;=3,IF('3'!I55&lt;='7'!$V55,"shr",'4'!I55),'4'!I55))))</f>
        <v/>
      </c>
      <c r="J55" s="19" t="str">
        <f>IF(ISBLANK('Raw counts'!J56),"",IF('7'!$V55=1,IF('3'!J55='7'!$V55,"sol",'4'!J55),IF('7'!$V55=2,IF('3'!J55&lt;='7'!$V55,"dul",'4'!J55),IF('7'!$V55&gt;=3,IF('3'!J55&lt;='7'!$V55,"shr",'4'!J55),'4'!J55))))</f>
        <v/>
      </c>
      <c r="K55" s="19" t="str">
        <f>IF(ISBLANK('Raw counts'!K56),"",IF('7'!$V55=1,IF('3'!K55='7'!$V55,"sol",'4'!K55),IF('7'!$V55=2,IF('3'!K55&lt;='7'!$V55,"dul",'4'!K55),IF('7'!$V55&gt;=3,IF('3'!K55&lt;='7'!$V55,"shr",'4'!K55),'4'!K55))))</f>
        <v/>
      </c>
      <c r="L55" s="19" t="str">
        <f>IF(ISBLANK('Raw counts'!L56),"",IF('7'!$V55=1,IF('3'!L55='7'!$V55,"sol",'4'!L55),IF('7'!$V55=2,IF('3'!L55&lt;='7'!$V55,"dul",'4'!L55),IF('7'!$V55&gt;=3,IF('3'!L55&lt;='7'!$V55,"shr",'4'!L55),'4'!L55))))</f>
        <v/>
      </c>
      <c r="M55" s="19" t="str">
        <f>IF(ISBLANK('Raw counts'!M56),"",IF('7'!$V55=1,IF('3'!M55='7'!$V55,"sol",'4'!M55),IF('7'!$V55=2,IF('3'!M55&lt;='7'!$V55,"dul",'4'!M55),IF('7'!$V55&gt;=3,IF('3'!M55&lt;='7'!$V55,"shr",'4'!M55),'4'!M55))))</f>
        <v/>
      </c>
      <c r="N55" s="19" t="str">
        <f>IF(ISBLANK('Raw counts'!N56),"",IF('7'!$V55=1,IF('3'!N55='7'!$V55,"sol",'4'!N55),IF('7'!$V55=2,IF('3'!N55&lt;='7'!$V55,"dul",'4'!N55),IF('7'!$V55&gt;=3,IF('3'!N55&lt;='7'!$V55,"shr",'4'!N55),'4'!N55))))</f>
        <v/>
      </c>
      <c r="O55" s="19" t="str">
        <f>IF(ISBLANK('Raw counts'!O56),"",IF('7'!$V55=1,IF('3'!O55='7'!$V55,"sol",'4'!O55),IF('7'!$V55=2,IF('3'!O55&lt;='7'!$V55,"dul",'4'!O55),IF('7'!$V55&gt;=3,IF('3'!O55&lt;='7'!$V55,"shr",'4'!O55),'4'!O55))))</f>
        <v/>
      </c>
      <c r="P55" s="19" t="str">
        <f>IF(ISBLANK('Raw counts'!P56),"",IF('7'!$V55=1,IF('3'!P55='7'!$V55,"sol",'4'!P55),IF('7'!$V55=2,IF('3'!P55&lt;='7'!$V55,"dul",'4'!P55),IF('7'!$V55&gt;=3,IF('3'!P55&lt;='7'!$V55,"shr",'4'!P55),'4'!P55))))</f>
        <v/>
      </c>
      <c r="Q55" s="19" t="str">
        <f>IF(ISBLANK('Raw counts'!Q56),"",IF('7'!$V55=1,IF('3'!Q55='7'!$V55,"sol",'4'!Q55),IF('7'!$V55=2,IF('3'!Q55&lt;='7'!$V55,"dul",'4'!Q55),IF('7'!$V55&gt;=3,IF('3'!Q55&lt;='7'!$V55,"shr",'4'!Q55),'4'!Q55))))</f>
        <v/>
      </c>
      <c r="R55" s="19" t="str">
        <f>IF(ISBLANK('Raw counts'!R56),"",IF('7'!$V55=1,IF('3'!R55='7'!$V55,"sol",'4'!R55),IF('7'!$V55=2,IF('3'!R55&lt;='7'!$V55,"dul",'4'!R55),IF('7'!$V55&gt;=3,IF('3'!R55&lt;='7'!$V55,"shr",'4'!R55),'4'!R55))))</f>
        <v/>
      </c>
      <c r="S55" s="19" t="str">
        <f>IF(ISBLANK('Raw counts'!S56),"",IF('7'!$V55=1,IF('3'!S55='7'!$V55,"sol",'4'!S55),IF('7'!$V55=2,IF('3'!S55&lt;='7'!$V55,"dul",'4'!S55),IF('7'!$V55&gt;=3,IF('3'!S55&lt;='7'!$V55,"shr",'4'!S55),'4'!S55))))</f>
        <v/>
      </c>
      <c r="T55" s="19" t="str">
        <f>IF(ISBLANK('Raw counts'!T56),"",IF('7'!$V55=1,IF('3'!T55='7'!$V55,"sol",'4'!T55),IF('7'!$V55=2,IF('3'!T55&lt;='7'!$V55,"dul",'4'!T55),IF('7'!$V55&gt;=3,IF('3'!T55&lt;='7'!$V55,"shr",'4'!T55),'4'!T55))))</f>
        <v/>
      </c>
      <c r="U55" s="19" t="str">
        <f>IF(ISBLANK('Raw counts'!U56),"",IF('7'!$V55=1,IF('3'!U55='7'!$V55,"sol",'4'!U55),IF('7'!$V55=2,IF('3'!U55&lt;='7'!$V55,"dul",'4'!U55),IF('7'!$V55&gt;=3,IF('3'!U55&lt;='7'!$V55,"shr",'4'!U55),'4'!U55))))</f>
        <v/>
      </c>
      <c r="V55" s="3">
        <f>'7'!V55</f>
        <v>0</v>
      </c>
    </row>
    <row r="56" spans="1:22" x14ac:dyDescent="0.15">
      <c r="A56" s="18" t="str">
        <f>IF(ISBLANK('Raw counts'!A57),"",'Raw counts'!A57)</f>
        <v>Attr53</v>
      </c>
      <c r="B56" s="19" t="str">
        <f>IF(ISBLANK('Raw counts'!B57),"",IF('7'!$V56=1,IF('3'!B56='7'!$V56,"sol",'4'!B56),IF('7'!$V56=2,IF('3'!B56&lt;='7'!$V56,"dul",'4'!B56),IF('7'!$V56&gt;=3,IF('3'!B56&lt;='7'!$V56,"shr",'4'!B56),'4'!B56))))</f>
        <v/>
      </c>
      <c r="C56" s="19" t="str">
        <f>IF(ISBLANK('Raw counts'!C57),"",IF('7'!$V56=1,IF('3'!C56='7'!$V56,"sol",'4'!C56),IF('7'!$V56=2,IF('3'!C56&lt;='7'!$V56,"dul",'4'!C56),IF('7'!$V56&gt;=3,IF('3'!C56&lt;='7'!$V56,"shr",'4'!C56),'4'!C56))))</f>
        <v/>
      </c>
      <c r="D56" s="19" t="str">
        <f>IF(ISBLANK('Raw counts'!D57),"",IF('7'!$V56=1,IF('3'!D56='7'!$V56,"sol",'4'!D56),IF('7'!$V56=2,IF('3'!D56&lt;='7'!$V56,"dul",'4'!D56),IF('7'!$V56&gt;=3,IF('3'!D56&lt;='7'!$V56,"shr",'4'!D56),'4'!D56))))</f>
        <v/>
      </c>
      <c r="E56" s="19" t="str">
        <f>IF(ISBLANK('Raw counts'!E57),"",IF('7'!$V56=1,IF('3'!E56='7'!$V56,"sol",'4'!E56),IF('7'!$V56=2,IF('3'!E56&lt;='7'!$V56,"dul",'4'!E56),IF('7'!$V56&gt;=3,IF('3'!E56&lt;='7'!$V56,"shr",'4'!E56),'4'!E56))))</f>
        <v/>
      </c>
      <c r="F56" s="19" t="str">
        <f>IF(ISBLANK('Raw counts'!F57),"",IF('7'!$V56=1,IF('3'!F56='7'!$V56,"sol",'4'!F56),IF('7'!$V56=2,IF('3'!F56&lt;='7'!$V56,"dul",'4'!F56),IF('7'!$V56&gt;=3,IF('3'!F56&lt;='7'!$V56,"shr",'4'!F56),'4'!F56))))</f>
        <v/>
      </c>
      <c r="G56" s="19" t="str">
        <f>IF(ISBLANK('Raw counts'!G57),"",IF('7'!$V56=1,IF('3'!G56='7'!$V56,"sol",'4'!G56),IF('7'!$V56=2,IF('3'!G56&lt;='7'!$V56,"dul",'4'!G56),IF('7'!$V56&gt;=3,IF('3'!G56&lt;='7'!$V56,"shr",'4'!G56),'4'!G56))))</f>
        <v/>
      </c>
      <c r="H56" s="19" t="str">
        <f>IF(ISBLANK('Raw counts'!H57),"",IF('7'!$V56=1,IF('3'!H56='7'!$V56,"sol",'4'!H56),IF('7'!$V56=2,IF('3'!H56&lt;='7'!$V56,"dul",'4'!H56),IF('7'!$V56&gt;=3,IF('3'!H56&lt;='7'!$V56,"shr",'4'!H56),'4'!H56))))</f>
        <v/>
      </c>
      <c r="I56" s="19" t="str">
        <f>IF(ISBLANK('Raw counts'!I57),"",IF('7'!$V56=1,IF('3'!I56='7'!$V56,"sol",'4'!I56),IF('7'!$V56=2,IF('3'!I56&lt;='7'!$V56,"dul",'4'!I56),IF('7'!$V56&gt;=3,IF('3'!I56&lt;='7'!$V56,"shr",'4'!I56),'4'!I56))))</f>
        <v/>
      </c>
      <c r="J56" s="19" t="str">
        <f>IF(ISBLANK('Raw counts'!J57),"",IF('7'!$V56=1,IF('3'!J56='7'!$V56,"sol",'4'!J56),IF('7'!$V56=2,IF('3'!J56&lt;='7'!$V56,"dul",'4'!J56),IF('7'!$V56&gt;=3,IF('3'!J56&lt;='7'!$V56,"shr",'4'!J56),'4'!J56))))</f>
        <v/>
      </c>
      <c r="K56" s="19" t="str">
        <f>IF(ISBLANK('Raw counts'!K57),"",IF('7'!$V56=1,IF('3'!K56='7'!$V56,"sol",'4'!K56),IF('7'!$V56=2,IF('3'!K56&lt;='7'!$V56,"dul",'4'!K56),IF('7'!$V56&gt;=3,IF('3'!K56&lt;='7'!$V56,"shr",'4'!K56),'4'!K56))))</f>
        <v/>
      </c>
      <c r="L56" s="19" t="str">
        <f>IF(ISBLANK('Raw counts'!L57),"",IF('7'!$V56=1,IF('3'!L56='7'!$V56,"sol",'4'!L56),IF('7'!$V56=2,IF('3'!L56&lt;='7'!$V56,"dul",'4'!L56),IF('7'!$V56&gt;=3,IF('3'!L56&lt;='7'!$V56,"shr",'4'!L56),'4'!L56))))</f>
        <v/>
      </c>
      <c r="M56" s="19" t="str">
        <f>IF(ISBLANK('Raw counts'!M57),"",IF('7'!$V56=1,IF('3'!M56='7'!$V56,"sol",'4'!M56),IF('7'!$V56=2,IF('3'!M56&lt;='7'!$V56,"dul",'4'!M56),IF('7'!$V56&gt;=3,IF('3'!M56&lt;='7'!$V56,"shr",'4'!M56),'4'!M56))))</f>
        <v/>
      </c>
      <c r="N56" s="19" t="str">
        <f>IF(ISBLANK('Raw counts'!N57),"",IF('7'!$V56=1,IF('3'!N56='7'!$V56,"sol",'4'!N56),IF('7'!$V56=2,IF('3'!N56&lt;='7'!$V56,"dul",'4'!N56),IF('7'!$V56&gt;=3,IF('3'!N56&lt;='7'!$V56,"shr",'4'!N56),'4'!N56))))</f>
        <v/>
      </c>
      <c r="O56" s="19" t="str">
        <f>IF(ISBLANK('Raw counts'!O57),"",IF('7'!$V56=1,IF('3'!O56='7'!$V56,"sol",'4'!O56),IF('7'!$V56=2,IF('3'!O56&lt;='7'!$V56,"dul",'4'!O56),IF('7'!$V56&gt;=3,IF('3'!O56&lt;='7'!$V56,"shr",'4'!O56),'4'!O56))))</f>
        <v/>
      </c>
      <c r="P56" s="19" t="str">
        <f>IF(ISBLANK('Raw counts'!P57),"",IF('7'!$V56=1,IF('3'!P56='7'!$V56,"sol",'4'!P56),IF('7'!$V56=2,IF('3'!P56&lt;='7'!$V56,"dul",'4'!P56),IF('7'!$V56&gt;=3,IF('3'!P56&lt;='7'!$V56,"shr",'4'!P56),'4'!P56))))</f>
        <v/>
      </c>
      <c r="Q56" s="19" t="str">
        <f>IF(ISBLANK('Raw counts'!Q57),"",IF('7'!$V56=1,IF('3'!Q56='7'!$V56,"sol",'4'!Q56),IF('7'!$V56=2,IF('3'!Q56&lt;='7'!$V56,"dul",'4'!Q56),IF('7'!$V56&gt;=3,IF('3'!Q56&lt;='7'!$V56,"shr",'4'!Q56),'4'!Q56))))</f>
        <v/>
      </c>
      <c r="R56" s="19" t="str">
        <f>IF(ISBLANK('Raw counts'!R57),"",IF('7'!$V56=1,IF('3'!R56='7'!$V56,"sol",'4'!R56),IF('7'!$V56=2,IF('3'!R56&lt;='7'!$V56,"dul",'4'!R56),IF('7'!$V56&gt;=3,IF('3'!R56&lt;='7'!$V56,"shr",'4'!R56),'4'!R56))))</f>
        <v/>
      </c>
      <c r="S56" s="19" t="str">
        <f>IF(ISBLANK('Raw counts'!S57),"",IF('7'!$V56=1,IF('3'!S56='7'!$V56,"sol",'4'!S56),IF('7'!$V56=2,IF('3'!S56&lt;='7'!$V56,"dul",'4'!S56),IF('7'!$V56&gt;=3,IF('3'!S56&lt;='7'!$V56,"shr",'4'!S56),'4'!S56))))</f>
        <v/>
      </c>
      <c r="T56" s="19" t="str">
        <f>IF(ISBLANK('Raw counts'!T57),"",IF('7'!$V56=1,IF('3'!T56='7'!$V56,"sol",'4'!T56),IF('7'!$V56=2,IF('3'!T56&lt;='7'!$V56,"dul",'4'!T56),IF('7'!$V56&gt;=3,IF('3'!T56&lt;='7'!$V56,"shr",'4'!T56),'4'!T56))))</f>
        <v/>
      </c>
      <c r="U56" s="19" t="str">
        <f>IF(ISBLANK('Raw counts'!U57),"",IF('7'!$V56=1,IF('3'!U56='7'!$V56,"sol",'4'!U56),IF('7'!$V56=2,IF('3'!U56&lt;='7'!$V56,"dul",'4'!U56),IF('7'!$V56&gt;=3,IF('3'!U56&lt;='7'!$V56,"shr",'4'!U56),'4'!U56))))</f>
        <v/>
      </c>
      <c r="V56" s="3">
        <f>'7'!V56</f>
        <v>0</v>
      </c>
    </row>
    <row r="57" spans="1:22" x14ac:dyDescent="0.15">
      <c r="A57" s="18" t="str">
        <f>IF(ISBLANK('Raw counts'!A58),"",'Raw counts'!A58)</f>
        <v>Attr54</v>
      </c>
      <c r="B57" s="19" t="str">
        <f>IF(ISBLANK('Raw counts'!B58),"",IF('7'!$V57=1,IF('3'!B57='7'!$V57,"sol",'4'!B57),IF('7'!$V57=2,IF('3'!B57&lt;='7'!$V57,"dul",'4'!B57),IF('7'!$V57&gt;=3,IF('3'!B57&lt;='7'!$V57,"shr",'4'!B57),'4'!B57))))</f>
        <v/>
      </c>
      <c r="C57" s="19" t="str">
        <f>IF(ISBLANK('Raw counts'!C58),"",IF('7'!$V57=1,IF('3'!C57='7'!$V57,"sol",'4'!C57),IF('7'!$V57=2,IF('3'!C57&lt;='7'!$V57,"dul",'4'!C57),IF('7'!$V57&gt;=3,IF('3'!C57&lt;='7'!$V57,"shr",'4'!C57),'4'!C57))))</f>
        <v/>
      </c>
      <c r="D57" s="19" t="str">
        <f>IF(ISBLANK('Raw counts'!D58),"",IF('7'!$V57=1,IF('3'!D57='7'!$V57,"sol",'4'!D57),IF('7'!$V57=2,IF('3'!D57&lt;='7'!$V57,"dul",'4'!D57),IF('7'!$V57&gt;=3,IF('3'!D57&lt;='7'!$V57,"shr",'4'!D57),'4'!D57))))</f>
        <v/>
      </c>
      <c r="E57" s="19" t="str">
        <f>IF(ISBLANK('Raw counts'!E58),"",IF('7'!$V57=1,IF('3'!E57='7'!$V57,"sol",'4'!E57),IF('7'!$V57=2,IF('3'!E57&lt;='7'!$V57,"dul",'4'!E57),IF('7'!$V57&gt;=3,IF('3'!E57&lt;='7'!$V57,"shr",'4'!E57),'4'!E57))))</f>
        <v/>
      </c>
      <c r="F57" s="19" t="str">
        <f>IF(ISBLANK('Raw counts'!F58),"",IF('7'!$V57=1,IF('3'!F57='7'!$V57,"sol",'4'!F57),IF('7'!$V57=2,IF('3'!F57&lt;='7'!$V57,"dul",'4'!F57),IF('7'!$V57&gt;=3,IF('3'!F57&lt;='7'!$V57,"shr",'4'!F57),'4'!F57))))</f>
        <v/>
      </c>
      <c r="G57" s="19" t="str">
        <f>IF(ISBLANK('Raw counts'!G58),"",IF('7'!$V57=1,IF('3'!G57='7'!$V57,"sol",'4'!G57),IF('7'!$V57=2,IF('3'!G57&lt;='7'!$V57,"dul",'4'!G57),IF('7'!$V57&gt;=3,IF('3'!G57&lt;='7'!$V57,"shr",'4'!G57),'4'!G57))))</f>
        <v/>
      </c>
      <c r="H57" s="19" t="str">
        <f>IF(ISBLANK('Raw counts'!H58),"",IF('7'!$V57=1,IF('3'!H57='7'!$V57,"sol",'4'!H57),IF('7'!$V57=2,IF('3'!H57&lt;='7'!$V57,"dul",'4'!H57),IF('7'!$V57&gt;=3,IF('3'!H57&lt;='7'!$V57,"shr",'4'!H57),'4'!H57))))</f>
        <v/>
      </c>
      <c r="I57" s="19" t="str">
        <f>IF(ISBLANK('Raw counts'!I58),"",IF('7'!$V57=1,IF('3'!I57='7'!$V57,"sol",'4'!I57),IF('7'!$V57=2,IF('3'!I57&lt;='7'!$V57,"dul",'4'!I57),IF('7'!$V57&gt;=3,IF('3'!I57&lt;='7'!$V57,"shr",'4'!I57),'4'!I57))))</f>
        <v/>
      </c>
      <c r="J57" s="19" t="str">
        <f>IF(ISBLANK('Raw counts'!J58),"",IF('7'!$V57=1,IF('3'!J57='7'!$V57,"sol",'4'!J57),IF('7'!$V57=2,IF('3'!J57&lt;='7'!$V57,"dul",'4'!J57),IF('7'!$V57&gt;=3,IF('3'!J57&lt;='7'!$V57,"shr",'4'!J57),'4'!J57))))</f>
        <v/>
      </c>
      <c r="K57" s="19" t="str">
        <f>IF(ISBLANK('Raw counts'!K58),"",IF('7'!$V57=1,IF('3'!K57='7'!$V57,"sol",'4'!K57),IF('7'!$V57=2,IF('3'!K57&lt;='7'!$V57,"dul",'4'!K57),IF('7'!$V57&gt;=3,IF('3'!K57&lt;='7'!$V57,"shr",'4'!K57),'4'!K57))))</f>
        <v/>
      </c>
      <c r="L57" s="19" t="str">
        <f>IF(ISBLANK('Raw counts'!L58),"",IF('7'!$V57=1,IF('3'!L57='7'!$V57,"sol",'4'!L57),IF('7'!$V57=2,IF('3'!L57&lt;='7'!$V57,"dul",'4'!L57),IF('7'!$V57&gt;=3,IF('3'!L57&lt;='7'!$V57,"shr",'4'!L57),'4'!L57))))</f>
        <v/>
      </c>
      <c r="M57" s="19" t="str">
        <f>IF(ISBLANK('Raw counts'!M58),"",IF('7'!$V57=1,IF('3'!M57='7'!$V57,"sol",'4'!M57),IF('7'!$V57=2,IF('3'!M57&lt;='7'!$V57,"dul",'4'!M57),IF('7'!$V57&gt;=3,IF('3'!M57&lt;='7'!$V57,"shr",'4'!M57),'4'!M57))))</f>
        <v/>
      </c>
      <c r="N57" s="19" t="str">
        <f>IF(ISBLANK('Raw counts'!N58),"",IF('7'!$V57=1,IF('3'!N57='7'!$V57,"sol",'4'!N57),IF('7'!$V57=2,IF('3'!N57&lt;='7'!$V57,"dul",'4'!N57),IF('7'!$V57&gt;=3,IF('3'!N57&lt;='7'!$V57,"shr",'4'!N57),'4'!N57))))</f>
        <v/>
      </c>
      <c r="O57" s="19" t="str">
        <f>IF(ISBLANK('Raw counts'!O58),"",IF('7'!$V57=1,IF('3'!O57='7'!$V57,"sol",'4'!O57),IF('7'!$V57=2,IF('3'!O57&lt;='7'!$V57,"dul",'4'!O57),IF('7'!$V57&gt;=3,IF('3'!O57&lt;='7'!$V57,"shr",'4'!O57),'4'!O57))))</f>
        <v/>
      </c>
      <c r="P57" s="19" t="str">
        <f>IF(ISBLANK('Raw counts'!P58),"",IF('7'!$V57=1,IF('3'!P57='7'!$V57,"sol",'4'!P57),IF('7'!$V57=2,IF('3'!P57&lt;='7'!$V57,"dul",'4'!P57),IF('7'!$V57&gt;=3,IF('3'!P57&lt;='7'!$V57,"shr",'4'!P57),'4'!P57))))</f>
        <v/>
      </c>
      <c r="Q57" s="19" t="str">
        <f>IF(ISBLANK('Raw counts'!Q58),"",IF('7'!$V57=1,IF('3'!Q57='7'!$V57,"sol",'4'!Q57),IF('7'!$V57=2,IF('3'!Q57&lt;='7'!$V57,"dul",'4'!Q57),IF('7'!$V57&gt;=3,IF('3'!Q57&lt;='7'!$V57,"shr",'4'!Q57),'4'!Q57))))</f>
        <v/>
      </c>
      <c r="R57" s="19" t="str">
        <f>IF(ISBLANK('Raw counts'!R58),"",IF('7'!$V57=1,IF('3'!R57='7'!$V57,"sol",'4'!R57),IF('7'!$V57=2,IF('3'!R57&lt;='7'!$V57,"dul",'4'!R57),IF('7'!$V57&gt;=3,IF('3'!R57&lt;='7'!$V57,"shr",'4'!R57),'4'!R57))))</f>
        <v/>
      </c>
      <c r="S57" s="19" t="str">
        <f>IF(ISBLANK('Raw counts'!S58),"",IF('7'!$V57=1,IF('3'!S57='7'!$V57,"sol",'4'!S57),IF('7'!$V57=2,IF('3'!S57&lt;='7'!$V57,"dul",'4'!S57),IF('7'!$V57&gt;=3,IF('3'!S57&lt;='7'!$V57,"shr",'4'!S57),'4'!S57))))</f>
        <v/>
      </c>
      <c r="T57" s="19" t="str">
        <f>IF(ISBLANK('Raw counts'!T58),"",IF('7'!$V57=1,IF('3'!T57='7'!$V57,"sol",'4'!T57),IF('7'!$V57=2,IF('3'!T57&lt;='7'!$V57,"dul",'4'!T57),IF('7'!$V57&gt;=3,IF('3'!T57&lt;='7'!$V57,"shr",'4'!T57),'4'!T57))))</f>
        <v/>
      </c>
      <c r="U57" s="19" t="str">
        <f>IF(ISBLANK('Raw counts'!U58),"",IF('7'!$V57=1,IF('3'!U57='7'!$V57,"sol",'4'!U57),IF('7'!$V57=2,IF('3'!U57&lt;='7'!$V57,"dul",'4'!U57),IF('7'!$V57&gt;=3,IF('3'!U57&lt;='7'!$V57,"shr",'4'!U57),'4'!U57))))</f>
        <v/>
      </c>
      <c r="V57" s="3">
        <f>'7'!V57</f>
        <v>0</v>
      </c>
    </row>
    <row r="58" spans="1:22" x14ac:dyDescent="0.15">
      <c r="A58" s="18" t="str">
        <f>IF(ISBLANK('Raw counts'!A59),"",'Raw counts'!A59)</f>
        <v>Attr55</v>
      </c>
      <c r="B58" s="19" t="str">
        <f>IF(ISBLANK('Raw counts'!B59),"",IF('7'!$V58=1,IF('3'!B58='7'!$V58,"sol",'4'!B58),IF('7'!$V58=2,IF('3'!B58&lt;='7'!$V58,"dul",'4'!B58),IF('7'!$V58&gt;=3,IF('3'!B58&lt;='7'!$V58,"shr",'4'!B58),'4'!B58))))</f>
        <v/>
      </c>
      <c r="C58" s="19" t="str">
        <f>IF(ISBLANK('Raw counts'!C59),"",IF('7'!$V58=1,IF('3'!C58='7'!$V58,"sol",'4'!C58),IF('7'!$V58=2,IF('3'!C58&lt;='7'!$V58,"dul",'4'!C58),IF('7'!$V58&gt;=3,IF('3'!C58&lt;='7'!$V58,"shr",'4'!C58),'4'!C58))))</f>
        <v/>
      </c>
      <c r="D58" s="19" t="str">
        <f>IF(ISBLANK('Raw counts'!D59),"",IF('7'!$V58=1,IF('3'!D58='7'!$V58,"sol",'4'!D58),IF('7'!$V58=2,IF('3'!D58&lt;='7'!$V58,"dul",'4'!D58),IF('7'!$V58&gt;=3,IF('3'!D58&lt;='7'!$V58,"shr",'4'!D58),'4'!D58))))</f>
        <v/>
      </c>
      <c r="E58" s="19" t="str">
        <f>IF(ISBLANK('Raw counts'!E59),"",IF('7'!$V58=1,IF('3'!E58='7'!$V58,"sol",'4'!E58),IF('7'!$V58=2,IF('3'!E58&lt;='7'!$V58,"dul",'4'!E58),IF('7'!$V58&gt;=3,IF('3'!E58&lt;='7'!$V58,"shr",'4'!E58),'4'!E58))))</f>
        <v/>
      </c>
      <c r="F58" s="19" t="str">
        <f>IF(ISBLANK('Raw counts'!F59),"",IF('7'!$V58=1,IF('3'!F58='7'!$V58,"sol",'4'!F58),IF('7'!$V58=2,IF('3'!F58&lt;='7'!$V58,"dul",'4'!F58),IF('7'!$V58&gt;=3,IF('3'!F58&lt;='7'!$V58,"shr",'4'!F58),'4'!F58))))</f>
        <v/>
      </c>
      <c r="G58" s="19" t="str">
        <f>IF(ISBLANK('Raw counts'!G59),"",IF('7'!$V58=1,IF('3'!G58='7'!$V58,"sol",'4'!G58),IF('7'!$V58=2,IF('3'!G58&lt;='7'!$V58,"dul",'4'!G58),IF('7'!$V58&gt;=3,IF('3'!G58&lt;='7'!$V58,"shr",'4'!G58),'4'!G58))))</f>
        <v/>
      </c>
      <c r="H58" s="19" t="str">
        <f>IF(ISBLANK('Raw counts'!H59),"",IF('7'!$V58=1,IF('3'!H58='7'!$V58,"sol",'4'!H58),IF('7'!$V58=2,IF('3'!H58&lt;='7'!$V58,"dul",'4'!H58),IF('7'!$V58&gt;=3,IF('3'!H58&lt;='7'!$V58,"shr",'4'!H58),'4'!H58))))</f>
        <v/>
      </c>
      <c r="I58" s="19" t="str">
        <f>IF(ISBLANK('Raw counts'!I59),"",IF('7'!$V58=1,IF('3'!I58='7'!$V58,"sol",'4'!I58),IF('7'!$V58=2,IF('3'!I58&lt;='7'!$V58,"dul",'4'!I58),IF('7'!$V58&gt;=3,IF('3'!I58&lt;='7'!$V58,"shr",'4'!I58),'4'!I58))))</f>
        <v/>
      </c>
      <c r="J58" s="19" t="str">
        <f>IF(ISBLANK('Raw counts'!J59),"",IF('7'!$V58=1,IF('3'!J58='7'!$V58,"sol",'4'!J58),IF('7'!$V58=2,IF('3'!J58&lt;='7'!$V58,"dul",'4'!J58),IF('7'!$V58&gt;=3,IF('3'!J58&lt;='7'!$V58,"shr",'4'!J58),'4'!J58))))</f>
        <v/>
      </c>
      <c r="K58" s="19" t="str">
        <f>IF(ISBLANK('Raw counts'!K59),"",IF('7'!$V58=1,IF('3'!K58='7'!$V58,"sol",'4'!K58),IF('7'!$V58=2,IF('3'!K58&lt;='7'!$V58,"dul",'4'!K58),IF('7'!$V58&gt;=3,IF('3'!K58&lt;='7'!$V58,"shr",'4'!K58),'4'!K58))))</f>
        <v/>
      </c>
      <c r="L58" s="19" t="str">
        <f>IF(ISBLANK('Raw counts'!L59),"",IF('7'!$V58=1,IF('3'!L58='7'!$V58,"sol",'4'!L58),IF('7'!$V58=2,IF('3'!L58&lt;='7'!$V58,"dul",'4'!L58),IF('7'!$V58&gt;=3,IF('3'!L58&lt;='7'!$V58,"shr",'4'!L58),'4'!L58))))</f>
        <v/>
      </c>
      <c r="M58" s="19" t="str">
        <f>IF(ISBLANK('Raw counts'!M59),"",IF('7'!$V58=1,IF('3'!M58='7'!$V58,"sol",'4'!M58),IF('7'!$V58=2,IF('3'!M58&lt;='7'!$V58,"dul",'4'!M58),IF('7'!$V58&gt;=3,IF('3'!M58&lt;='7'!$V58,"shr",'4'!M58),'4'!M58))))</f>
        <v/>
      </c>
      <c r="N58" s="19" t="str">
        <f>IF(ISBLANK('Raw counts'!N59),"",IF('7'!$V58=1,IF('3'!N58='7'!$V58,"sol",'4'!N58),IF('7'!$V58=2,IF('3'!N58&lt;='7'!$V58,"dul",'4'!N58),IF('7'!$V58&gt;=3,IF('3'!N58&lt;='7'!$V58,"shr",'4'!N58),'4'!N58))))</f>
        <v/>
      </c>
      <c r="O58" s="19" t="str">
        <f>IF(ISBLANK('Raw counts'!O59),"",IF('7'!$V58=1,IF('3'!O58='7'!$V58,"sol",'4'!O58),IF('7'!$V58=2,IF('3'!O58&lt;='7'!$V58,"dul",'4'!O58),IF('7'!$V58&gt;=3,IF('3'!O58&lt;='7'!$V58,"shr",'4'!O58),'4'!O58))))</f>
        <v/>
      </c>
      <c r="P58" s="19" t="str">
        <f>IF(ISBLANK('Raw counts'!P59),"",IF('7'!$V58=1,IF('3'!P58='7'!$V58,"sol",'4'!P58),IF('7'!$V58=2,IF('3'!P58&lt;='7'!$V58,"dul",'4'!P58),IF('7'!$V58&gt;=3,IF('3'!P58&lt;='7'!$V58,"shr",'4'!P58),'4'!P58))))</f>
        <v/>
      </c>
      <c r="Q58" s="19" t="str">
        <f>IF(ISBLANK('Raw counts'!Q59),"",IF('7'!$V58=1,IF('3'!Q58='7'!$V58,"sol",'4'!Q58),IF('7'!$V58=2,IF('3'!Q58&lt;='7'!$V58,"dul",'4'!Q58),IF('7'!$V58&gt;=3,IF('3'!Q58&lt;='7'!$V58,"shr",'4'!Q58),'4'!Q58))))</f>
        <v/>
      </c>
      <c r="R58" s="19" t="str">
        <f>IF(ISBLANK('Raw counts'!R59),"",IF('7'!$V58=1,IF('3'!R58='7'!$V58,"sol",'4'!R58),IF('7'!$V58=2,IF('3'!R58&lt;='7'!$V58,"dul",'4'!R58),IF('7'!$V58&gt;=3,IF('3'!R58&lt;='7'!$V58,"shr",'4'!R58),'4'!R58))))</f>
        <v/>
      </c>
      <c r="S58" s="19" t="str">
        <f>IF(ISBLANK('Raw counts'!S59),"",IF('7'!$V58=1,IF('3'!S58='7'!$V58,"sol",'4'!S58),IF('7'!$V58=2,IF('3'!S58&lt;='7'!$V58,"dul",'4'!S58),IF('7'!$V58&gt;=3,IF('3'!S58&lt;='7'!$V58,"shr",'4'!S58),'4'!S58))))</f>
        <v/>
      </c>
      <c r="T58" s="19" t="str">
        <f>IF(ISBLANK('Raw counts'!T59),"",IF('7'!$V58=1,IF('3'!T58='7'!$V58,"sol",'4'!T58),IF('7'!$V58=2,IF('3'!T58&lt;='7'!$V58,"dul",'4'!T58),IF('7'!$V58&gt;=3,IF('3'!T58&lt;='7'!$V58,"shr",'4'!T58),'4'!T58))))</f>
        <v/>
      </c>
      <c r="U58" s="19" t="str">
        <f>IF(ISBLANK('Raw counts'!U59),"",IF('7'!$V58=1,IF('3'!U58='7'!$V58,"sol",'4'!U58),IF('7'!$V58=2,IF('3'!U58&lt;='7'!$V58,"dul",'4'!U58),IF('7'!$V58&gt;=3,IF('3'!U58&lt;='7'!$V58,"shr",'4'!U58),'4'!U58))))</f>
        <v/>
      </c>
      <c r="V58" s="3">
        <f>'7'!V58</f>
        <v>0</v>
      </c>
    </row>
    <row r="59" spans="1:22" x14ac:dyDescent="0.15">
      <c r="A59" s="18" t="str">
        <f>IF(ISBLANK('Raw counts'!A60),"",'Raw counts'!A60)</f>
        <v>Attr56</v>
      </c>
      <c r="B59" s="19" t="str">
        <f>IF(ISBLANK('Raw counts'!B60),"",IF('7'!$V59=1,IF('3'!B59='7'!$V59,"sol",'4'!B59),IF('7'!$V59=2,IF('3'!B59&lt;='7'!$V59,"dul",'4'!B59),IF('7'!$V59&gt;=3,IF('3'!B59&lt;='7'!$V59,"shr",'4'!B59),'4'!B59))))</f>
        <v/>
      </c>
      <c r="C59" s="19" t="str">
        <f>IF(ISBLANK('Raw counts'!C60),"",IF('7'!$V59=1,IF('3'!C59='7'!$V59,"sol",'4'!C59),IF('7'!$V59=2,IF('3'!C59&lt;='7'!$V59,"dul",'4'!C59),IF('7'!$V59&gt;=3,IF('3'!C59&lt;='7'!$V59,"shr",'4'!C59),'4'!C59))))</f>
        <v/>
      </c>
      <c r="D59" s="19" t="str">
        <f>IF(ISBLANK('Raw counts'!D60),"",IF('7'!$V59=1,IF('3'!D59='7'!$V59,"sol",'4'!D59),IF('7'!$V59=2,IF('3'!D59&lt;='7'!$V59,"dul",'4'!D59),IF('7'!$V59&gt;=3,IF('3'!D59&lt;='7'!$V59,"shr",'4'!D59),'4'!D59))))</f>
        <v/>
      </c>
      <c r="E59" s="19" t="str">
        <f>IF(ISBLANK('Raw counts'!E60),"",IF('7'!$V59=1,IF('3'!E59='7'!$V59,"sol",'4'!E59),IF('7'!$V59=2,IF('3'!E59&lt;='7'!$V59,"dul",'4'!E59),IF('7'!$V59&gt;=3,IF('3'!E59&lt;='7'!$V59,"shr",'4'!E59),'4'!E59))))</f>
        <v/>
      </c>
      <c r="F59" s="19" t="str">
        <f>IF(ISBLANK('Raw counts'!F60),"",IF('7'!$V59=1,IF('3'!F59='7'!$V59,"sol",'4'!F59),IF('7'!$V59=2,IF('3'!F59&lt;='7'!$V59,"dul",'4'!F59),IF('7'!$V59&gt;=3,IF('3'!F59&lt;='7'!$V59,"shr",'4'!F59),'4'!F59))))</f>
        <v/>
      </c>
      <c r="G59" s="19" t="str">
        <f>IF(ISBLANK('Raw counts'!G60),"",IF('7'!$V59=1,IF('3'!G59='7'!$V59,"sol",'4'!G59),IF('7'!$V59=2,IF('3'!G59&lt;='7'!$V59,"dul",'4'!G59),IF('7'!$V59&gt;=3,IF('3'!G59&lt;='7'!$V59,"shr",'4'!G59),'4'!G59))))</f>
        <v/>
      </c>
      <c r="H59" s="19" t="str">
        <f>IF(ISBLANK('Raw counts'!H60),"",IF('7'!$V59=1,IF('3'!H59='7'!$V59,"sol",'4'!H59),IF('7'!$V59=2,IF('3'!H59&lt;='7'!$V59,"dul",'4'!H59),IF('7'!$V59&gt;=3,IF('3'!H59&lt;='7'!$V59,"shr",'4'!H59),'4'!H59))))</f>
        <v/>
      </c>
      <c r="I59" s="19" t="str">
        <f>IF(ISBLANK('Raw counts'!I60),"",IF('7'!$V59=1,IF('3'!I59='7'!$V59,"sol",'4'!I59),IF('7'!$V59=2,IF('3'!I59&lt;='7'!$V59,"dul",'4'!I59),IF('7'!$V59&gt;=3,IF('3'!I59&lt;='7'!$V59,"shr",'4'!I59),'4'!I59))))</f>
        <v/>
      </c>
      <c r="J59" s="19" t="str">
        <f>IF(ISBLANK('Raw counts'!J60),"",IF('7'!$V59=1,IF('3'!J59='7'!$V59,"sol",'4'!J59),IF('7'!$V59=2,IF('3'!J59&lt;='7'!$V59,"dul",'4'!J59),IF('7'!$V59&gt;=3,IF('3'!J59&lt;='7'!$V59,"shr",'4'!J59),'4'!J59))))</f>
        <v/>
      </c>
      <c r="K59" s="19" t="str">
        <f>IF(ISBLANK('Raw counts'!K60),"",IF('7'!$V59=1,IF('3'!K59='7'!$V59,"sol",'4'!K59),IF('7'!$V59=2,IF('3'!K59&lt;='7'!$V59,"dul",'4'!K59),IF('7'!$V59&gt;=3,IF('3'!K59&lt;='7'!$V59,"shr",'4'!K59),'4'!K59))))</f>
        <v/>
      </c>
      <c r="L59" s="19" t="str">
        <f>IF(ISBLANK('Raw counts'!L60),"",IF('7'!$V59=1,IF('3'!L59='7'!$V59,"sol",'4'!L59),IF('7'!$V59=2,IF('3'!L59&lt;='7'!$V59,"dul",'4'!L59),IF('7'!$V59&gt;=3,IF('3'!L59&lt;='7'!$V59,"shr",'4'!L59),'4'!L59))))</f>
        <v/>
      </c>
      <c r="M59" s="19" t="str">
        <f>IF(ISBLANK('Raw counts'!M60),"",IF('7'!$V59=1,IF('3'!M59='7'!$V59,"sol",'4'!M59),IF('7'!$V59=2,IF('3'!M59&lt;='7'!$V59,"dul",'4'!M59),IF('7'!$V59&gt;=3,IF('3'!M59&lt;='7'!$V59,"shr",'4'!M59),'4'!M59))))</f>
        <v/>
      </c>
      <c r="N59" s="19" t="str">
        <f>IF(ISBLANK('Raw counts'!N60),"",IF('7'!$V59=1,IF('3'!N59='7'!$V59,"sol",'4'!N59),IF('7'!$V59=2,IF('3'!N59&lt;='7'!$V59,"dul",'4'!N59),IF('7'!$V59&gt;=3,IF('3'!N59&lt;='7'!$V59,"shr",'4'!N59),'4'!N59))))</f>
        <v/>
      </c>
      <c r="O59" s="19" t="str">
        <f>IF(ISBLANK('Raw counts'!O60),"",IF('7'!$V59=1,IF('3'!O59='7'!$V59,"sol",'4'!O59),IF('7'!$V59=2,IF('3'!O59&lt;='7'!$V59,"dul",'4'!O59),IF('7'!$V59&gt;=3,IF('3'!O59&lt;='7'!$V59,"shr",'4'!O59),'4'!O59))))</f>
        <v/>
      </c>
      <c r="P59" s="19" t="str">
        <f>IF(ISBLANK('Raw counts'!P60),"",IF('7'!$V59=1,IF('3'!P59='7'!$V59,"sol",'4'!P59),IF('7'!$V59=2,IF('3'!P59&lt;='7'!$V59,"dul",'4'!P59),IF('7'!$V59&gt;=3,IF('3'!P59&lt;='7'!$V59,"shr",'4'!P59),'4'!P59))))</f>
        <v/>
      </c>
      <c r="Q59" s="19" t="str">
        <f>IF(ISBLANK('Raw counts'!Q60),"",IF('7'!$V59=1,IF('3'!Q59='7'!$V59,"sol",'4'!Q59),IF('7'!$V59=2,IF('3'!Q59&lt;='7'!$V59,"dul",'4'!Q59),IF('7'!$V59&gt;=3,IF('3'!Q59&lt;='7'!$V59,"shr",'4'!Q59),'4'!Q59))))</f>
        <v/>
      </c>
      <c r="R59" s="19" t="str">
        <f>IF(ISBLANK('Raw counts'!R60),"",IF('7'!$V59=1,IF('3'!R59='7'!$V59,"sol",'4'!R59),IF('7'!$V59=2,IF('3'!R59&lt;='7'!$V59,"dul",'4'!R59),IF('7'!$V59&gt;=3,IF('3'!R59&lt;='7'!$V59,"shr",'4'!R59),'4'!R59))))</f>
        <v/>
      </c>
      <c r="S59" s="19" t="str">
        <f>IF(ISBLANK('Raw counts'!S60),"",IF('7'!$V59=1,IF('3'!S59='7'!$V59,"sol",'4'!S59),IF('7'!$V59=2,IF('3'!S59&lt;='7'!$V59,"dul",'4'!S59),IF('7'!$V59&gt;=3,IF('3'!S59&lt;='7'!$V59,"shr",'4'!S59),'4'!S59))))</f>
        <v/>
      </c>
      <c r="T59" s="19" t="str">
        <f>IF(ISBLANK('Raw counts'!T60),"",IF('7'!$V59=1,IF('3'!T59='7'!$V59,"sol",'4'!T59),IF('7'!$V59=2,IF('3'!T59&lt;='7'!$V59,"dul",'4'!T59),IF('7'!$V59&gt;=3,IF('3'!T59&lt;='7'!$V59,"shr",'4'!T59),'4'!T59))))</f>
        <v/>
      </c>
      <c r="U59" s="19" t="str">
        <f>IF(ISBLANK('Raw counts'!U60),"",IF('7'!$V59=1,IF('3'!U59='7'!$V59,"sol",'4'!U59),IF('7'!$V59=2,IF('3'!U59&lt;='7'!$V59,"dul",'4'!U59),IF('7'!$V59&gt;=3,IF('3'!U59&lt;='7'!$V59,"shr",'4'!U59),'4'!U59))))</f>
        <v/>
      </c>
      <c r="V59" s="3">
        <f>'7'!V59</f>
        <v>0</v>
      </c>
    </row>
    <row r="60" spans="1:22" x14ac:dyDescent="0.15">
      <c r="A60" s="18" t="str">
        <f>IF(ISBLANK('Raw counts'!A61),"",'Raw counts'!A61)</f>
        <v>Attr57</v>
      </c>
      <c r="B60" s="19" t="str">
        <f>IF(ISBLANK('Raw counts'!B61),"",IF('7'!$V60=1,IF('3'!B60='7'!$V60,"sol",'4'!B60),IF('7'!$V60=2,IF('3'!B60&lt;='7'!$V60,"dul",'4'!B60),IF('7'!$V60&gt;=3,IF('3'!B60&lt;='7'!$V60,"shr",'4'!B60),'4'!B60))))</f>
        <v/>
      </c>
      <c r="C60" s="19" t="str">
        <f>IF(ISBLANK('Raw counts'!C61),"",IF('7'!$V60=1,IF('3'!C60='7'!$V60,"sol",'4'!C60),IF('7'!$V60=2,IF('3'!C60&lt;='7'!$V60,"dul",'4'!C60),IF('7'!$V60&gt;=3,IF('3'!C60&lt;='7'!$V60,"shr",'4'!C60),'4'!C60))))</f>
        <v/>
      </c>
      <c r="D60" s="19" t="str">
        <f>IF(ISBLANK('Raw counts'!D61),"",IF('7'!$V60=1,IF('3'!D60='7'!$V60,"sol",'4'!D60),IF('7'!$V60=2,IF('3'!D60&lt;='7'!$V60,"dul",'4'!D60),IF('7'!$V60&gt;=3,IF('3'!D60&lt;='7'!$V60,"shr",'4'!D60),'4'!D60))))</f>
        <v/>
      </c>
      <c r="E60" s="19" t="str">
        <f>IF(ISBLANK('Raw counts'!E61),"",IF('7'!$V60=1,IF('3'!E60='7'!$V60,"sol",'4'!E60),IF('7'!$V60=2,IF('3'!E60&lt;='7'!$V60,"dul",'4'!E60),IF('7'!$V60&gt;=3,IF('3'!E60&lt;='7'!$V60,"shr",'4'!E60),'4'!E60))))</f>
        <v/>
      </c>
      <c r="F60" s="19" t="str">
        <f>IF(ISBLANK('Raw counts'!F61),"",IF('7'!$V60=1,IF('3'!F60='7'!$V60,"sol",'4'!F60),IF('7'!$V60=2,IF('3'!F60&lt;='7'!$V60,"dul",'4'!F60),IF('7'!$V60&gt;=3,IF('3'!F60&lt;='7'!$V60,"shr",'4'!F60),'4'!F60))))</f>
        <v/>
      </c>
      <c r="G60" s="19" t="str">
        <f>IF(ISBLANK('Raw counts'!G61),"",IF('7'!$V60=1,IF('3'!G60='7'!$V60,"sol",'4'!G60),IF('7'!$V60=2,IF('3'!G60&lt;='7'!$V60,"dul",'4'!G60),IF('7'!$V60&gt;=3,IF('3'!G60&lt;='7'!$V60,"shr",'4'!G60),'4'!G60))))</f>
        <v/>
      </c>
      <c r="H60" s="19" t="str">
        <f>IF(ISBLANK('Raw counts'!H61),"",IF('7'!$V60=1,IF('3'!H60='7'!$V60,"sol",'4'!H60),IF('7'!$V60=2,IF('3'!H60&lt;='7'!$V60,"dul",'4'!H60),IF('7'!$V60&gt;=3,IF('3'!H60&lt;='7'!$V60,"shr",'4'!H60),'4'!H60))))</f>
        <v/>
      </c>
      <c r="I60" s="19" t="str">
        <f>IF(ISBLANK('Raw counts'!I61),"",IF('7'!$V60=1,IF('3'!I60='7'!$V60,"sol",'4'!I60),IF('7'!$V60=2,IF('3'!I60&lt;='7'!$V60,"dul",'4'!I60),IF('7'!$V60&gt;=3,IF('3'!I60&lt;='7'!$V60,"shr",'4'!I60),'4'!I60))))</f>
        <v/>
      </c>
      <c r="J60" s="19" t="str">
        <f>IF(ISBLANK('Raw counts'!J61),"",IF('7'!$V60=1,IF('3'!J60='7'!$V60,"sol",'4'!J60),IF('7'!$V60=2,IF('3'!J60&lt;='7'!$V60,"dul",'4'!J60),IF('7'!$V60&gt;=3,IF('3'!J60&lt;='7'!$V60,"shr",'4'!J60),'4'!J60))))</f>
        <v/>
      </c>
      <c r="K60" s="19" t="str">
        <f>IF(ISBLANK('Raw counts'!K61),"",IF('7'!$V60=1,IF('3'!K60='7'!$V60,"sol",'4'!K60),IF('7'!$V60=2,IF('3'!K60&lt;='7'!$V60,"dul",'4'!K60),IF('7'!$V60&gt;=3,IF('3'!K60&lt;='7'!$V60,"shr",'4'!K60),'4'!K60))))</f>
        <v/>
      </c>
      <c r="L60" s="19" t="str">
        <f>IF(ISBLANK('Raw counts'!L61),"",IF('7'!$V60=1,IF('3'!L60='7'!$V60,"sol",'4'!L60),IF('7'!$V60=2,IF('3'!L60&lt;='7'!$V60,"dul",'4'!L60),IF('7'!$V60&gt;=3,IF('3'!L60&lt;='7'!$V60,"shr",'4'!L60),'4'!L60))))</f>
        <v/>
      </c>
      <c r="M60" s="19" t="str">
        <f>IF(ISBLANK('Raw counts'!M61),"",IF('7'!$V60=1,IF('3'!M60='7'!$V60,"sol",'4'!M60),IF('7'!$V60=2,IF('3'!M60&lt;='7'!$V60,"dul",'4'!M60),IF('7'!$V60&gt;=3,IF('3'!M60&lt;='7'!$V60,"shr",'4'!M60),'4'!M60))))</f>
        <v/>
      </c>
      <c r="N60" s="19" t="str">
        <f>IF(ISBLANK('Raw counts'!N61),"",IF('7'!$V60=1,IF('3'!N60='7'!$V60,"sol",'4'!N60),IF('7'!$V60=2,IF('3'!N60&lt;='7'!$V60,"dul",'4'!N60),IF('7'!$V60&gt;=3,IF('3'!N60&lt;='7'!$V60,"shr",'4'!N60),'4'!N60))))</f>
        <v/>
      </c>
      <c r="O60" s="19" t="str">
        <f>IF(ISBLANK('Raw counts'!O61),"",IF('7'!$V60=1,IF('3'!O60='7'!$V60,"sol",'4'!O60),IF('7'!$V60=2,IF('3'!O60&lt;='7'!$V60,"dul",'4'!O60),IF('7'!$V60&gt;=3,IF('3'!O60&lt;='7'!$V60,"shr",'4'!O60),'4'!O60))))</f>
        <v/>
      </c>
      <c r="P60" s="19" t="str">
        <f>IF(ISBLANK('Raw counts'!P61),"",IF('7'!$V60=1,IF('3'!P60='7'!$V60,"sol",'4'!P60),IF('7'!$V60=2,IF('3'!P60&lt;='7'!$V60,"dul",'4'!P60),IF('7'!$V60&gt;=3,IF('3'!P60&lt;='7'!$V60,"shr",'4'!P60),'4'!P60))))</f>
        <v/>
      </c>
      <c r="Q60" s="19" t="str">
        <f>IF(ISBLANK('Raw counts'!Q61),"",IF('7'!$V60=1,IF('3'!Q60='7'!$V60,"sol",'4'!Q60),IF('7'!$V60=2,IF('3'!Q60&lt;='7'!$V60,"dul",'4'!Q60),IF('7'!$V60&gt;=3,IF('3'!Q60&lt;='7'!$V60,"shr",'4'!Q60),'4'!Q60))))</f>
        <v/>
      </c>
      <c r="R60" s="19" t="str">
        <f>IF(ISBLANK('Raw counts'!R61),"",IF('7'!$V60=1,IF('3'!R60='7'!$V60,"sol",'4'!R60),IF('7'!$V60=2,IF('3'!R60&lt;='7'!$V60,"dul",'4'!R60),IF('7'!$V60&gt;=3,IF('3'!R60&lt;='7'!$V60,"shr",'4'!R60),'4'!R60))))</f>
        <v/>
      </c>
      <c r="S60" s="19" t="str">
        <f>IF(ISBLANK('Raw counts'!S61),"",IF('7'!$V60=1,IF('3'!S60='7'!$V60,"sol",'4'!S60),IF('7'!$V60=2,IF('3'!S60&lt;='7'!$V60,"dul",'4'!S60),IF('7'!$V60&gt;=3,IF('3'!S60&lt;='7'!$V60,"shr",'4'!S60),'4'!S60))))</f>
        <v/>
      </c>
      <c r="T60" s="19" t="str">
        <f>IF(ISBLANK('Raw counts'!T61),"",IF('7'!$V60=1,IF('3'!T60='7'!$V60,"sol",'4'!T60),IF('7'!$V60=2,IF('3'!T60&lt;='7'!$V60,"dul",'4'!T60),IF('7'!$V60&gt;=3,IF('3'!T60&lt;='7'!$V60,"shr",'4'!T60),'4'!T60))))</f>
        <v/>
      </c>
      <c r="U60" s="19" t="str">
        <f>IF(ISBLANK('Raw counts'!U61),"",IF('7'!$V60=1,IF('3'!U60='7'!$V60,"sol",'4'!U60),IF('7'!$V60=2,IF('3'!U60&lt;='7'!$V60,"dul",'4'!U60),IF('7'!$V60&gt;=3,IF('3'!U60&lt;='7'!$V60,"shr",'4'!U60),'4'!U60))))</f>
        <v/>
      </c>
      <c r="V60" s="3">
        <f>'7'!V60</f>
        <v>0</v>
      </c>
    </row>
    <row r="61" spans="1:22" x14ac:dyDescent="0.15">
      <c r="A61" s="18" t="str">
        <f>IF(ISBLANK('Raw counts'!A62),"",'Raw counts'!A62)</f>
        <v>Attr58</v>
      </c>
      <c r="B61" s="19" t="str">
        <f>IF(ISBLANK('Raw counts'!B62),"",IF('7'!$V61=1,IF('3'!B61='7'!$V61,"sol",'4'!B61),IF('7'!$V61=2,IF('3'!B61&lt;='7'!$V61,"dul",'4'!B61),IF('7'!$V61&gt;=3,IF('3'!B61&lt;='7'!$V61,"shr",'4'!B61),'4'!B61))))</f>
        <v/>
      </c>
      <c r="C61" s="19" t="str">
        <f>IF(ISBLANK('Raw counts'!C62),"",IF('7'!$V61=1,IF('3'!C61='7'!$V61,"sol",'4'!C61),IF('7'!$V61=2,IF('3'!C61&lt;='7'!$V61,"dul",'4'!C61),IF('7'!$V61&gt;=3,IF('3'!C61&lt;='7'!$V61,"shr",'4'!C61),'4'!C61))))</f>
        <v/>
      </c>
      <c r="D61" s="19" t="str">
        <f>IF(ISBLANK('Raw counts'!D62),"",IF('7'!$V61=1,IF('3'!D61='7'!$V61,"sol",'4'!D61),IF('7'!$V61=2,IF('3'!D61&lt;='7'!$V61,"dul",'4'!D61),IF('7'!$V61&gt;=3,IF('3'!D61&lt;='7'!$V61,"shr",'4'!D61),'4'!D61))))</f>
        <v/>
      </c>
      <c r="E61" s="19" t="str">
        <f>IF(ISBLANK('Raw counts'!E62),"",IF('7'!$V61=1,IF('3'!E61='7'!$V61,"sol",'4'!E61),IF('7'!$V61=2,IF('3'!E61&lt;='7'!$V61,"dul",'4'!E61),IF('7'!$V61&gt;=3,IF('3'!E61&lt;='7'!$V61,"shr",'4'!E61),'4'!E61))))</f>
        <v/>
      </c>
      <c r="F61" s="19" t="str">
        <f>IF(ISBLANK('Raw counts'!F62),"",IF('7'!$V61=1,IF('3'!F61='7'!$V61,"sol",'4'!F61),IF('7'!$V61=2,IF('3'!F61&lt;='7'!$V61,"dul",'4'!F61),IF('7'!$V61&gt;=3,IF('3'!F61&lt;='7'!$V61,"shr",'4'!F61),'4'!F61))))</f>
        <v/>
      </c>
      <c r="G61" s="19" t="str">
        <f>IF(ISBLANK('Raw counts'!G62),"",IF('7'!$V61=1,IF('3'!G61='7'!$V61,"sol",'4'!G61),IF('7'!$V61=2,IF('3'!G61&lt;='7'!$V61,"dul",'4'!G61),IF('7'!$V61&gt;=3,IF('3'!G61&lt;='7'!$V61,"shr",'4'!G61),'4'!G61))))</f>
        <v/>
      </c>
      <c r="H61" s="19" t="str">
        <f>IF(ISBLANK('Raw counts'!H62),"",IF('7'!$V61=1,IF('3'!H61='7'!$V61,"sol",'4'!H61),IF('7'!$V61=2,IF('3'!H61&lt;='7'!$V61,"dul",'4'!H61),IF('7'!$V61&gt;=3,IF('3'!H61&lt;='7'!$V61,"shr",'4'!H61),'4'!H61))))</f>
        <v/>
      </c>
      <c r="I61" s="19" t="str">
        <f>IF(ISBLANK('Raw counts'!I62),"",IF('7'!$V61=1,IF('3'!I61='7'!$V61,"sol",'4'!I61),IF('7'!$V61=2,IF('3'!I61&lt;='7'!$V61,"dul",'4'!I61),IF('7'!$V61&gt;=3,IF('3'!I61&lt;='7'!$V61,"shr",'4'!I61),'4'!I61))))</f>
        <v/>
      </c>
      <c r="J61" s="19" t="str">
        <f>IF(ISBLANK('Raw counts'!J62),"",IF('7'!$V61=1,IF('3'!J61='7'!$V61,"sol",'4'!J61),IF('7'!$V61=2,IF('3'!J61&lt;='7'!$V61,"dul",'4'!J61),IF('7'!$V61&gt;=3,IF('3'!J61&lt;='7'!$V61,"shr",'4'!J61),'4'!J61))))</f>
        <v/>
      </c>
      <c r="K61" s="19" t="str">
        <f>IF(ISBLANK('Raw counts'!K62),"",IF('7'!$V61=1,IF('3'!K61='7'!$V61,"sol",'4'!K61),IF('7'!$V61=2,IF('3'!K61&lt;='7'!$V61,"dul",'4'!K61),IF('7'!$V61&gt;=3,IF('3'!K61&lt;='7'!$V61,"shr",'4'!K61),'4'!K61))))</f>
        <v/>
      </c>
      <c r="L61" s="19" t="str">
        <f>IF(ISBLANK('Raw counts'!L62),"",IF('7'!$V61=1,IF('3'!L61='7'!$V61,"sol",'4'!L61),IF('7'!$V61=2,IF('3'!L61&lt;='7'!$V61,"dul",'4'!L61),IF('7'!$V61&gt;=3,IF('3'!L61&lt;='7'!$V61,"shr",'4'!L61),'4'!L61))))</f>
        <v/>
      </c>
      <c r="M61" s="19" t="str">
        <f>IF(ISBLANK('Raw counts'!M62),"",IF('7'!$V61=1,IF('3'!M61='7'!$V61,"sol",'4'!M61),IF('7'!$V61=2,IF('3'!M61&lt;='7'!$V61,"dul",'4'!M61),IF('7'!$V61&gt;=3,IF('3'!M61&lt;='7'!$V61,"shr",'4'!M61),'4'!M61))))</f>
        <v/>
      </c>
      <c r="N61" s="19" t="str">
        <f>IF(ISBLANK('Raw counts'!N62),"",IF('7'!$V61=1,IF('3'!N61='7'!$V61,"sol",'4'!N61),IF('7'!$V61=2,IF('3'!N61&lt;='7'!$V61,"dul",'4'!N61),IF('7'!$V61&gt;=3,IF('3'!N61&lt;='7'!$V61,"shr",'4'!N61),'4'!N61))))</f>
        <v/>
      </c>
      <c r="O61" s="19" t="str">
        <f>IF(ISBLANK('Raw counts'!O62),"",IF('7'!$V61=1,IF('3'!O61='7'!$V61,"sol",'4'!O61),IF('7'!$V61=2,IF('3'!O61&lt;='7'!$V61,"dul",'4'!O61),IF('7'!$V61&gt;=3,IF('3'!O61&lt;='7'!$V61,"shr",'4'!O61),'4'!O61))))</f>
        <v/>
      </c>
      <c r="P61" s="19" t="str">
        <f>IF(ISBLANK('Raw counts'!P62),"",IF('7'!$V61=1,IF('3'!P61='7'!$V61,"sol",'4'!P61),IF('7'!$V61=2,IF('3'!P61&lt;='7'!$V61,"dul",'4'!P61),IF('7'!$V61&gt;=3,IF('3'!P61&lt;='7'!$V61,"shr",'4'!P61),'4'!P61))))</f>
        <v/>
      </c>
      <c r="Q61" s="19" t="str">
        <f>IF(ISBLANK('Raw counts'!Q62),"",IF('7'!$V61=1,IF('3'!Q61='7'!$V61,"sol",'4'!Q61),IF('7'!$V61=2,IF('3'!Q61&lt;='7'!$V61,"dul",'4'!Q61),IF('7'!$V61&gt;=3,IF('3'!Q61&lt;='7'!$V61,"shr",'4'!Q61),'4'!Q61))))</f>
        <v/>
      </c>
      <c r="R61" s="19" t="str">
        <f>IF(ISBLANK('Raw counts'!R62),"",IF('7'!$V61=1,IF('3'!R61='7'!$V61,"sol",'4'!R61),IF('7'!$V61=2,IF('3'!R61&lt;='7'!$V61,"dul",'4'!R61),IF('7'!$V61&gt;=3,IF('3'!R61&lt;='7'!$V61,"shr",'4'!R61),'4'!R61))))</f>
        <v/>
      </c>
      <c r="S61" s="19" t="str">
        <f>IF(ISBLANK('Raw counts'!S62),"",IF('7'!$V61=1,IF('3'!S61='7'!$V61,"sol",'4'!S61),IF('7'!$V61=2,IF('3'!S61&lt;='7'!$V61,"dul",'4'!S61),IF('7'!$V61&gt;=3,IF('3'!S61&lt;='7'!$V61,"shr",'4'!S61),'4'!S61))))</f>
        <v/>
      </c>
      <c r="T61" s="19" t="str">
        <f>IF(ISBLANK('Raw counts'!T62),"",IF('7'!$V61=1,IF('3'!T61='7'!$V61,"sol",'4'!T61),IF('7'!$V61=2,IF('3'!T61&lt;='7'!$V61,"dul",'4'!T61),IF('7'!$V61&gt;=3,IF('3'!T61&lt;='7'!$V61,"shr",'4'!T61),'4'!T61))))</f>
        <v/>
      </c>
      <c r="U61" s="19" t="str">
        <f>IF(ISBLANK('Raw counts'!U62),"",IF('7'!$V61=1,IF('3'!U61='7'!$V61,"sol",'4'!U61),IF('7'!$V61=2,IF('3'!U61&lt;='7'!$V61,"dul",'4'!U61),IF('7'!$V61&gt;=3,IF('3'!U61&lt;='7'!$V61,"shr",'4'!U61),'4'!U61))))</f>
        <v/>
      </c>
      <c r="V61" s="3">
        <f>'7'!V61</f>
        <v>0</v>
      </c>
    </row>
    <row r="62" spans="1:22" x14ac:dyDescent="0.15">
      <c r="A62" s="18" t="str">
        <f>IF(ISBLANK('Raw counts'!A63),"",'Raw counts'!A63)</f>
        <v>Attr59</v>
      </c>
      <c r="B62" s="19" t="str">
        <f>IF(ISBLANK('Raw counts'!B63),"",IF('7'!$V62=1,IF('3'!B62='7'!$V62,"sol",'4'!B62),IF('7'!$V62=2,IF('3'!B62&lt;='7'!$V62,"dul",'4'!B62),IF('7'!$V62&gt;=3,IF('3'!B62&lt;='7'!$V62,"shr",'4'!B62),'4'!B62))))</f>
        <v/>
      </c>
      <c r="C62" s="19" t="str">
        <f>IF(ISBLANK('Raw counts'!C63),"",IF('7'!$V62=1,IF('3'!C62='7'!$V62,"sol",'4'!C62),IF('7'!$V62=2,IF('3'!C62&lt;='7'!$V62,"dul",'4'!C62),IF('7'!$V62&gt;=3,IF('3'!C62&lt;='7'!$V62,"shr",'4'!C62),'4'!C62))))</f>
        <v/>
      </c>
      <c r="D62" s="19" t="str">
        <f>IF(ISBLANK('Raw counts'!D63),"",IF('7'!$V62=1,IF('3'!D62='7'!$V62,"sol",'4'!D62),IF('7'!$V62=2,IF('3'!D62&lt;='7'!$V62,"dul",'4'!D62),IF('7'!$V62&gt;=3,IF('3'!D62&lt;='7'!$V62,"shr",'4'!D62),'4'!D62))))</f>
        <v/>
      </c>
      <c r="E62" s="19" t="str">
        <f>IF(ISBLANK('Raw counts'!E63),"",IF('7'!$V62=1,IF('3'!E62='7'!$V62,"sol",'4'!E62),IF('7'!$V62=2,IF('3'!E62&lt;='7'!$V62,"dul",'4'!E62),IF('7'!$V62&gt;=3,IF('3'!E62&lt;='7'!$V62,"shr",'4'!E62),'4'!E62))))</f>
        <v/>
      </c>
      <c r="F62" s="19" t="str">
        <f>IF(ISBLANK('Raw counts'!F63),"",IF('7'!$V62=1,IF('3'!F62='7'!$V62,"sol",'4'!F62),IF('7'!$V62=2,IF('3'!F62&lt;='7'!$V62,"dul",'4'!F62),IF('7'!$V62&gt;=3,IF('3'!F62&lt;='7'!$V62,"shr",'4'!F62),'4'!F62))))</f>
        <v/>
      </c>
      <c r="G62" s="19" t="str">
        <f>IF(ISBLANK('Raw counts'!G63),"",IF('7'!$V62=1,IF('3'!G62='7'!$V62,"sol",'4'!G62),IF('7'!$V62=2,IF('3'!G62&lt;='7'!$V62,"dul",'4'!G62),IF('7'!$V62&gt;=3,IF('3'!G62&lt;='7'!$V62,"shr",'4'!G62),'4'!G62))))</f>
        <v/>
      </c>
      <c r="H62" s="19" t="str">
        <f>IF(ISBLANK('Raw counts'!H63),"",IF('7'!$V62=1,IF('3'!H62='7'!$V62,"sol",'4'!H62),IF('7'!$V62=2,IF('3'!H62&lt;='7'!$V62,"dul",'4'!H62),IF('7'!$V62&gt;=3,IF('3'!H62&lt;='7'!$V62,"shr",'4'!H62),'4'!H62))))</f>
        <v/>
      </c>
      <c r="I62" s="19" t="str">
        <f>IF(ISBLANK('Raw counts'!I63),"",IF('7'!$V62=1,IF('3'!I62='7'!$V62,"sol",'4'!I62),IF('7'!$V62=2,IF('3'!I62&lt;='7'!$V62,"dul",'4'!I62),IF('7'!$V62&gt;=3,IF('3'!I62&lt;='7'!$V62,"shr",'4'!I62),'4'!I62))))</f>
        <v/>
      </c>
      <c r="J62" s="19" t="str">
        <f>IF(ISBLANK('Raw counts'!J63),"",IF('7'!$V62=1,IF('3'!J62='7'!$V62,"sol",'4'!J62),IF('7'!$V62=2,IF('3'!J62&lt;='7'!$V62,"dul",'4'!J62),IF('7'!$V62&gt;=3,IF('3'!J62&lt;='7'!$V62,"shr",'4'!J62),'4'!J62))))</f>
        <v/>
      </c>
      <c r="K62" s="19" t="str">
        <f>IF(ISBLANK('Raw counts'!K63),"",IF('7'!$V62=1,IF('3'!K62='7'!$V62,"sol",'4'!K62),IF('7'!$V62=2,IF('3'!K62&lt;='7'!$V62,"dul",'4'!K62),IF('7'!$V62&gt;=3,IF('3'!K62&lt;='7'!$V62,"shr",'4'!K62),'4'!K62))))</f>
        <v/>
      </c>
      <c r="L62" s="19" t="str">
        <f>IF(ISBLANK('Raw counts'!L63),"",IF('7'!$V62=1,IF('3'!L62='7'!$V62,"sol",'4'!L62),IF('7'!$V62=2,IF('3'!L62&lt;='7'!$V62,"dul",'4'!L62),IF('7'!$V62&gt;=3,IF('3'!L62&lt;='7'!$V62,"shr",'4'!L62),'4'!L62))))</f>
        <v/>
      </c>
      <c r="M62" s="19" t="str">
        <f>IF(ISBLANK('Raw counts'!M63),"",IF('7'!$V62=1,IF('3'!M62='7'!$V62,"sol",'4'!M62),IF('7'!$V62=2,IF('3'!M62&lt;='7'!$V62,"dul",'4'!M62),IF('7'!$V62&gt;=3,IF('3'!M62&lt;='7'!$V62,"shr",'4'!M62),'4'!M62))))</f>
        <v/>
      </c>
      <c r="N62" s="19" t="str">
        <f>IF(ISBLANK('Raw counts'!N63),"",IF('7'!$V62=1,IF('3'!N62='7'!$V62,"sol",'4'!N62),IF('7'!$V62=2,IF('3'!N62&lt;='7'!$V62,"dul",'4'!N62),IF('7'!$V62&gt;=3,IF('3'!N62&lt;='7'!$V62,"shr",'4'!N62),'4'!N62))))</f>
        <v/>
      </c>
      <c r="O62" s="19" t="str">
        <f>IF(ISBLANK('Raw counts'!O63),"",IF('7'!$V62=1,IF('3'!O62='7'!$V62,"sol",'4'!O62),IF('7'!$V62=2,IF('3'!O62&lt;='7'!$V62,"dul",'4'!O62),IF('7'!$V62&gt;=3,IF('3'!O62&lt;='7'!$V62,"shr",'4'!O62),'4'!O62))))</f>
        <v/>
      </c>
      <c r="P62" s="19" t="str">
        <f>IF(ISBLANK('Raw counts'!P63),"",IF('7'!$V62=1,IF('3'!P62='7'!$V62,"sol",'4'!P62),IF('7'!$V62=2,IF('3'!P62&lt;='7'!$V62,"dul",'4'!P62),IF('7'!$V62&gt;=3,IF('3'!P62&lt;='7'!$V62,"shr",'4'!P62),'4'!P62))))</f>
        <v/>
      </c>
      <c r="Q62" s="19" t="str">
        <f>IF(ISBLANK('Raw counts'!Q63),"",IF('7'!$V62=1,IF('3'!Q62='7'!$V62,"sol",'4'!Q62),IF('7'!$V62=2,IF('3'!Q62&lt;='7'!$V62,"dul",'4'!Q62),IF('7'!$V62&gt;=3,IF('3'!Q62&lt;='7'!$V62,"shr",'4'!Q62),'4'!Q62))))</f>
        <v/>
      </c>
      <c r="R62" s="19" t="str">
        <f>IF(ISBLANK('Raw counts'!R63),"",IF('7'!$V62=1,IF('3'!R62='7'!$V62,"sol",'4'!R62),IF('7'!$V62=2,IF('3'!R62&lt;='7'!$V62,"dul",'4'!R62),IF('7'!$V62&gt;=3,IF('3'!R62&lt;='7'!$V62,"shr",'4'!R62),'4'!R62))))</f>
        <v/>
      </c>
      <c r="S62" s="19" t="str">
        <f>IF(ISBLANK('Raw counts'!S63),"",IF('7'!$V62=1,IF('3'!S62='7'!$V62,"sol",'4'!S62),IF('7'!$V62=2,IF('3'!S62&lt;='7'!$V62,"dul",'4'!S62),IF('7'!$V62&gt;=3,IF('3'!S62&lt;='7'!$V62,"shr",'4'!S62),'4'!S62))))</f>
        <v/>
      </c>
      <c r="T62" s="19" t="str">
        <f>IF(ISBLANK('Raw counts'!T63),"",IF('7'!$V62=1,IF('3'!T62='7'!$V62,"sol",'4'!T62),IF('7'!$V62=2,IF('3'!T62&lt;='7'!$V62,"dul",'4'!T62),IF('7'!$V62&gt;=3,IF('3'!T62&lt;='7'!$V62,"shr",'4'!T62),'4'!T62))))</f>
        <v/>
      </c>
      <c r="U62" s="19" t="str">
        <f>IF(ISBLANK('Raw counts'!U63),"",IF('7'!$V62=1,IF('3'!U62='7'!$V62,"sol",'4'!U62),IF('7'!$V62=2,IF('3'!U62&lt;='7'!$V62,"dul",'4'!U62),IF('7'!$V62&gt;=3,IF('3'!U62&lt;='7'!$V62,"shr",'4'!U62),'4'!U62))))</f>
        <v/>
      </c>
      <c r="V62" s="3">
        <f>'7'!V62</f>
        <v>0</v>
      </c>
    </row>
    <row r="63" spans="1:22" x14ac:dyDescent="0.15">
      <c r="A63" s="18" t="str">
        <f>IF(ISBLANK('Raw counts'!A64),"",'Raw counts'!A64)</f>
        <v>Attr60</v>
      </c>
      <c r="B63" s="19" t="str">
        <f>IF(ISBLANK('Raw counts'!B64),"",IF('7'!$V63=1,IF('3'!B63='7'!$V63,"sol",'4'!B63),IF('7'!$V63=2,IF('3'!B63&lt;='7'!$V63,"dul",'4'!B63),IF('7'!$V63&gt;=3,IF('3'!B63&lt;='7'!$V63,"shr",'4'!B63),'4'!B63))))</f>
        <v/>
      </c>
      <c r="C63" s="19" t="str">
        <f>IF(ISBLANK('Raw counts'!C64),"",IF('7'!$V63=1,IF('3'!C63='7'!$V63,"sol",'4'!C63),IF('7'!$V63=2,IF('3'!C63&lt;='7'!$V63,"dul",'4'!C63),IF('7'!$V63&gt;=3,IF('3'!C63&lt;='7'!$V63,"shr",'4'!C63),'4'!C63))))</f>
        <v/>
      </c>
      <c r="D63" s="19" t="str">
        <f>IF(ISBLANK('Raw counts'!D64),"",IF('7'!$V63=1,IF('3'!D63='7'!$V63,"sol",'4'!D63),IF('7'!$V63=2,IF('3'!D63&lt;='7'!$V63,"dul",'4'!D63),IF('7'!$V63&gt;=3,IF('3'!D63&lt;='7'!$V63,"shr",'4'!D63),'4'!D63))))</f>
        <v/>
      </c>
      <c r="E63" s="19" t="str">
        <f>IF(ISBLANK('Raw counts'!E64),"",IF('7'!$V63=1,IF('3'!E63='7'!$V63,"sol",'4'!E63),IF('7'!$V63=2,IF('3'!E63&lt;='7'!$V63,"dul",'4'!E63),IF('7'!$V63&gt;=3,IF('3'!E63&lt;='7'!$V63,"shr",'4'!E63),'4'!E63))))</f>
        <v/>
      </c>
      <c r="F63" s="19" t="str">
        <f>IF(ISBLANK('Raw counts'!F64),"",IF('7'!$V63=1,IF('3'!F63='7'!$V63,"sol",'4'!F63),IF('7'!$V63=2,IF('3'!F63&lt;='7'!$V63,"dul",'4'!F63),IF('7'!$V63&gt;=3,IF('3'!F63&lt;='7'!$V63,"shr",'4'!F63),'4'!F63))))</f>
        <v/>
      </c>
      <c r="G63" s="19" t="str">
        <f>IF(ISBLANK('Raw counts'!G64),"",IF('7'!$V63=1,IF('3'!G63='7'!$V63,"sol",'4'!G63),IF('7'!$V63=2,IF('3'!G63&lt;='7'!$V63,"dul",'4'!G63),IF('7'!$V63&gt;=3,IF('3'!G63&lt;='7'!$V63,"shr",'4'!G63),'4'!G63))))</f>
        <v/>
      </c>
      <c r="H63" s="19" t="str">
        <f>IF(ISBLANK('Raw counts'!H64),"",IF('7'!$V63=1,IF('3'!H63='7'!$V63,"sol",'4'!H63),IF('7'!$V63=2,IF('3'!H63&lt;='7'!$V63,"dul",'4'!H63),IF('7'!$V63&gt;=3,IF('3'!H63&lt;='7'!$V63,"shr",'4'!H63),'4'!H63))))</f>
        <v/>
      </c>
      <c r="I63" s="19" t="str">
        <f>IF(ISBLANK('Raw counts'!I64),"",IF('7'!$V63=1,IF('3'!I63='7'!$V63,"sol",'4'!I63),IF('7'!$V63=2,IF('3'!I63&lt;='7'!$V63,"dul",'4'!I63),IF('7'!$V63&gt;=3,IF('3'!I63&lt;='7'!$V63,"shr",'4'!I63),'4'!I63))))</f>
        <v/>
      </c>
      <c r="J63" s="19" t="str">
        <f>IF(ISBLANK('Raw counts'!J64),"",IF('7'!$V63=1,IF('3'!J63='7'!$V63,"sol",'4'!J63),IF('7'!$V63=2,IF('3'!J63&lt;='7'!$V63,"dul",'4'!J63),IF('7'!$V63&gt;=3,IF('3'!J63&lt;='7'!$V63,"shr",'4'!J63),'4'!J63))))</f>
        <v/>
      </c>
      <c r="K63" s="19" t="str">
        <f>IF(ISBLANK('Raw counts'!K64),"",IF('7'!$V63=1,IF('3'!K63='7'!$V63,"sol",'4'!K63),IF('7'!$V63=2,IF('3'!K63&lt;='7'!$V63,"dul",'4'!K63),IF('7'!$V63&gt;=3,IF('3'!K63&lt;='7'!$V63,"shr",'4'!K63),'4'!K63))))</f>
        <v/>
      </c>
      <c r="L63" s="19" t="str">
        <f>IF(ISBLANK('Raw counts'!L64),"",IF('7'!$V63=1,IF('3'!L63='7'!$V63,"sol",'4'!L63),IF('7'!$V63=2,IF('3'!L63&lt;='7'!$V63,"dul",'4'!L63),IF('7'!$V63&gt;=3,IF('3'!L63&lt;='7'!$V63,"shr",'4'!L63),'4'!L63))))</f>
        <v/>
      </c>
      <c r="M63" s="19" t="str">
        <f>IF(ISBLANK('Raw counts'!M64),"",IF('7'!$V63=1,IF('3'!M63='7'!$V63,"sol",'4'!M63),IF('7'!$V63=2,IF('3'!M63&lt;='7'!$V63,"dul",'4'!M63),IF('7'!$V63&gt;=3,IF('3'!M63&lt;='7'!$V63,"shr",'4'!M63),'4'!M63))))</f>
        <v/>
      </c>
      <c r="N63" s="19" t="str">
        <f>IF(ISBLANK('Raw counts'!N64),"",IF('7'!$V63=1,IF('3'!N63='7'!$V63,"sol",'4'!N63),IF('7'!$V63=2,IF('3'!N63&lt;='7'!$V63,"dul",'4'!N63),IF('7'!$V63&gt;=3,IF('3'!N63&lt;='7'!$V63,"shr",'4'!N63),'4'!N63))))</f>
        <v/>
      </c>
      <c r="O63" s="19" t="str">
        <f>IF(ISBLANK('Raw counts'!O64),"",IF('7'!$V63=1,IF('3'!O63='7'!$V63,"sol",'4'!O63),IF('7'!$V63=2,IF('3'!O63&lt;='7'!$V63,"dul",'4'!O63),IF('7'!$V63&gt;=3,IF('3'!O63&lt;='7'!$V63,"shr",'4'!O63),'4'!O63))))</f>
        <v/>
      </c>
      <c r="P63" s="19" t="str">
        <f>IF(ISBLANK('Raw counts'!P64),"",IF('7'!$V63=1,IF('3'!P63='7'!$V63,"sol",'4'!P63),IF('7'!$V63=2,IF('3'!P63&lt;='7'!$V63,"dul",'4'!P63),IF('7'!$V63&gt;=3,IF('3'!P63&lt;='7'!$V63,"shr",'4'!P63),'4'!P63))))</f>
        <v/>
      </c>
      <c r="Q63" s="19" t="str">
        <f>IF(ISBLANK('Raw counts'!Q64),"",IF('7'!$V63=1,IF('3'!Q63='7'!$V63,"sol",'4'!Q63),IF('7'!$V63=2,IF('3'!Q63&lt;='7'!$V63,"dul",'4'!Q63),IF('7'!$V63&gt;=3,IF('3'!Q63&lt;='7'!$V63,"shr",'4'!Q63),'4'!Q63))))</f>
        <v/>
      </c>
      <c r="R63" s="19" t="str">
        <f>IF(ISBLANK('Raw counts'!R64),"",IF('7'!$V63=1,IF('3'!R63='7'!$V63,"sol",'4'!R63),IF('7'!$V63=2,IF('3'!R63&lt;='7'!$V63,"dul",'4'!R63),IF('7'!$V63&gt;=3,IF('3'!R63&lt;='7'!$V63,"shr",'4'!R63),'4'!R63))))</f>
        <v/>
      </c>
      <c r="S63" s="19" t="str">
        <f>IF(ISBLANK('Raw counts'!S64),"",IF('7'!$V63=1,IF('3'!S63='7'!$V63,"sol",'4'!S63),IF('7'!$V63=2,IF('3'!S63&lt;='7'!$V63,"dul",'4'!S63),IF('7'!$V63&gt;=3,IF('3'!S63&lt;='7'!$V63,"shr",'4'!S63),'4'!S63))))</f>
        <v/>
      </c>
      <c r="T63" s="19" t="str">
        <f>IF(ISBLANK('Raw counts'!T64),"",IF('7'!$V63=1,IF('3'!T63='7'!$V63,"sol",'4'!T63),IF('7'!$V63=2,IF('3'!T63&lt;='7'!$V63,"dul",'4'!T63),IF('7'!$V63&gt;=3,IF('3'!T63&lt;='7'!$V63,"shr",'4'!T63),'4'!T63))))</f>
        <v/>
      </c>
      <c r="U63" s="19" t="str">
        <f>IF(ISBLANK('Raw counts'!U64),"",IF('7'!$V63=1,IF('3'!U63='7'!$V63,"sol",'4'!U63),IF('7'!$V63=2,IF('3'!U63&lt;='7'!$V63,"dul",'4'!U63),IF('7'!$V63&gt;=3,IF('3'!U63&lt;='7'!$V63,"shr",'4'!U63),'4'!U63))))</f>
        <v/>
      </c>
      <c r="V63" s="3">
        <f>'7'!V63</f>
        <v>0</v>
      </c>
    </row>
  </sheetData>
  <sheetProtection password="850B" sheet="1" objects="1" scenarios="1"/>
  <phoneticPr fontId="2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AR64"/>
  <sheetViews>
    <sheetView tabSelected="1" zoomScale="70" zoomScaleNormal="70" workbookViewId="0">
      <pane xSplit="1" ySplit="4" topLeftCell="B5" activePane="bottomRight" state="frozen"/>
      <selection sqref="A1:U3"/>
      <selection pane="topRight" sqref="A1:U3"/>
      <selection pane="bottomLeft" sqref="A1:U3"/>
      <selection pane="bottomRight" activeCell="E12" sqref="E12"/>
    </sheetView>
  </sheetViews>
  <sheetFormatPr defaultRowHeight="14.25" x14ac:dyDescent="0.15"/>
  <cols>
    <col min="1" max="1" width="25.25" style="30" customWidth="1"/>
    <col min="2" max="21" width="6.625" style="30" customWidth="1"/>
    <col min="22" max="22" width="2.75" style="36" hidden="1" customWidth="1"/>
    <col min="23" max="25" width="6.875" style="30" hidden="1" customWidth="1"/>
    <col min="26" max="31" width="6.125" style="30" hidden="1" customWidth="1"/>
    <col min="32" max="33" width="7" style="30" hidden="1" customWidth="1"/>
    <col min="34" max="41" width="6.875" style="30" hidden="1" customWidth="1"/>
    <col min="42" max="42" width="7" style="30" hidden="1" customWidth="1"/>
    <col min="43" max="44" width="6.875" style="30" hidden="1" customWidth="1"/>
    <col min="45" max="16384" width="9" style="30"/>
  </cols>
  <sheetData>
    <row r="1" spans="1:44" s="1" customFormat="1" ht="67.5" customHeight="1" x14ac:dyDescent="0.15">
      <c r="A1" s="38" t="s">
        <v>57</v>
      </c>
      <c r="B1" s="44" t="s">
        <v>62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44" ht="25.5" x14ac:dyDescent="0.15">
      <c r="A2" s="15" t="str">
        <f>IF(ISBLANK('Raw counts'!A2),"",'Raw counts'!A2)</f>
        <v>Brand name --&gt;</v>
      </c>
      <c r="B2" s="16" t="str">
        <f t="shared" ref="B2:K4" si="0">IF(ISBLANK(W2),"",W2)</f>
        <v>Braun</v>
      </c>
      <c r="C2" s="16" t="str">
        <f t="shared" si="0"/>
        <v>Colgate</v>
      </c>
      <c r="D2" s="16" t="str">
        <f t="shared" si="0"/>
        <v>Lansung</v>
      </c>
      <c r="E2" s="16" t="str">
        <f t="shared" si="0"/>
        <v>Lebond</v>
      </c>
      <c r="F2" s="16" t="str">
        <f t="shared" si="0"/>
        <v>Oral-B</v>
      </c>
      <c r="G2" s="16" t="str">
        <f t="shared" si="0"/>
        <v>Panasonic</v>
      </c>
      <c r="H2" s="16" t="str">
        <f t="shared" si="0"/>
        <v>Phillips</v>
      </c>
      <c r="I2" s="16" t="str">
        <f t="shared" si="0"/>
        <v>Prooral</v>
      </c>
      <c r="J2" s="16" t="str">
        <f t="shared" si="0"/>
        <v>Qianbeimei</v>
      </c>
      <c r="K2" s="16" t="str">
        <f t="shared" si="0"/>
        <v>Saky</v>
      </c>
      <c r="L2" s="16" t="str">
        <f t="shared" ref="L2:U4" si="1">IF(ISBLANK(AG2),"",AG2)</f>
        <v>Wavebetter</v>
      </c>
      <c r="M2" s="16" t="str">
        <f t="shared" si="1"/>
        <v>Brd12</v>
      </c>
      <c r="N2" s="16" t="str">
        <f t="shared" si="1"/>
        <v>Brd13</v>
      </c>
      <c r="O2" s="16" t="str">
        <f t="shared" si="1"/>
        <v>Brd14</v>
      </c>
      <c r="P2" s="16" t="str">
        <f t="shared" si="1"/>
        <v>Brd15</v>
      </c>
      <c r="Q2" s="16" t="str">
        <f t="shared" si="1"/>
        <v>Brd16</v>
      </c>
      <c r="R2" s="16" t="str">
        <f t="shared" si="1"/>
        <v>Brd17</v>
      </c>
      <c r="S2" s="16" t="str">
        <f t="shared" si="1"/>
        <v>Brd18</v>
      </c>
      <c r="T2" s="16" t="str">
        <f t="shared" si="1"/>
        <v>Brd19</v>
      </c>
      <c r="U2" s="16" t="str">
        <f t="shared" si="1"/>
        <v>Brd20</v>
      </c>
      <c r="V2" s="33"/>
      <c r="W2" s="16" t="str">
        <f>IF(ISBLANK('Raw counts'!B2),"",'Raw counts'!B2)</f>
        <v>Braun</v>
      </c>
      <c r="X2" s="16" t="str">
        <f>IF(ISBLANK('Raw counts'!C2),"",'Raw counts'!C2)</f>
        <v>Colgate</v>
      </c>
      <c r="Y2" s="16" t="str">
        <f>IF(ISBLANK('Raw counts'!D2),"",'Raw counts'!D2)</f>
        <v>Lansung</v>
      </c>
      <c r="Z2" s="16" t="str">
        <f>IF(ISBLANK('Raw counts'!E2),"",'Raw counts'!E2)</f>
        <v>Lebond</v>
      </c>
      <c r="AA2" s="16" t="str">
        <f>IF(ISBLANK('Raw counts'!F2),"",'Raw counts'!F2)</f>
        <v>Oral-B</v>
      </c>
      <c r="AB2" s="16" t="str">
        <f>IF(ISBLANK('Raw counts'!G2),"",'Raw counts'!G2)</f>
        <v>Panasonic</v>
      </c>
      <c r="AC2" s="16" t="str">
        <f>IF(ISBLANK('Raw counts'!H2),"",'Raw counts'!H2)</f>
        <v>Phillips</v>
      </c>
      <c r="AD2" s="16" t="str">
        <f>IF(ISBLANK('Raw counts'!I2),"",'Raw counts'!I2)</f>
        <v>Prooral</v>
      </c>
      <c r="AE2" s="16" t="str">
        <f>IF(ISBLANK('Raw counts'!J2),"",'Raw counts'!J2)</f>
        <v>Qianbeimei</v>
      </c>
      <c r="AF2" s="16" t="str">
        <f>IF(ISBLANK('Raw counts'!K2),"",'Raw counts'!K2)</f>
        <v>Saky</v>
      </c>
      <c r="AG2" s="16" t="str">
        <f>IF(ISBLANK('Raw counts'!L2),"",'Raw counts'!L2)</f>
        <v>Wavebetter</v>
      </c>
      <c r="AH2" s="16" t="str">
        <f>IF(ISBLANK('Raw counts'!M2),"",'Raw counts'!M2)</f>
        <v>Brd12</v>
      </c>
      <c r="AI2" s="16" t="str">
        <f>IF(ISBLANK('Raw counts'!N2),"",'Raw counts'!N2)</f>
        <v>Brd13</v>
      </c>
      <c r="AJ2" s="16" t="str">
        <f>IF(ISBLANK('Raw counts'!O2),"",'Raw counts'!O2)</f>
        <v>Brd14</v>
      </c>
      <c r="AK2" s="16" t="str">
        <f>IF(ISBLANK('Raw counts'!P2),"",'Raw counts'!P2)</f>
        <v>Brd15</v>
      </c>
      <c r="AL2" s="16" t="str">
        <f>IF(ISBLANK('Raw counts'!Q2),"",'Raw counts'!Q2)</f>
        <v>Brd16</v>
      </c>
      <c r="AM2" s="16" t="str">
        <f>IF(ISBLANK('Raw counts'!R2),"",'Raw counts'!R2)</f>
        <v>Brd17</v>
      </c>
      <c r="AN2" s="16" t="str">
        <f>IF(ISBLANK('Raw counts'!S2),"",'Raw counts'!S2)</f>
        <v>Brd18</v>
      </c>
      <c r="AO2" s="16" t="str">
        <f>IF(ISBLANK('Raw counts'!T2),"",'Raw counts'!T2)</f>
        <v>Brd19</v>
      </c>
      <c r="AP2" s="16" t="str">
        <f>IF(ISBLANK('Raw counts'!U2),"",'Raw counts'!U2)</f>
        <v>Brd20</v>
      </c>
    </row>
    <row r="3" spans="1:44" x14ac:dyDescent="0.15">
      <c r="A3" s="15" t="str">
        <f>IF(ISBLANK('Raw counts'!A3),"",'Raw counts'!A3)</f>
        <v>Base1: Total resp.</v>
      </c>
      <c r="B3" s="17" t="str">
        <f t="shared" si="0"/>
        <v/>
      </c>
      <c r="C3" s="17" t="str">
        <f t="shared" si="0"/>
        <v/>
      </c>
      <c r="D3" s="17" t="str">
        <f t="shared" si="0"/>
        <v/>
      </c>
      <c r="E3" s="17" t="str">
        <f t="shared" si="0"/>
        <v/>
      </c>
      <c r="F3" s="17" t="str">
        <f t="shared" si="0"/>
        <v/>
      </c>
      <c r="G3" s="17" t="str">
        <f t="shared" si="0"/>
        <v/>
      </c>
      <c r="H3" s="17" t="str">
        <f t="shared" si="0"/>
        <v/>
      </c>
      <c r="I3" s="17" t="str">
        <f t="shared" si="0"/>
        <v/>
      </c>
      <c r="J3" s="17" t="str">
        <f t="shared" si="0"/>
        <v/>
      </c>
      <c r="K3" s="17" t="str">
        <f t="shared" si="0"/>
        <v/>
      </c>
      <c r="L3" s="17" t="str">
        <f t="shared" si="1"/>
        <v/>
      </c>
      <c r="M3" s="17" t="str">
        <f t="shared" si="1"/>
        <v/>
      </c>
      <c r="N3" s="17" t="str">
        <f t="shared" si="1"/>
        <v/>
      </c>
      <c r="O3" s="17" t="str">
        <f t="shared" si="1"/>
        <v/>
      </c>
      <c r="P3" s="17" t="str">
        <f t="shared" si="1"/>
        <v/>
      </c>
      <c r="Q3" s="17" t="str">
        <f t="shared" si="1"/>
        <v/>
      </c>
      <c r="R3" s="17" t="str">
        <f t="shared" si="1"/>
        <v/>
      </c>
      <c r="S3" s="17" t="str">
        <f t="shared" si="1"/>
        <v/>
      </c>
      <c r="T3" s="17" t="str">
        <f t="shared" si="1"/>
        <v/>
      </c>
      <c r="U3" s="17" t="str">
        <f t="shared" si="1"/>
        <v/>
      </c>
      <c r="V3" s="34"/>
      <c r="W3" s="17" t="str">
        <f>IF(ISBLANK('Raw counts'!B3),"",'Raw counts'!B3)</f>
        <v/>
      </c>
      <c r="X3" s="17" t="str">
        <f>IF(ISBLANK('Raw counts'!C3),"",'Raw counts'!C3)</f>
        <v/>
      </c>
      <c r="Y3" s="17" t="str">
        <f>IF(ISBLANK('Raw counts'!D3),"",'Raw counts'!D3)</f>
        <v/>
      </c>
      <c r="Z3" s="17" t="str">
        <f>IF(ISBLANK('Raw counts'!E3),"",'Raw counts'!E3)</f>
        <v/>
      </c>
      <c r="AA3" s="17" t="str">
        <f>IF(ISBLANK('Raw counts'!F3),"",'Raw counts'!F3)</f>
        <v/>
      </c>
      <c r="AB3" s="17" t="str">
        <f>IF(ISBLANK('Raw counts'!G3),"",'Raw counts'!G3)</f>
        <v/>
      </c>
      <c r="AC3" s="17" t="str">
        <f>IF(ISBLANK('Raw counts'!H3),"",'Raw counts'!H3)</f>
        <v/>
      </c>
      <c r="AD3" s="17" t="str">
        <f>IF(ISBLANK('Raw counts'!I3),"",'Raw counts'!I3)</f>
        <v/>
      </c>
      <c r="AE3" s="17" t="str">
        <f>IF(ISBLANK('Raw counts'!J3),"",'Raw counts'!J3)</f>
        <v/>
      </c>
      <c r="AF3" s="17" t="str">
        <f>IF(ISBLANK('Raw counts'!K3),"",'Raw counts'!K3)</f>
        <v/>
      </c>
      <c r="AG3" s="17" t="str">
        <f>IF(ISBLANK('Raw counts'!L3),"",'Raw counts'!L3)</f>
        <v/>
      </c>
      <c r="AH3" s="17" t="str">
        <f>IF(ISBLANK('Raw counts'!M3),"",'Raw counts'!M3)</f>
        <v/>
      </c>
      <c r="AI3" s="17" t="str">
        <f>IF(ISBLANK('Raw counts'!N3),"",'Raw counts'!N3)</f>
        <v/>
      </c>
      <c r="AJ3" s="17" t="str">
        <f>IF(ISBLANK('Raw counts'!O3),"",'Raw counts'!O3)</f>
        <v/>
      </c>
      <c r="AK3" s="17" t="str">
        <f>IF(ISBLANK('Raw counts'!P3),"",'Raw counts'!P3)</f>
        <v/>
      </c>
      <c r="AL3" s="17" t="str">
        <f>IF(ISBLANK('Raw counts'!Q3),"",'Raw counts'!Q3)</f>
        <v/>
      </c>
      <c r="AM3" s="17" t="str">
        <f>IF(ISBLANK('Raw counts'!R3),"",'Raw counts'!R3)</f>
        <v/>
      </c>
      <c r="AN3" s="17" t="str">
        <f>IF(ISBLANK('Raw counts'!S3),"",'Raw counts'!S3)</f>
        <v/>
      </c>
      <c r="AO3" s="17" t="str">
        <f>IF(ISBLANK('Raw counts'!T3),"",'Raw counts'!T3)</f>
        <v/>
      </c>
      <c r="AP3" s="17" t="str">
        <f>IF(ISBLANK('Raw counts'!U3),"",'Raw counts'!U3)</f>
        <v/>
      </c>
    </row>
    <row r="4" spans="1:44" ht="25.5" customHeight="1" x14ac:dyDescent="0.15">
      <c r="A4" s="15" t="str">
        <f>IF(ISBLANK('Raw counts'!A4),"",'Raw counts'!A4)</f>
        <v>Base - Total Aware of brand AND Primary Category Purchasers</v>
      </c>
      <c r="B4" s="17">
        <f t="shared" si="0"/>
        <v>259</v>
      </c>
      <c r="C4" s="17">
        <f t="shared" si="0"/>
        <v>207</v>
      </c>
      <c r="D4" s="17">
        <f t="shared" si="0"/>
        <v>30</v>
      </c>
      <c r="E4" s="17">
        <f t="shared" si="0"/>
        <v>50</v>
      </c>
      <c r="F4" s="17">
        <f t="shared" si="0"/>
        <v>257</v>
      </c>
      <c r="G4" s="17">
        <f t="shared" si="0"/>
        <v>254</v>
      </c>
      <c r="H4" s="17">
        <f t="shared" si="0"/>
        <v>404</v>
      </c>
      <c r="I4" s="17">
        <f t="shared" si="0"/>
        <v>51</v>
      </c>
      <c r="J4" s="17">
        <f t="shared" si="0"/>
        <v>29</v>
      </c>
      <c r="K4" s="17">
        <f t="shared" si="0"/>
        <v>92</v>
      </c>
      <c r="L4" s="17">
        <f t="shared" si="1"/>
        <v>26</v>
      </c>
      <c r="M4" s="17" t="str">
        <f t="shared" si="1"/>
        <v/>
      </c>
      <c r="N4" s="17" t="str">
        <f t="shared" si="1"/>
        <v/>
      </c>
      <c r="O4" s="17" t="str">
        <f t="shared" si="1"/>
        <v/>
      </c>
      <c r="P4" s="17" t="str">
        <f t="shared" si="1"/>
        <v/>
      </c>
      <c r="Q4" s="17" t="str">
        <f t="shared" si="1"/>
        <v/>
      </c>
      <c r="R4" s="17" t="str">
        <f t="shared" si="1"/>
        <v/>
      </c>
      <c r="S4" s="17" t="str">
        <f t="shared" si="1"/>
        <v/>
      </c>
      <c r="T4" s="17" t="str">
        <f t="shared" si="1"/>
        <v/>
      </c>
      <c r="U4" s="17" t="str">
        <f t="shared" si="1"/>
        <v/>
      </c>
      <c r="V4" s="34"/>
      <c r="W4" s="17">
        <f>IF(ISBLANK('Raw counts'!B4),"",'Raw counts'!B4)</f>
        <v>259</v>
      </c>
      <c r="X4" s="17">
        <f>IF(ISBLANK('Raw counts'!C4),"",'Raw counts'!C4)</f>
        <v>207</v>
      </c>
      <c r="Y4" s="17">
        <f>IF(ISBLANK('Raw counts'!D4),"",'Raw counts'!D4)</f>
        <v>30</v>
      </c>
      <c r="Z4" s="17">
        <f>IF(ISBLANK('Raw counts'!E4),"",'Raw counts'!E4)</f>
        <v>50</v>
      </c>
      <c r="AA4" s="17">
        <f>IF(ISBLANK('Raw counts'!F4),"",'Raw counts'!F4)</f>
        <v>257</v>
      </c>
      <c r="AB4" s="17">
        <f>IF(ISBLANK('Raw counts'!G4),"",'Raw counts'!G4)</f>
        <v>254</v>
      </c>
      <c r="AC4" s="17">
        <f>IF(ISBLANK('Raw counts'!H4),"",'Raw counts'!H4)</f>
        <v>404</v>
      </c>
      <c r="AD4" s="17">
        <f>IF(ISBLANK('Raw counts'!I4),"",'Raw counts'!I4)</f>
        <v>51</v>
      </c>
      <c r="AE4" s="17">
        <f>IF(ISBLANK('Raw counts'!J4),"",'Raw counts'!J4)</f>
        <v>29</v>
      </c>
      <c r="AF4" s="17">
        <f>IF(ISBLANK('Raw counts'!K4),"",'Raw counts'!K4)</f>
        <v>92</v>
      </c>
      <c r="AG4" s="17">
        <f>IF(ISBLANK('Raw counts'!L4),"",'Raw counts'!L4)</f>
        <v>26</v>
      </c>
      <c r="AH4" s="17" t="str">
        <f>IF(ISBLANK('Raw counts'!M4),"",'Raw counts'!M4)</f>
        <v/>
      </c>
      <c r="AI4" s="17" t="str">
        <f>IF(ISBLANK('Raw counts'!N4),"",'Raw counts'!N4)</f>
        <v/>
      </c>
      <c r="AJ4" s="17" t="str">
        <f>IF(ISBLANK('Raw counts'!O4),"",'Raw counts'!O4)</f>
        <v/>
      </c>
      <c r="AK4" s="17" t="str">
        <f>IF(ISBLANK('Raw counts'!P4),"",'Raw counts'!P4)</f>
        <v/>
      </c>
      <c r="AL4" s="17" t="str">
        <f>IF(ISBLANK('Raw counts'!Q4),"",'Raw counts'!Q4)</f>
        <v/>
      </c>
      <c r="AM4" s="17" t="str">
        <f>IF(ISBLANK('Raw counts'!R4),"",'Raw counts'!R4)</f>
        <v/>
      </c>
      <c r="AN4" s="17" t="str">
        <f>IF(ISBLANK('Raw counts'!S4),"",'Raw counts'!S4)</f>
        <v/>
      </c>
      <c r="AO4" s="17" t="str">
        <f>IF(ISBLANK('Raw counts'!T4),"",'Raw counts'!T4)</f>
        <v/>
      </c>
      <c r="AP4" s="17" t="str">
        <f>IF(ISBLANK('Raw counts'!U4),"",'Raw counts'!U4)</f>
        <v/>
      </c>
      <c r="AQ4" s="31" t="s">
        <v>59</v>
      </c>
      <c r="AR4" s="31" t="s">
        <v>60</v>
      </c>
    </row>
    <row r="5" spans="1:44" ht="38.25" x14ac:dyDescent="0.15">
      <c r="A5" s="18" t="str">
        <f>IF(ISBLANK('Raw counts'!A5),"",'Raw counts'!A5)</f>
        <v xml:space="preserve">Doesn't offer version I want                                                </v>
      </c>
      <c r="B5" s="20">
        <f>IF(ISNUMBER(W5),(W5-$AQ5)/$AR5*20+100," ")</f>
        <v>96.796597614145369</v>
      </c>
      <c r="C5" s="20">
        <f t="shared" ref="C5:U18" si="2">IF(ISNUMBER(X5),(X5-$AQ5)/$AR5*20+100," ")</f>
        <v>126.02597415835081</v>
      </c>
      <c r="D5" s="20">
        <f t="shared" si="2"/>
        <v>99.623310789069023</v>
      </c>
      <c r="E5" s="20">
        <f t="shared" si="2"/>
        <v>82.597294223831241</v>
      </c>
      <c r="F5" s="20">
        <f t="shared" si="2"/>
        <v>93.727141628344654</v>
      </c>
      <c r="G5" s="20">
        <f t="shared" si="2"/>
        <v>111.15273932930877</v>
      </c>
      <c r="H5" s="20">
        <f t="shared" si="2"/>
        <v>99.286161946193033</v>
      </c>
      <c r="I5" s="20">
        <f t="shared" si="2"/>
        <v>70.578929589545751</v>
      </c>
      <c r="J5" s="20">
        <f t="shared" si="2"/>
        <v>138.95928009496322</v>
      </c>
      <c r="K5" s="20">
        <f t="shared" si="2"/>
        <v>102.58435714824081</v>
      </c>
      <c r="L5" s="20">
        <f t="shared" si="2"/>
        <v>78.668213478007146</v>
      </c>
      <c r="M5" s="20" t="str">
        <f t="shared" si="2"/>
        <v xml:space="preserve"> </v>
      </c>
      <c r="N5" s="20" t="str">
        <f t="shared" si="2"/>
        <v xml:space="preserve"> </v>
      </c>
      <c r="O5" s="20" t="str">
        <f t="shared" si="2"/>
        <v xml:space="preserve"> </v>
      </c>
      <c r="P5" s="20" t="str">
        <f t="shared" si="2"/>
        <v xml:space="preserve"> </v>
      </c>
      <c r="Q5" s="20" t="str">
        <f t="shared" si="2"/>
        <v xml:space="preserve"> </v>
      </c>
      <c r="R5" s="20" t="str">
        <f t="shared" si="2"/>
        <v xml:space="preserve"> </v>
      </c>
      <c r="S5" s="20" t="str">
        <f t="shared" si="2"/>
        <v xml:space="preserve"> </v>
      </c>
      <c r="T5" s="20" t="str">
        <f t="shared" si="2"/>
        <v xml:space="preserve"> </v>
      </c>
      <c r="U5" s="20" t="str">
        <f t="shared" si="2"/>
        <v xml:space="preserve"> </v>
      </c>
      <c r="V5" s="35"/>
      <c r="W5" s="29">
        <f>IF(ISBLANK('Raw counts'!B$4),"",IF(ISBLANK('Raw counts'!B5),"",('Raw counts'!B5)/('Raw counts'!B$4)))</f>
        <v>0.22779922779922779</v>
      </c>
      <c r="X5" s="29">
        <f>IF(ISBLANK('Raw counts'!C$4),"",IF(ISBLANK('Raw counts'!C5),"",('Raw counts'!C5)/('Raw counts'!C$4)))</f>
        <v>0.28502415458937197</v>
      </c>
      <c r="Y5" s="29">
        <f>IF(ISBLANK('Raw counts'!D$4),"",IF(ISBLANK('Raw counts'!D5),"",('Raw counts'!D5)/('Raw counts'!D$4)))</f>
        <v>0.23333333333333334</v>
      </c>
      <c r="Z5" s="29">
        <f>IF(ISBLANK('Raw counts'!E$4),"",IF(ISBLANK('Raw counts'!E5),"",('Raw counts'!E5)/('Raw counts'!E$4)))</f>
        <v>0.2</v>
      </c>
      <c r="AA5" s="29">
        <f>IF(ISBLANK('Raw counts'!F$4),"",IF(ISBLANK('Raw counts'!F5),"",('Raw counts'!F5)/('Raw counts'!F$4)))</f>
        <v>0.22178988326848248</v>
      </c>
      <c r="AB5" s="29">
        <f>IF(ISBLANK('Raw counts'!G$4),"",IF(ISBLANK('Raw counts'!G5),"",('Raw counts'!G5)/('Raw counts'!G$4)))</f>
        <v>0.25590551181102361</v>
      </c>
      <c r="AC5" s="29">
        <f>IF(ISBLANK('Raw counts'!H$4),"",IF(ISBLANK('Raw counts'!H5),"",('Raw counts'!H5)/('Raw counts'!H$4)))</f>
        <v>0.23267326732673269</v>
      </c>
      <c r="AD5" s="29">
        <f>IF(ISBLANK('Raw counts'!I$4),"",IF(ISBLANK('Raw counts'!I5),"",('Raw counts'!I5)/('Raw counts'!I$4)))</f>
        <v>0.17647058823529413</v>
      </c>
      <c r="AE5" s="29">
        <f>IF(ISBLANK('Raw counts'!J$4),"",IF(ISBLANK('Raw counts'!J5),"",('Raw counts'!J5)/('Raw counts'!J$4)))</f>
        <v>0.31034482758620691</v>
      </c>
      <c r="AF5" s="29">
        <f>IF(ISBLANK('Raw counts'!K$4),"",IF(ISBLANK('Raw counts'!K5),"",('Raw counts'!K5)/('Raw counts'!K$4)))</f>
        <v>0.2391304347826087</v>
      </c>
      <c r="AG5" s="29">
        <f>IF(ISBLANK('Raw counts'!L$4),"",IF(ISBLANK('Raw counts'!L5),"",('Raw counts'!L5)/('Raw counts'!L$4)))</f>
        <v>0.19230769230769232</v>
      </c>
      <c r="AH5" s="29" t="str">
        <f>IF(ISBLANK('Raw counts'!M$4),"",IF(ISBLANK('Raw counts'!M5),"",('Raw counts'!M5)/('Raw counts'!M$4)))</f>
        <v/>
      </c>
      <c r="AI5" s="29" t="str">
        <f>IF(ISBLANK('Raw counts'!N$4),"",IF(ISBLANK('Raw counts'!N5),"",('Raw counts'!N5)/('Raw counts'!N$4)))</f>
        <v/>
      </c>
      <c r="AJ5" s="29" t="str">
        <f>IF(ISBLANK('Raw counts'!O$4),"",IF(ISBLANK('Raw counts'!O5),"",('Raw counts'!O5)/('Raw counts'!O$4)))</f>
        <v/>
      </c>
      <c r="AK5" s="29" t="str">
        <f>IF(ISBLANK('Raw counts'!P$4),"",IF(ISBLANK('Raw counts'!P5),"",('Raw counts'!P5)/('Raw counts'!P$4)))</f>
        <v/>
      </c>
      <c r="AL5" s="29" t="str">
        <f>IF(ISBLANK('Raw counts'!Q$4),"",IF(ISBLANK('Raw counts'!Q5),"",('Raw counts'!Q5)/('Raw counts'!Q$4)))</f>
        <v/>
      </c>
      <c r="AM5" s="29" t="str">
        <f>IF(ISBLANK('Raw counts'!R$4),"",IF(ISBLANK('Raw counts'!R5),"",('Raw counts'!R5)/('Raw counts'!R$4)))</f>
        <v/>
      </c>
      <c r="AN5" s="29" t="str">
        <f>IF(ISBLANK('Raw counts'!S$4),"",IF(ISBLANK('Raw counts'!S5),"",('Raw counts'!S5)/('Raw counts'!S$4)))</f>
        <v/>
      </c>
      <c r="AO5" s="29" t="str">
        <f>IF(ISBLANK('Raw counts'!T$4),"",IF(ISBLANK('Raw counts'!T5),"",('Raw counts'!T5)/('Raw counts'!T$4)))</f>
        <v/>
      </c>
      <c r="AP5" s="29" t="str">
        <f>IF(ISBLANK('Raw counts'!U$4),"",IF(ISBLANK('Raw counts'!U5),"",('Raw counts'!U5)/('Raw counts'!U$4)))</f>
        <v/>
      </c>
      <c r="AQ5" s="32">
        <f>IF(ISNUMBER(W5),AVERAGE(W5:AP5),"")</f>
        <v>0.23407081100363403</v>
      </c>
      <c r="AR5" s="32">
        <f>IF(ISNUMBER(W5),STDEV(W5:AP5),"")</f>
        <v>3.9155762835789067E-2</v>
      </c>
    </row>
    <row r="6" spans="1:44" ht="25.5" x14ac:dyDescent="0.15">
      <c r="A6" s="18" t="str">
        <f>IF(ISBLANK('Raw counts'!A6),"",'Raw counts'!A6)</f>
        <v xml:space="preserve">Doesn't offer enough variety or versions in the store/online                </v>
      </c>
      <c r="B6" s="20">
        <f t="shared" ref="B6:B64" si="3">IF(ISNUMBER(W6),(W6-$AQ6)/$AR6*20+100," ")</f>
        <v>110.10589019029739</v>
      </c>
      <c r="C6" s="20">
        <f t="shared" si="2"/>
        <v>110.75516499212156</v>
      </c>
      <c r="D6" s="20">
        <f t="shared" si="2"/>
        <v>58.978916782443051</v>
      </c>
      <c r="E6" s="20">
        <f t="shared" si="2"/>
        <v>91.549274630582701</v>
      </c>
      <c r="F6" s="20">
        <f t="shared" si="2"/>
        <v>110.58297353843278</v>
      </c>
      <c r="G6" s="20">
        <f t="shared" si="2"/>
        <v>128.14284105149943</v>
      </c>
      <c r="H6" s="20">
        <f t="shared" si="2"/>
        <v>100.95154686830371</v>
      </c>
      <c r="I6" s="20">
        <f t="shared" si="2"/>
        <v>96.698265025693004</v>
      </c>
      <c r="J6" s="20">
        <f t="shared" si="2"/>
        <v>101.44673251115962</v>
      </c>
      <c r="K6" s="20">
        <f t="shared" si="2"/>
        <v>118.49947562177434</v>
      </c>
      <c r="L6" s="20">
        <f t="shared" si="2"/>
        <v>72.288918787692424</v>
      </c>
      <c r="M6" s="20" t="str">
        <f t="shared" si="2"/>
        <v xml:space="preserve"> </v>
      </c>
      <c r="N6" s="20" t="str">
        <f t="shared" si="2"/>
        <v xml:space="preserve"> </v>
      </c>
      <c r="O6" s="20" t="str">
        <f t="shared" si="2"/>
        <v xml:space="preserve"> </v>
      </c>
      <c r="P6" s="20" t="str">
        <f t="shared" si="2"/>
        <v xml:space="preserve"> </v>
      </c>
      <c r="Q6" s="20" t="str">
        <f t="shared" si="2"/>
        <v xml:space="preserve"> </v>
      </c>
      <c r="R6" s="20" t="str">
        <f t="shared" si="2"/>
        <v xml:space="preserve"> </v>
      </c>
      <c r="S6" s="20" t="str">
        <f t="shared" si="2"/>
        <v xml:space="preserve"> </v>
      </c>
      <c r="T6" s="20" t="str">
        <f t="shared" si="2"/>
        <v xml:space="preserve"> </v>
      </c>
      <c r="U6" s="20" t="str">
        <f t="shared" si="2"/>
        <v xml:space="preserve"> </v>
      </c>
      <c r="V6" s="35"/>
      <c r="W6" s="29">
        <f>IF(ISBLANK('Raw counts'!B$4),"",IF(ISBLANK('Raw counts'!B6),"",('Raw counts'!B6)/('Raw counts'!B$4)))</f>
        <v>0.20077220077220076</v>
      </c>
      <c r="X6" s="29">
        <f>IF(ISBLANK('Raw counts'!C$4),"",IF(ISBLANK('Raw counts'!C6),"",('Raw counts'!C6)/('Raw counts'!C$4)))</f>
        <v>0.20289855072463769</v>
      </c>
      <c r="Y6" s="29">
        <f>IF(ISBLANK('Raw counts'!D$4),"",IF(ISBLANK('Raw counts'!D6),"",('Raw counts'!D6)/('Raw counts'!D$4)))</f>
        <v>3.3333333333333333E-2</v>
      </c>
      <c r="Z6" s="29">
        <f>IF(ISBLANK('Raw counts'!E$4),"",IF(ISBLANK('Raw counts'!E6),"",('Raw counts'!E6)/('Raw counts'!E$4)))</f>
        <v>0.14000000000000001</v>
      </c>
      <c r="AA6" s="29">
        <f>IF(ISBLANK('Raw counts'!F$4),"",IF(ISBLANK('Raw counts'!F6),"",('Raw counts'!F6)/('Raw counts'!F$4)))</f>
        <v>0.20233463035019456</v>
      </c>
      <c r="AB6" s="29">
        <f>IF(ISBLANK('Raw counts'!G$4),"",IF(ISBLANK('Raw counts'!G6),"",('Raw counts'!G6)/('Raw counts'!G$4)))</f>
        <v>0.25984251968503935</v>
      </c>
      <c r="AC6" s="29">
        <f>IF(ISBLANK('Raw counts'!H$4),"",IF(ISBLANK('Raw counts'!H6),"",('Raw counts'!H6)/('Raw counts'!H$4)))</f>
        <v>0.1707920792079208</v>
      </c>
      <c r="AD6" s="29">
        <f>IF(ISBLANK('Raw counts'!I$4),"",IF(ISBLANK('Raw counts'!I6),"",('Raw counts'!I6)/('Raw counts'!I$4)))</f>
        <v>0.15686274509803921</v>
      </c>
      <c r="AE6" s="29">
        <f>IF(ISBLANK('Raw counts'!J$4),"",IF(ISBLANK('Raw counts'!J6),"",('Raw counts'!J6)/('Raw counts'!J$4)))</f>
        <v>0.17241379310344829</v>
      </c>
      <c r="AF6" s="29">
        <f>IF(ISBLANK('Raw counts'!K$4),"",IF(ISBLANK('Raw counts'!K6),"",('Raw counts'!K6)/('Raw counts'!K$4)))</f>
        <v>0.22826086956521738</v>
      </c>
      <c r="AG6" s="29">
        <f>IF(ISBLANK('Raw counts'!L$4),"",IF(ISBLANK('Raw counts'!L6),"",('Raw counts'!L6)/('Raw counts'!L$4)))</f>
        <v>7.6923076923076927E-2</v>
      </c>
      <c r="AH6" s="29" t="str">
        <f>IF(ISBLANK('Raw counts'!M$4),"",IF(ISBLANK('Raw counts'!M6),"",('Raw counts'!M6)/('Raw counts'!M$4)))</f>
        <v/>
      </c>
      <c r="AI6" s="29" t="str">
        <f>IF(ISBLANK('Raw counts'!N$4),"",IF(ISBLANK('Raw counts'!N6),"",('Raw counts'!N6)/('Raw counts'!N$4)))</f>
        <v/>
      </c>
      <c r="AJ6" s="29" t="str">
        <f>IF(ISBLANK('Raw counts'!O$4),"",IF(ISBLANK('Raw counts'!O6),"",('Raw counts'!O6)/('Raw counts'!O$4)))</f>
        <v/>
      </c>
      <c r="AK6" s="29" t="str">
        <f>IF(ISBLANK('Raw counts'!P$4),"",IF(ISBLANK('Raw counts'!P6),"",('Raw counts'!P6)/('Raw counts'!P$4)))</f>
        <v/>
      </c>
      <c r="AL6" s="29" t="str">
        <f>IF(ISBLANK('Raw counts'!Q$4),"",IF(ISBLANK('Raw counts'!Q6),"",('Raw counts'!Q6)/('Raw counts'!Q$4)))</f>
        <v/>
      </c>
      <c r="AM6" s="29" t="str">
        <f>IF(ISBLANK('Raw counts'!R$4),"",IF(ISBLANK('Raw counts'!R6),"",('Raw counts'!R6)/('Raw counts'!R$4)))</f>
        <v/>
      </c>
      <c r="AN6" s="29" t="str">
        <f>IF(ISBLANK('Raw counts'!S$4),"",IF(ISBLANK('Raw counts'!S6),"",('Raw counts'!S6)/('Raw counts'!S$4)))</f>
        <v/>
      </c>
      <c r="AO6" s="29" t="str">
        <f>IF(ISBLANK('Raw counts'!T$4),"",IF(ISBLANK('Raw counts'!T6),"",('Raw counts'!T6)/('Raw counts'!T$4)))</f>
        <v/>
      </c>
      <c r="AP6" s="29" t="str">
        <f>IF(ISBLANK('Raw counts'!U$4),"",IF(ISBLANK('Raw counts'!U6),"",('Raw counts'!U6)/('Raw counts'!U$4)))</f>
        <v/>
      </c>
      <c r="AQ6" s="32">
        <f t="shared" ref="AQ6:AQ64" si="4">IF(ISNUMBER(W6),AVERAGE(W6:AP6),"")</f>
        <v>0.16767579988755529</v>
      </c>
      <c r="AR6" s="32">
        <f t="shared" ref="AR6:AR64" si="5">IF(ISNUMBER(W6),STDEV(W6:AP6),"")</f>
        <v>6.5499229185017535E-2</v>
      </c>
    </row>
    <row r="7" spans="1:44" ht="25.5" x14ac:dyDescent="0.15">
      <c r="A7" s="18" t="str">
        <f>IF(ISBLANK('Raw counts'!A7),"",'Raw counts'!A7)</f>
        <v xml:space="preserve">Doesn't offer newest/latest products                                        </v>
      </c>
      <c r="B7" s="20">
        <f t="shared" si="3"/>
        <v>96.776770371179396</v>
      </c>
      <c r="C7" s="20">
        <f t="shared" si="2"/>
        <v>106.75513121721536</v>
      </c>
      <c r="D7" s="20">
        <f t="shared" si="2"/>
        <v>77.452506123066243</v>
      </c>
      <c r="E7" s="20">
        <f t="shared" si="2"/>
        <v>97.339861514833018</v>
      </c>
      <c r="F7" s="20">
        <f t="shared" si="2"/>
        <v>101.05423139345095</v>
      </c>
      <c r="G7" s="20">
        <f t="shared" si="2"/>
        <v>104.33436446101872</v>
      </c>
      <c r="H7" s="20">
        <f t="shared" si="2"/>
        <v>90.251299196975566</v>
      </c>
      <c r="I7" s="20">
        <f t="shared" si="2"/>
        <v>96.29999979500208</v>
      </c>
      <c r="J7" s="20">
        <f t="shared" si="2"/>
        <v>147.17254514017969</v>
      </c>
      <c r="K7" s="20">
        <f t="shared" si="2"/>
        <v>112.75976750700002</v>
      </c>
      <c r="L7" s="20">
        <f t="shared" si="2"/>
        <v>69.80352328007902</v>
      </c>
      <c r="M7" s="20" t="str">
        <f t="shared" si="2"/>
        <v xml:space="preserve"> </v>
      </c>
      <c r="N7" s="20" t="str">
        <f t="shared" si="2"/>
        <v xml:space="preserve"> </v>
      </c>
      <c r="O7" s="20" t="str">
        <f t="shared" si="2"/>
        <v xml:space="preserve"> </v>
      </c>
      <c r="P7" s="20" t="str">
        <f t="shared" si="2"/>
        <v xml:space="preserve"> </v>
      </c>
      <c r="Q7" s="20" t="str">
        <f t="shared" si="2"/>
        <v xml:space="preserve"> </v>
      </c>
      <c r="R7" s="20" t="str">
        <f t="shared" si="2"/>
        <v xml:space="preserve"> </v>
      </c>
      <c r="S7" s="20" t="str">
        <f t="shared" si="2"/>
        <v xml:space="preserve"> </v>
      </c>
      <c r="T7" s="20" t="str">
        <f t="shared" si="2"/>
        <v xml:space="preserve"> </v>
      </c>
      <c r="U7" s="20" t="str">
        <f t="shared" si="2"/>
        <v xml:space="preserve"> </v>
      </c>
      <c r="V7" s="35"/>
      <c r="W7" s="29">
        <f>IF(ISBLANK('Raw counts'!B$4),"",IF(ISBLANK('Raw counts'!B7),"",('Raw counts'!B7)/('Raw counts'!B$4)))</f>
        <v>0.15830115830115829</v>
      </c>
      <c r="X7" s="29">
        <f>IF(ISBLANK('Raw counts'!C$4),"",IF(ISBLANK('Raw counts'!C7),"",('Raw counts'!C7)/('Raw counts'!C$4)))</f>
        <v>0.18840579710144928</v>
      </c>
      <c r="Y7" s="29">
        <f>IF(ISBLANK('Raw counts'!D$4),"",IF(ISBLANK('Raw counts'!D7),"",('Raw counts'!D7)/('Raw counts'!D$4)))</f>
        <v>0.1</v>
      </c>
      <c r="Z7" s="29">
        <f>IF(ISBLANK('Raw counts'!E$4),"",IF(ISBLANK('Raw counts'!E7),"",('Raw counts'!E7)/('Raw counts'!E$4)))</f>
        <v>0.16</v>
      </c>
      <c r="AA7" s="29">
        <f>IF(ISBLANK('Raw counts'!F$4),"",IF(ISBLANK('Raw counts'!F7),"",('Raw counts'!F7)/('Raw counts'!F$4)))</f>
        <v>0.17120622568093385</v>
      </c>
      <c r="AB7" s="29">
        <f>IF(ISBLANK('Raw counts'!G$4),"",IF(ISBLANK('Raw counts'!G7),"",('Raw counts'!G7)/('Raw counts'!G$4)))</f>
        <v>0.18110236220472442</v>
      </c>
      <c r="AC7" s="29">
        <f>IF(ISBLANK('Raw counts'!H$4),"",IF(ISBLANK('Raw counts'!H7),"",('Raw counts'!H7)/('Raw counts'!H$4)))</f>
        <v>0.13861386138613863</v>
      </c>
      <c r="AD7" s="29">
        <f>IF(ISBLANK('Raw counts'!I$4),"",IF(ISBLANK('Raw counts'!I7),"",('Raw counts'!I7)/('Raw counts'!I$4)))</f>
        <v>0.15686274509803921</v>
      </c>
      <c r="AE7" s="29">
        <f>IF(ISBLANK('Raw counts'!J$4),"",IF(ISBLANK('Raw counts'!J7),"",('Raw counts'!J7)/('Raw counts'!J$4)))</f>
        <v>0.31034482758620691</v>
      </c>
      <c r="AF7" s="29">
        <f>IF(ISBLANK('Raw counts'!K$4),"",IF(ISBLANK('Raw counts'!K7),"",('Raw counts'!K7)/('Raw counts'!K$4)))</f>
        <v>0.20652173913043478</v>
      </c>
      <c r="AG7" s="29">
        <f>IF(ISBLANK('Raw counts'!L$4),"",IF(ISBLANK('Raw counts'!L7),"",('Raw counts'!L7)/('Raw counts'!L$4)))</f>
        <v>7.6923076923076927E-2</v>
      </c>
      <c r="AH7" s="29" t="str">
        <f>IF(ISBLANK('Raw counts'!M$4),"",IF(ISBLANK('Raw counts'!M7),"",('Raw counts'!M7)/('Raw counts'!M$4)))</f>
        <v/>
      </c>
      <c r="AI7" s="29" t="str">
        <f>IF(ISBLANK('Raw counts'!N$4),"",IF(ISBLANK('Raw counts'!N7),"",('Raw counts'!N7)/('Raw counts'!N$4)))</f>
        <v/>
      </c>
      <c r="AJ7" s="29" t="str">
        <f>IF(ISBLANK('Raw counts'!O$4),"",IF(ISBLANK('Raw counts'!O7),"",('Raw counts'!O7)/('Raw counts'!O$4)))</f>
        <v/>
      </c>
      <c r="AK7" s="29" t="str">
        <f>IF(ISBLANK('Raw counts'!P$4),"",IF(ISBLANK('Raw counts'!P7),"",('Raw counts'!P7)/('Raw counts'!P$4)))</f>
        <v/>
      </c>
      <c r="AL7" s="29" t="str">
        <f>IF(ISBLANK('Raw counts'!Q$4),"",IF(ISBLANK('Raw counts'!Q7),"",('Raw counts'!Q7)/('Raw counts'!Q$4)))</f>
        <v/>
      </c>
      <c r="AM7" s="29" t="str">
        <f>IF(ISBLANK('Raw counts'!R$4),"",IF(ISBLANK('Raw counts'!R7),"",('Raw counts'!R7)/('Raw counts'!R$4)))</f>
        <v/>
      </c>
      <c r="AN7" s="29" t="str">
        <f>IF(ISBLANK('Raw counts'!S$4),"",IF(ISBLANK('Raw counts'!S7),"",('Raw counts'!S7)/('Raw counts'!S$4)))</f>
        <v/>
      </c>
      <c r="AO7" s="29" t="str">
        <f>IF(ISBLANK('Raw counts'!T$4),"",IF(ISBLANK('Raw counts'!T7),"",('Raw counts'!T7)/('Raw counts'!T$4)))</f>
        <v/>
      </c>
      <c r="AP7" s="29" t="str">
        <f>IF(ISBLANK('Raw counts'!U$4),"",IF(ISBLANK('Raw counts'!U7),"",('Raw counts'!U7)/('Raw counts'!U$4)))</f>
        <v/>
      </c>
      <c r="AQ7" s="32">
        <f t="shared" si="4"/>
        <v>0.16802561758292384</v>
      </c>
      <c r="AR7" s="32">
        <f t="shared" si="5"/>
        <v>6.0339847926526767E-2</v>
      </c>
    </row>
    <row r="8" spans="1:44" ht="25.5" x14ac:dyDescent="0.15">
      <c r="A8" s="18" t="str">
        <f>IF(ISBLANK('Raw counts'!A8),"",'Raw counts'!A8)</f>
        <v xml:space="preserve">Brand not carried in the store/online                                       </v>
      </c>
      <c r="B8" s="20">
        <f t="shared" si="3"/>
        <v>86.9761714139443</v>
      </c>
      <c r="C8" s="20">
        <f t="shared" si="2"/>
        <v>100.29664968584632</v>
      </c>
      <c r="D8" s="20">
        <f t="shared" si="2"/>
        <v>123.39766354070692</v>
      </c>
      <c r="E8" s="20">
        <f t="shared" si="2"/>
        <v>97.267008524553134</v>
      </c>
      <c r="F8" s="20">
        <f t="shared" si="2"/>
        <v>75.305057226929705</v>
      </c>
      <c r="G8" s="20">
        <f t="shared" si="2"/>
        <v>102.20508506303889</v>
      </c>
      <c r="H8" s="20">
        <f t="shared" si="2"/>
        <v>70.295515599463698</v>
      </c>
      <c r="I8" s="20">
        <f t="shared" si="2"/>
        <v>95.729911170661723</v>
      </c>
      <c r="J8" s="20">
        <f t="shared" si="2"/>
        <v>113.48603577595894</v>
      </c>
      <c r="K8" s="20">
        <f t="shared" si="2"/>
        <v>95.562835371325704</v>
      </c>
      <c r="L8" s="20">
        <f t="shared" si="2"/>
        <v>139.4780666275708</v>
      </c>
      <c r="M8" s="20" t="str">
        <f t="shared" si="2"/>
        <v xml:space="preserve"> </v>
      </c>
      <c r="N8" s="20" t="str">
        <f t="shared" si="2"/>
        <v xml:space="preserve"> </v>
      </c>
      <c r="O8" s="20" t="str">
        <f t="shared" si="2"/>
        <v xml:space="preserve"> </v>
      </c>
      <c r="P8" s="20" t="str">
        <f t="shared" si="2"/>
        <v xml:space="preserve"> </v>
      </c>
      <c r="Q8" s="20" t="str">
        <f t="shared" si="2"/>
        <v xml:space="preserve"> </v>
      </c>
      <c r="R8" s="20" t="str">
        <f t="shared" si="2"/>
        <v xml:space="preserve"> </v>
      </c>
      <c r="S8" s="20" t="str">
        <f t="shared" si="2"/>
        <v xml:space="preserve"> </v>
      </c>
      <c r="T8" s="20" t="str">
        <f t="shared" si="2"/>
        <v xml:space="preserve"> </v>
      </c>
      <c r="U8" s="20" t="str">
        <f t="shared" si="2"/>
        <v xml:space="preserve"> </v>
      </c>
      <c r="V8" s="35"/>
      <c r="W8" s="29">
        <f>IF(ISBLANK('Raw counts'!B$4),"",IF(ISBLANK('Raw counts'!B8),"",('Raw counts'!B8)/('Raw counts'!B$4)))</f>
        <v>0.17374517374517376</v>
      </c>
      <c r="X8" s="29">
        <f>IF(ISBLANK('Raw counts'!C$4),"",IF(ISBLANK('Raw counts'!C8),"",('Raw counts'!C8)/('Raw counts'!C$4)))</f>
        <v>0.20772946859903382</v>
      </c>
      <c r="Y8" s="29">
        <f>IF(ISBLANK('Raw counts'!D$4),"",IF(ISBLANK('Raw counts'!D8),"",('Raw counts'!D8)/('Raw counts'!D$4)))</f>
        <v>0.26666666666666666</v>
      </c>
      <c r="Z8" s="29">
        <f>IF(ISBLANK('Raw counts'!E$4),"",IF(ISBLANK('Raw counts'!E8),"",('Raw counts'!E8)/('Raw counts'!E$4)))</f>
        <v>0.2</v>
      </c>
      <c r="AA8" s="29">
        <f>IF(ISBLANK('Raw counts'!F$4),"",IF(ISBLANK('Raw counts'!F8),"",('Raw counts'!F8)/('Raw counts'!F$4)))</f>
        <v>0.14396887159533073</v>
      </c>
      <c r="AB8" s="29">
        <f>IF(ISBLANK('Raw counts'!G$4),"",IF(ISBLANK('Raw counts'!G8),"",('Raw counts'!G8)/('Raw counts'!G$4)))</f>
        <v>0.2125984251968504</v>
      </c>
      <c r="AC8" s="29">
        <f>IF(ISBLANK('Raw counts'!H$4),"",IF(ISBLANK('Raw counts'!H8),"",('Raw counts'!H8)/('Raw counts'!H$4)))</f>
        <v>0.13118811881188119</v>
      </c>
      <c r="AD8" s="29">
        <f>IF(ISBLANK('Raw counts'!I$4),"",IF(ISBLANK('Raw counts'!I8),"",('Raw counts'!I8)/('Raw counts'!I$4)))</f>
        <v>0.19607843137254902</v>
      </c>
      <c r="AE8" s="29">
        <f>IF(ISBLANK('Raw counts'!J$4),"",IF(ISBLANK('Raw counts'!J8),"",('Raw counts'!J8)/('Raw counts'!J$4)))</f>
        <v>0.2413793103448276</v>
      </c>
      <c r="AF8" s="29">
        <f>IF(ISBLANK('Raw counts'!K$4),"",IF(ISBLANK('Raw counts'!K8),"",('Raw counts'!K8)/('Raw counts'!K$4)))</f>
        <v>0.19565217391304349</v>
      </c>
      <c r="AG8" s="29">
        <f>IF(ISBLANK('Raw counts'!L$4),"",IF(ISBLANK('Raw counts'!L8),"",('Raw counts'!L8)/('Raw counts'!L$4)))</f>
        <v>0.30769230769230771</v>
      </c>
      <c r="AH8" s="29" t="str">
        <f>IF(ISBLANK('Raw counts'!M$4),"",IF(ISBLANK('Raw counts'!M8),"",('Raw counts'!M8)/('Raw counts'!M$4)))</f>
        <v/>
      </c>
      <c r="AI8" s="29" t="str">
        <f>IF(ISBLANK('Raw counts'!N$4),"",IF(ISBLANK('Raw counts'!N8),"",('Raw counts'!N8)/('Raw counts'!N$4)))</f>
        <v/>
      </c>
      <c r="AJ8" s="29" t="str">
        <f>IF(ISBLANK('Raw counts'!O$4),"",IF(ISBLANK('Raw counts'!O8),"",('Raw counts'!O8)/('Raw counts'!O$4)))</f>
        <v/>
      </c>
      <c r="AK8" s="29" t="str">
        <f>IF(ISBLANK('Raw counts'!P$4),"",IF(ISBLANK('Raw counts'!P8),"",('Raw counts'!P8)/('Raw counts'!P$4)))</f>
        <v/>
      </c>
      <c r="AL8" s="29" t="str">
        <f>IF(ISBLANK('Raw counts'!Q$4),"",IF(ISBLANK('Raw counts'!Q8),"",('Raw counts'!Q8)/('Raw counts'!Q$4)))</f>
        <v/>
      </c>
      <c r="AM8" s="29" t="str">
        <f>IF(ISBLANK('Raw counts'!R$4),"",IF(ISBLANK('Raw counts'!R8),"",('Raw counts'!R8)/('Raw counts'!R$4)))</f>
        <v/>
      </c>
      <c r="AN8" s="29" t="str">
        <f>IF(ISBLANK('Raw counts'!S$4),"",IF(ISBLANK('Raw counts'!S8),"",('Raw counts'!S8)/('Raw counts'!S$4)))</f>
        <v/>
      </c>
      <c r="AO8" s="29" t="str">
        <f>IF(ISBLANK('Raw counts'!T$4),"",IF(ISBLANK('Raw counts'!T8),"",('Raw counts'!T8)/('Raw counts'!T$4)))</f>
        <v/>
      </c>
      <c r="AP8" s="29" t="str">
        <f>IF(ISBLANK('Raw counts'!U$4),"",IF(ISBLANK('Raw counts'!U8),"",('Raw counts'!U8)/('Raw counts'!U$4)))</f>
        <v/>
      </c>
      <c r="AQ8" s="32">
        <f t="shared" si="4"/>
        <v>0.20697263163069674</v>
      </c>
      <c r="AR8" s="32">
        <f t="shared" si="5"/>
        <v>5.102563760874252E-2</v>
      </c>
    </row>
    <row r="9" spans="1:44" ht="25.5" x14ac:dyDescent="0.15">
      <c r="A9" s="18" t="str">
        <f>IF(ISBLANK('Raw counts'!A9),"",'Raw counts'!A9)</f>
        <v xml:space="preserve">Often out of stock                                                          </v>
      </c>
      <c r="B9" s="20">
        <f t="shared" si="3"/>
        <v>93.331590707298204</v>
      </c>
      <c r="C9" s="20">
        <f t="shared" si="2"/>
        <v>94.228615331323397</v>
      </c>
      <c r="D9" s="20">
        <f t="shared" si="2"/>
        <v>72.846088541285781</v>
      </c>
      <c r="E9" s="20">
        <f t="shared" si="2"/>
        <v>101.21905678191261</v>
      </c>
      <c r="F9" s="20">
        <f t="shared" si="2"/>
        <v>80.684535020213801</v>
      </c>
      <c r="G9" s="20">
        <f t="shared" si="2"/>
        <v>98.203032598853852</v>
      </c>
      <c r="H9" s="20">
        <f t="shared" si="2"/>
        <v>94.055584602348404</v>
      </c>
      <c r="I9" s="20">
        <f t="shared" si="2"/>
        <v>141.27501194515051</v>
      </c>
      <c r="J9" s="20">
        <f t="shared" si="2"/>
        <v>89.478518199584272</v>
      </c>
      <c r="K9" s="20">
        <f t="shared" si="2"/>
        <v>103.9946732402348</v>
      </c>
      <c r="L9" s="20">
        <f t="shared" si="2"/>
        <v>130.68329303179434</v>
      </c>
      <c r="M9" s="20" t="str">
        <f t="shared" si="2"/>
        <v xml:space="preserve"> </v>
      </c>
      <c r="N9" s="20" t="str">
        <f t="shared" si="2"/>
        <v xml:space="preserve"> </v>
      </c>
      <c r="O9" s="20" t="str">
        <f t="shared" si="2"/>
        <v xml:space="preserve"> </v>
      </c>
      <c r="P9" s="20" t="str">
        <f t="shared" si="2"/>
        <v xml:space="preserve"> </v>
      </c>
      <c r="Q9" s="20" t="str">
        <f t="shared" si="2"/>
        <v xml:space="preserve"> </v>
      </c>
      <c r="R9" s="20" t="str">
        <f t="shared" si="2"/>
        <v xml:space="preserve"> </v>
      </c>
      <c r="S9" s="20" t="str">
        <f t="shared" si="2"/>
        <v xml:space="preserve"> </v>
      </c>
      <c r="T9" s="20" t="str">
        <f t="shared" si="2"/>
        <v xml:space="preserve"> </v>
      </c>
      <c r="U9" s="20" t="str">
        <f t="shared" si="2"/>
        <v xml:space="preserve"> </v>
      </c>
      <c r="V9" s="35"/>
      <c r="W9" s="29">
        <f>IF(ISBLANK('Raw counts'!B$4),"",IF(ISBLANK('Raw counts'!B9),"",('Raw counts'!B9)/('Raw counts'!B$4)))</f>
        <v>0.18146718146718147</v>
      </c>
      <c r="X9" s="29">
        <f>IF(ISBLANK('Raw counts'!C$4),"",IF(ISBLANK('Raw counts'!C9),"",('Raw counts'!C9)/('Raw counts'!C$4)))</f>
        <v>0.18357487922705315</v>
      </c>
      <c r="Y9" s="29">
        <f>IF(ISBLANK('Raw counts'!D$4),"",IF(ISBLANK('Raw counts'!D9),"",('Raw counts'!D9)/('Raw counts'!D$4)))</f>
        <v>0.13333333333333333</v>
      </c>
      <c r="Z9" s="29">
        <f>IF(ISBLANK('Raw counts'!E$4),"",IF(ISBLANK('Raw counts'!E9),"",('Raw counts'!E9)/('Raw counts'!E$4)))</f>
        <v>0.2</v>
      </c>
      <c r="AA9" s="29">
        <f>IF(ISBLANK('Raw counts'!F$4),"",IF(ISBLANK('Raw counts'!F9),"",('Raw counts'!F9)/('Raw counts'!F$4)))</f>
        <v>0.1517509727626459</v>
      </c>
      <c r="AB9" s="29">
        <f>IF(ISBLANK('Raw counts'!G$4),"",IF(ISBLANK('Raw counts'!G9),"",('Raw counts'!G9)/('Raw counts'!G$4)))</f>
        <v>0.19291338582677164</v>
      </c>
      <c r="AC9" s="29">
        <f>IF(ISBLANK('Raw counts'!H$4),"",IF(ISBLANK('Raw counts'!H9),"",('Raw counts'!H9)/('Raw counts'!H$4)))</f>
        <v>0.18316831683168316</v>
      </c>
      <c r="AD9" s="29">
        <f>IF(ISBLANK('Raw counts'!I$4),"",IF(ISBLANK('Raw counts'!I9),"",('Raw counts'!I9)/('Raw counts'!I$4)))</f>
        <v>0.29411764705882354</v>
      </c>
      <c r="AE9" s="29">
        <f>IF(ISBLANK('Raw counts'!J$4),"",IF(ISBLANK('Raw counts'!J9),"",('Raw counts'!J9)/('Raw counts'!J$4)))</f>
        <v>0.17241379310344829</v>
      </c>
      <c r="AF9" s="29">
        <f>IF(ISBLANK('Raw counts'!K$4),"",IF(ISBLANK('Raw counts'!K9),"",('Raw counts'!K9)/('Raw counts'!K$4)))</f>
        <v>0.20652173913043478</v>
      </c>
      <c r="AG9" s="29">
        <f>IF(ISBLANK('Raw counts'!L$4),"",IF(ISBLANK('Raw counts'!L9),"",('Raw counts'!L9)/('Raw counts'!L$4)))</f>
        <v>0.26923076923076922</v>
      </c>
      <c r="AH9" s="29" t="str">
        <f>IF(ISBLANK('Raw counts'!M$4),"",IF(ISBLANK('Raw counts'!M9),"",('Raw counts'!M9)/('Raw counts'!M$4)))</f>
        <v/>
      </c>
      <c r="AI9" s="29" t="str">
        <f>IF(ISBLANK('Raw counts'!N$4),"",IF(ISBLANK('Raw counts'!N9),"",('Raw counts'!N9)/('Raw counts'!N$4)))</f>
        <v/>
      </c>
      <c r="AJ9" s="29" t="str">
        <f>IF(ISBLANK('Raw counts'!O$4),"",IF(ISBLANK('Raw counts'!O9),"",('Raw counts'!O9)/('Raw counts'!O$4)))</f>
        <v/>
      </c>
      <c r="AK9" s="29" t="str">
        <f>IF(ISBLANK('Raw counts'!P$4),"",IF(ISBLANK('Raw counts'!P9),"",('Raw counts'!P9)/('Raw counts'!P$4)))</f>
        <v/>
      </c>
      <c r="AL9" s="29" t="str">
        <f>IF(ISBLANK('Raw counts'!Q$4),"",IF(ISBLANK('Raw counts'!Q9),"",('Raw counts'!Q9)/('Raw counts'!Q$4)))</f>
        <v/>
      </c>
      <c r="AM9" s="29" t="str">
        <f>IF(ISBLANK('Raw counts'!R$4),"",IF(ISBLANK('Raw counts'!R9),"",('Raw counts'!R9)/('Raw counts'!R$4)))</f>
        <v/>
      </c>
      <c r="AN9" s="29" t="str">
        <f>IF(ISBLANK('Raw counts'!S$4),"",IF(ISBLANK('Raw counts'!S9),"",('Raw counts'!S9)/('Raw counts'!S$4)))</f>
        <v/>
      </c>
      <c r="AO9" s="29" t="str">
        <f>IF(ISBLANK('Raw counts'!T$4),"",IF(ISBLANK('Raw counts'!T9),"",('Raw counts'!T9)/('Raw counts'!T$4)))</f>
        <v/>
      </c>
      <c r="AP9" s="29" t="str">
        <f>IF(ISBLANK('Raw counts'!U$4),"",IF(ISBLANK('Raw counts'!U9),"",('Raw counts'!U9)/('Raw counts'!U$4)))</f>
        <v/>
      </c>
      <c r="AQ9" s="32">
        <f t="shared" si="4"/>
        <v>0.19713563799746769</v>
      </c>
      <c r="AR9" s="32">
        <f t="shared" si="5"/>
        <v>4.6993085884618611E-2</v>
      </c>
    </row>
    <row r="10" spans="1:44" ht="25.5" x14ac:dyDescent="0.15">
      <c r="A10" s="18" t="str">
        <f>IF(ISBLANK('Raw counts'!A10),"",'Raw counts'!A10)</f>
        <v xml:space="preserve">Hard to find the brand in the store                                         </v>
      </c>
      <c r="B10" s="20">
        <f t="shared" si="3"/>
        <v>79.604712478988844</v>
      </c>
      <c r="C10" s="20">
        <f t="shared" si="2"/>
        <v>105.33553342609153</v>
      </c>
      <c r="D10" s="20">
        <f t="shared" si="2"/>
        <v>116.82107061598663</v>
      </c>
      <c r="E10" s="20">
        <f t="shared" si="2"/>
        <v>109.44895837317024</v>
      </c>
      <c r="F10" s="20">
        <f t="shared" si="2"/>
        <v>80.319075172469681</v>
      </c>
      <c r="G10" s="20">
        <f t="shared" si="2"/>
        <v>109.7101749487031</v>
      </c>
      <c r="H10" s="20">
        <f t="shared" si="2"/>
        <v>76.767143950189677</v>
      </c>
      <c r="I10" s="20">
        <f t="shared" si="2"/>
        <v>74.539838635127936</v>
      </c>
      <c r="J10" s="20">
        <f t="shared" si="2"/>
        <v>121.26975903837582</v>
      </c>
      <c r="K10" s="20">
        <f t="shared" si="2"/>
        <v>132.04608503049872</v>
      </c>
      <c r="L10" s="20">
        <f t="shared" si="2"/>
        <v>94.137648330397752</v>
      </c>
      <c r="M10" s="20" t="str">
        <f t="shared" si="2"/>
        <v xml:space="preserve"> </v>
      </c>
      <c r="N10" s="20" t="str">
        <f t="shared" si="2"/>
        <v xml:space="preserve"> </v>
      </c>
      <c r="O10" s="20" t="str">
        <f t="shared" si="2"/>
        <v xml:space="preserve"> </v>
      </c>
      <c r="P10" s="20" t="str">
        <f t="shared" si="2"/>
        <v xml:space="preserve"> </v>
      </c>
      <c r="Q10" s="20" t="str">
        <f t="shared" si="2"/>
        <v xml:space="preserve"> </v>
      </c>
      <c r="R10" s="20" t="str">
        <f t="shared" si="2"/>
        <v xml:space="preserve"> </v>
      </c>
      <c r="S10" s="20" t="str">
        <f t="shared" si="2"/>
        <v xml:space="preserve"> </v>
      </c>
      <c r="T10" s="20" t="str">
        <f t="shared" si="2"/>
        <v xml:space="preserve"> </v>
      </c>
      <c r="U10" s="20" t="str">
        <f t="shared" si="2"/>
        <v xml:space="preserve"> </v>
      </c>
      <c r="V10" s="35"/>
      <c r="W10" s="29">
        <f>IF(ISBLANK('Raw counts'!B$4),"",IF(ISBLANK('Raw counts'!B10),"",('Raw counts'!B10)/('Raw counts'!B$4)))</f>
        <v>0.16602316602316602</v>
      </c>
      <c r="X10" s="29">
        <f>IF(ISBLANK('Raw counts'!C$4),"",IF(ISBLANK('Raw counts'!C10),"",('Raw counts'!C10)/('Raw counts'!C$4)))</f>
        <v>0.21256038647342995</v>
      </c>
      <c r="Y10" s="29">
        <f>IF(ISBLANK('Raw counts'!D$4),"",IF(ISBLANK('Raw counts'!D10),"",('Raw counts'!D10)/('Raw counts'!D$4)))</f>
        <v>0.23333333333333334</v>
      </c>
      <c r="Z10" s="29">
        <f>IF(ISBLANK('Raw counts'!E$4),"",IF(ISBLANK('Raw counts'!E10),"",('Raw counts'!E10)/('Raw counts'!E$4)))</f>
        <v>0.22</v>
      </c>
      <c r="AA10" s="29">
        <f>IF(ISBLANK('Raw counts'!F$4),"",IF(ISBLANK('Raw counts'!F10),"",('Raw counts'!F10)/('Raw counts'!F$4)))</f>
        <v>0.16731517509727625</v>
      </c>
      <c r="AB10" s="29">
        <f>IF(ISBLANK('Raw counts'!G$4),"",IF(ISBLANK('Raw counts'!G10),"",('Raw counts'!G10)/('Raw counts'!G$4)))</f>
        <v>0.22047244094488189</v>
      </c>
      <c r="AC10" s="29">
        <f>IF(ISBLANK('Raw counts'!H$4),"",IF(ISBLANK('Raw counts'!H10),"",('Raw counts'!H10)/('Raw counts'!H$4)))</f>
        <v>0.1608910891089109</v>
      </c>
      <c r="AD10" s="29">
        <f>IF(ISBLANK('Raw counts'!I$4),"",IF(ISBLANK('Raw counts'!I10),"",('Raw counts'!I10)/('Raw counts'!I$4)))</f>
        <v>0.15686274509803921</v>
      </c>
      <c r="AE10" s="29">
        <f>IF(ISBLANK('Raw counts'!J$4),"",IF(ISBLANK('Raw counts'!J10),"",('Raw counts'!J10)/('Raw counts'!J$4)))</f>
        <v>0.2413793103448276</v>
      </c>
      <c r="AF10" s="29">
        <f>IF(ISBLANK('Raw counts'!K$4),"",IF(ISBLANK('Raw counts'!K10),"",('Raw counts'!K10)/('Raw counts'!K$4)))</f>
        <v>0.2608695652173913</v>
      </c>
      <c r="AG10" s="29">
        <f>IF(ISBLANK('Raw counts'!L$4),"",IF(ISBLANK('Raw counts'!L10),"",('Raw counts'!L10)/('Raw counts'!L$4)))</f>
        <v>0.19230769230769232</v>
      </c>
      <c r="AH10" s="29" t="str">
        <f>IF(ISBLANK('Raw counts'!M$4),"",IF(ISBLANK('Raw counts'!M10),"",('Raw counts'!M10)/('Raw counts'!M$4)))</f>
        <v/>
      </c>
      <c r="AI10" s="29" t="str">
        <f>IF(ISBLANK('Raw counts'!N$4),"",IF(ISBLANK('Raw counts'!N10),"",('Raw counts'!N10)/('Raw counts'!N$4)))</f>
        <v/>
      </c>
      <c r="AJ10" s="29" t="str">
        <f>IF(ISBLANK('Raw counts'!O$4),"",IF(ISBLANK('Raw counts'!O10),"",('Raw counts'!O10)/('Raw counts'!O$4)))</f>
        <v/>
      </c>
      <c r="AK10" s="29" t="str">
        <f>IF(ISBLANK('Raw counts'!P$4),"",IF(ISBLANK('Raw counts'!P10),"",('Raw counts'!P10)/('Raw counts'!P$4)))</f>
        <v/>
      </c>
      <c r="AL10" s="29" t="str">
        <f>IF(ISBLANK('Raw counts'!Q$4),"",IF(ISBLANK('Raw counts'!Q10),"",('Raw counts'!Q10)/('Raw counts'!Q$4)))</f>
        <v/>
      </c>
      <c r="AM10" s="29" t="str">
        <f>IF(ISBLANK('Raw counts'!R$4),"",IF(ISBLANK('Raw counts'!R10),"",('Raw counts'!R10)/('Raw counts'!R$4)))</f>
        <v/>
      </c>
      <c r="AN10" s="29" t="str">
        <f>IF(ISBLANK('Raw counts'!S$4),"",IF(ISBLANK('Raw counts'!S10),"",('Raw counts'!S10)/('Raw counts'!S$4)))</f>
        <v/>
      </c>
      <c r="AO10" s="29" t="str">
        <f>IF(ISBLANK('Raw counts'!T$4),"",IF(ISBLANK('Raw counts'!T10),"",('Raw counts'!T10)/('Raw counts'!T$4)))</f>
        <v/>
      </c>
      <c r="AP10" s="29" t="str">
        <f>IF(ISBLANK('Raw counts'!U$4),"",IF(ISBLANK('Raw counts'!U10),"",('Raw counts'!U10)/('Raw counts'!U$4)))</f>
        <v/>
      </c>
      <c r="AQ10" s="32">
        <f t="shared" si="4"/>
        <v>0.20291044581354081</v>
      </c>
      <c r="AR10" s="32">
        <f t="shared" si="5"/>
        <v>3.6172355748722476E-2</v>
      </c>
    </row>
    <row r="11" spans="1:44" ht="25.5" x14ac:dyDescent="0.15">
      <c r="A11" s="18" t="str">
        <f>IF(ISBLANK('Raw counts'!A11),"",'Raw counts'!A11)</f>
        <v xml:space="preserve">Hard to find the brand online                                               </v>
      </c>
      <c r="B11" s="20">
        <f t="shared" si="3"/>
        <v>96.149772132183926</v>
      </c>
      <c r="C11" s="20">
        <f t="shared" si="2"/>
        <v>112.74258608899331</v>
      </c>
      <c r="D11" s="20">
        <f t="shared" si="2"/>
        <v>115.95484147646746</v>
      </c>
      <c r="E11" s="20">
        <f t="shared" si="2"/>
        <v>77.958449178916084</v>
      </c>
      <c r="F11" s="20">
        <f t="shared" si="2"/>
        <v>61.621478949813273</v>
      </c>
      <c r="G11" s="20">
        <f t="shared" si="2"/>
        <v>95.759908562414566</v>
      </c>
      <c r="H11" s="20">
        <f t="shared" si="2"/>
        <v>91.501717720617563</v>
      </c>
      <c r="I11" s="20">
        <f t="shared" si="2"/>
        <v>104.77943197718764</v>
      </c>
      <c r="J11" s="20">
        <f t="shared" si="2"/>
        <v>135.60814783726988</v>
      </c>
      <c r="K11" s="20">
        <f t="shared" si="2"/>
        <v>113.88982015594836</v>
      </c>
      <c r="L11" s="20">
        <f t="shared" si="2"/>
        <v>94.033845920187829</v>
      </c>
      <c r="M11" s="20" t="str">
        <f t="shared" si="2"/>
        <v xml:space="preserve"> </v>
      </c>
      <c r="N11" s="20" t="str">
        <f t="shared" si="2"/>
        <v xml:space="preserve"> </v>
      </c>
      <c r="O11" s="20" t="str">
        <f t="shared" si="2"/>
        <v xml:space="preserve"> </v>
      </c>
      <c r="P11" s="20" t="str">
        <f t="shared" si="2"/>
        <v xml:space="preserve"> </v>
      </c>
      <c r="Q11" s="20" t="str">
        <f t="shared" si="2"/>
        <v xml:space="preserve"> </v>
      </c>
      <c r="R11" s="20" t="str">
        <f t="shared" si="2"/>
        <v xml:space="preserve"> </v>
      </c>
      <c r="S11" s="20" t="str">
        <f t="shared" si="2"/>
        <v xml:space="preserve"> </v>
      </c>
      <c r="T11" s="20" t="str">
        <f t="shared" si="2"/>
        <v xml:space="preserve"> </v>
      </c>
      <c r="U11" s="20" t="str">
        <f t="shared" si="2"/>
        <v xml:space="preserve"> </v>
      </c>
      <c r="V11" s="35"/>
      <c r="W11" s="29">
        <f>IF(ISBLANK('Raw counts'!B$4),"",IF(ISBLANK('Raw counts'!B11),"",('Raw counts'!B11)/('Raw counts'!B$4)))</f>
        <v>0.15830115830115829</v>
      </c>
      <c r="X11" s="29">
        <f>IF(ISBLANK('Raw counts'!C$4),"",IF(ISBLANK('Raw counts'!C11),"",('Raw counts'!C11)/('Raw counts'!C$4)))</f>
        <v>0.19323671497584541</v>
      </c>
      <c r="Y11" s="29">
        <f>IF(ISBLANK('Raw counts'!D$4),"",IF(ISBLANK('Raw counts'!D11),"",('Raw counts'!D11)/('Raw counts'!D$4)))</f>
        <v>0.2</v>
      </c>
      <c r="Z11" s="29">
        <f>IF(ISBLANK('Raw counts'!E$4),"",IF(ISBLANK('Raw counts'!E11),"",('Raw counts'!E11)/('Raw counts'!E$4)))</f>
        <v>0.12</v>
      </c>
      <c r="AA11" s="29">
        <f>IF(ISBLANK('Raw counts'!F$4),"",IF(ISBLANK('Raw counts'!F11),"",('Raw counts'!F11)/('Raw counts'!F$4)))</f>
        <v>8.5603112840466927E-2</v>
      </c>
      <c r="AB11" s="29">
        <f>IF(ISBLANK('Raw counts'!G$4),"",IF(ISBLANK('Raw counts'!G11),"",('Raw counts'!G11)/('Raw counts'!G$4)))</f>
        <v>0.15748031496062992</v>
      </c>
      <c r="AC11" s="29">
        <f>IF(ISBLANK('Raw counts'!H$4),"",IF(ISBLANK('Raw counts'!H11),"",('Raw counts'!H11)/('Raw counts'!H$4)))</f>
        <v>0.14851485148514851</v>
      </c>
      <c r="AD11" s="29">
        <f>IF(ISBLANK('Raw counts'!I$4),"",IF(ISBLANK('Raw counts'!I11),"",('Raw counts'!I11)/('Raw counts'!I$4)))</f>
        <v>0.17647058823529413</v>
      </c>
      <c r="AE11" s="29">
        <f>IF(ISBLANK('Raw counts'!J$4),"",IF(ISBLANK('Raw counts'!J11),"",('Raw counts'!J11)/('Raw counts'!J$4)))</f>
        <v>0.2413793103448276</v>
      </c>
      <c r="AF11" s="29">
        <f>IF(ISBLANK('Raw counts'!K$4),"",IF(ISBLANK('Raw counts'!K11),"",('Raw counts'!K11)/('Raw counts'!K$4)))</f>
        <v>0.19565217391304349</v>
      </c>
      <c r="AG11" s="29">
        <f>IF(ISBLANK('Raw counts'!L$4),"",IF(ISBLANK('Raw counts'!L11),"",('Raw counts'!L11)/('Raw counts'!L$4)))</f>
        <v>0.15384615384615385</v>
      </c>
      <c r="AH11" s="29" t="str">
        <f>IF(ISBLANK('Raw counts'!M$4),"",IF(ISBLANK('Raw counts'!M11),"",('Raw counts'!M11)/('Raw counts'!M$4)))</f>
        <v/>
      </c>
      <c r="AI11" s="29" t="str">
        <f>IF(ISBLANK('Raw counts'!N$4),"",IF(ISBLANK('Raw counts'!N11),"",('Raw counts'!N11)/('Raw counts'!N$4)))</f>
        <v/>
      </c>
      <c r="AJ11" s="29" t="str">
        <f>IF(ISBLANK('Raw counts'!O$4),"",IF(ISBLANK('Raw counts'!O11),"",('Raw counts'!O11)/('Raw counts'!O$4)))</f>
        <v/>
      </c>
      <c r="AK11" s="29" t="str">
        <f>IF(ISBLANK('Raw counts'!P$4),"",IF(ISBLANK('Raw counts'!P11),"",('Raw counts'!P11)/('Raw counts'!P$4)))</f>
        <v/>
      </c>
      <c r="AL11" s="29" t="str">
        <f>IF(ISBLANK('Raw counts'!Q$4),"",IF(ISBLANK('Raw counts'!Q11),"",('Raw counts'!Q11)/('Raw counts'!Q$4)))</f>
        <v/>
      </c>
      <c r="AM11" s="29" t="str">
        <f>IF(ISBLANK('Raw counts'!R$4),"",IF(ISBLANK('Raw counts'!R11),"",('Raw counts'!R11)/('Raw counts'!R$4)))</f>
        <v/>
      </c>
      <c r="AN11" s="29" t="str">
        <f>IF(ISBLANK('Raw counts'!S$4),"",IF(ISBLANK('Raw counts'!S11),"",('Raw counts'!S11)/('Raw counts'!S$4)))</f>
        <v/>
      </c>
      <c r="AO11" s="29" t="str">
        <f>IF(ISBLANK('Raw counts'!T$4),"",IF(ISBLANK('Raw counts'!T11),"",('Raw counts'!T11)/('Raw counts'!T$4)))</f>
        <v/>
      </c>
      <c r="AP11" s="29" t="str">
        <f>IF(ISBLANK('Raw counts'!U$4),"",IF(ISBLANK('Raw counts'!U11),"",('Raw counts'!U11)/('Raw counts'!U$4)))</f>
        <v/>
      </c>
      <c r="AQ11" s="32">
        <f t="shared" si="4"/>
        <v>0.16640767080932439</v>
      </c>
      <c r="AR11" s="32">
        <f t="shared" si="5"/>
        <v>4.2109260991683953E-2</v>
      </c>
    </row>
    <row r="12" spans="1:44" ht="25.5" x14ac:dyDescent="0.15">
      <c r="A12" s="18" t="str">
        <f>IF(ISBLANK('Raw counts'!A12),"",'Raw counts'!A12)</f>
        <v xml:space="preserve">Difficult to determine which product is right for me                        </v>
      </c>
      <c r="B12" s="20">
        <f t="shared" si="3"/>
        <v>92.590067211907439</v>
      </c>
      <c r="C12" s="20">
        <f t="shared" si="2"/>
        <v>96.995107807111836</v>
      </c>
      <c r="D12" s="20">
        <f t="shared" si="2"/>
        <v>60.935399846679502</v>
      </c>
      <c r="E12" s="20">
        <f t="shared" si="2"/>
        <v>109.88201983231552</v>
      </c>
      <c r="F12" s="20">
        <f t="shared" si="2"/>
        <v>104.26363349155186</v>
      </c>
      <c r="G12" s="20">
        <f t="shared" si="2"/>
        <v>106.86300258910701</v>
      </c>
      <c r="H12" s="20">
        <f t="shared" si="2"/>
        <v>79.714424841168565</v>
      </c>
      <c r="I12" s="20">
        <f t="shared" si="2"/>
        <v>84.129059643794605</v>
      </c>
      <c r="J12" s="20">
        <f t="shared" si="2"/>
        <v>132.66751534287022</v>
      </c>
      <c r="K12" s="20">
        <f t="shared" si="2"/>
        <v>117.68510417785171</v>
      </c>
      <c r="L12" s="20">
        <f t="shared" si="2"/>
        <v>114.27466521564185</v>
      </c>
      <c r="M12" s="20" t="str">
        <f t="shared" si="2"/>
        <v xml:space="preserve"> </v>
      </c>
      <c r="N12" s="20" t="str">
        <f t="shared" si="2"/>
        <v xml:space="preserve"> </v>
      </c>
      <c r="O12" s="20" t="str">
        <f t="shared" si="2"/>
        <v xml:space="preserve"> </v>
      </c>
      <c r="P12" s="20" t="str">
        <f t="shared" si="2"/>
        <v xml:space="preserve"> </v>
      </c>
      <c r="Q12" s="20" t="str">
        <f t="shared" si="2"/>
        <v xml:space="preserve"> </v>
      </c>
      <c r="R12" s="20" t="str">
        <f t="shared" si="2"/>
        <v xml:space="preserve"> </v>
      </c>
      <c r="S12" s="20" t="str">
        <f t="shared" si="2"/>
        <v xml:space="preserve"> </v>
      </c>
      <c r="T12" s="20" t="str">
        <f t="shared" si="2"/>
        <v xml:space="preserve"> </v>
      </c>
      <c r="U12" s="20" t="str">
        <f t="shared" si="2"/>
        <v xml:space="preserve"> </v>
      </c>
      <c r="V12" s="35"/>
      <c r="W12" s="29">
        <f>IF(ISBLANK('Raw counts'!B$4),"",IF(ISBLANK('Raw counts'!B12),"",('Raw counts'!B12)/('Raw counts'!B$4)))</f>
        <v>0.17760617760617761</v>
      </c>
      <c r="X12" s="29">
        <f>IF(ISBLANK('Raw counts'!C$4),"",IF(ISBLANK('Raw counts'!C12),"",('Raw counts'!C12)/('Raw counts'!C$4)))</f>
        <v>0.18840579710144928</v>
      </c>
      <c r="Y12" s="29">
        <f>IF(ISBLANK('Raw counts'!D$4),"",IF(ISBLANK('Raw counts'!D12),"",('Raw counts'!D12)/('Raw counts'!D$4)))</f>
        <v>0.1</v>
      </c>
      <c r="Z12" s="29">
        <f>IF(ISBLANK('Raw counts'!E$4),"",IF(ISBLANK('Raw counts'!E12),"",('Raw counts'!E12)/('Raw counts'!E$4)))</f>
        <v>0.22</v>
      </c>
      <c r="AA12" s="29">
        <f>IF(ISBLANK('Raw counts'!F$4),"",IF(ISBLANK('Raw counts'!F12),"",('Raw counts'!F12)/('Raw counts'!F$4)))</f>
        <v>0.20622568093385213</v>
      </c>
      <c r="AB12" s="29">
        <f>IF(ISBLANK('Raw counts'!G$4),"",IF(ISBLANK('Raw counts'!G12),"",('Raw counts'!G12)/('Raw counts'!G$4)))</f>
        <v>0.2125984251968504</v>
      </c>
      <c r="AC12" s="29">
        <f>IF(ISBLANK('Raw counts'!H$4),"",IF(ISBLANK('Raw counts'!H12),"",('Raw counts'!H12)/('Raw counts'!H$4)))</f>
        <v>0.14603960396039603</v>
      </c>
      <c r="AD12" s="29">
        <f>IF(ISBLANK('Raw counts'!I$4),"",IF(ISBLANK('Raw counts'!I12),"",('Raw counts'!I12)/('Raw counts'!I$4)))</f>
        <v>0.15686274509803921</v>
      </c>
      <c r="AE12" s="29">
        <f>IF(ISBLANK('Raw counts'!J$4),"",IF(ISBLANK('Raw counts'!J12),"",('Raw counts'!J12)/('Raw counts'!J$4)))</f>
        <v>0.27586206896551724</v>
      </c>
      <c r="AF12" s="29">
        <f>IF(ISBLANK('Raw counts'!K$4),"",IF(ISBLANK('Raw counts'!K12),"",('Raw counts'!K12)/('Raw counts'!K$4)))</f>
        <v>0.2391304347826087</v>
      </c>
      <c r="AG12" s="29">
        <f>IF(ISBLANK('Raw counts'!L$4),"",IF(ISBLANK('Raw counts'!L12),"",('Raw counts'!L12)/('Raw counts'!L$4)))</f>
        <v>0.23076923076923078</v>
      </c>
      <c r="AH12" s="29" t="str">
        <f>IF(ISBLANK('Raw counts'!M$4),"",IF(ISBLANK('Raw counts'!M12),"",('Raw counts'!M12)/('Raw counts'!M$4)))</f>
        <v/>
      </c>
      <c r="AI12" s="29" t="str">
        <f>IF(ISBLANK('Raw counts'!N$4),"",IF(ISBLANK('Raw counts'!N12),"",('Raw counts'!N12)/('Raw counts'!N$4)))</f>
        <v/>
      </c>
      <c r="AJ12" s="29" t="str">
        <f>IF(ISBLANK('Raw counts'!O$4),"",IF(ISBLANK('Raw counts'!O12),"",('Raw counts'!O12)/('Raw counts'!O$4)))</f>
        <v/>
      </c>
      <c r="AK12" s="29" t="str">
        <f>IF(ISBLANK('Raw counts'!P$4),"",IF(ISBLANK('Raw counts'!P12),"",('Raw counts'!P12)/('Raw counts'!P$4)))</f>
        <v/>
      </c>
      <c r="AL12" s="29" t="str">
        <f>IF(ISBLANK('Raw counts'!Q$4),"",IF(ISBLANK('Raw counts'!Q12),"",('Raw counts'!Q12)/('Raw counts'!Q$4)))</f>
        <v/>
      </c>
      <c r="AM12" s="29" t="str">
        <f>IF(ISBLANK('Raw counts'!R$4),"",IF(ISBLANK('Raw counts'!R12),"",('Raw counts'!R12)/('Raw counts'!R$4)))</f>
        <v/>
      </c>
      <c r="AN12" s="29" t="str">
        <f>IF(ISBLANK('Raw counts'!S$4),"",IF(ISBLANK('Raw counts'!S12),"",('Raw counts'!S12)/('Raw counts'!S$4)))</f>
        <v/>
      </c>
      <c r="AO12" s="29" t="str">
        <f>IF(ISBLANK('Raw counts'!T$4),"",IF(ISBLANK('Raw counts'!T12),"",('Raw counts'!T12)/('Raw counts'!T$4)))</f>
        <v/>
      </c>
      <c r="AP12" s="29" t="str">
        <f>IF(ISBLANK('Raw counts'!U$4),"",IF(ISBLANK('Raw counts'!U12),"",('Raw counts'!U12)/('Raw counts'!U$4)))</f>
        <v/>
      </c>
      <c r="AQ12" s="32">
        <f t="shared" si="4"/>
        <v>0.19577274221946556</v>
      </c>
      <c r="AR12" s="32">
        <f t="shared" si="5"/>
        <v>4.9033007809411742E-2</v>
      </c>
    </row>
    <row r="13" spans="1:44" ht="25.5" x14ac:dyDescent="0.15">
      <c r="A13" s="18" t="str">
        <f>IF(ISBLANK('Raw counts'!A13),"",'Raw counts'!A13)</f>
        <v xml:space="preserve">Costs more than other brands                                                </v>
      </c>
      <c r="B13" s="20">
        <f t="shared" si="3"/>
        <v>119.04429076432436</v>
      </c>
      <c r="C13" s="20">
        <f t="shared" si="2"/>
        <v>92.888552188151976</v>
      </c>
      <c r="D13" s="20">
        <f t="shared" si="2"/>
        <v>99.953563218932743</v>
      </c>
      <c r="E13" s="20">
        <f t="shared" si="2"/>
        <v>80.454132773977804</v>
      </c>
      <c r="F13" s="20">
        <f t="shared" si="2"/>
        <v>95.346971813092921</v>
      </c>
      <c r="G13" s="20">
        <f t="shared" si="2"/>
        <v>122.43603364196852</v>
      </c>
      <c r="H13" s="20">
        <f t="shared" si="2"/>
        <v>143.04813191800218</v>
      </c>
      <c r="I13" s="20">
        <f t="shared" si="2"/>
        <v>79.470968213727986</v>
      </c>
      <c r="J13" s="20">
        <f t="shared" si="2"/>
        <v>87.946524767605808</v>
      </c>
      <c r="K13" s="20">
        <f t="shared" si="2"/>
        <v>84.814253867259652</v>
      </c>
      <c r="L13" s="20">
        <f t="shared" si="2"/>
        <v>94.596576832956117</v>
      </c>
      <c r="M13" s="20" t="str">
        <f t="shared" si="2"/>
        <v xml:space="preserve"> </v>
      </c>
      <c r="N13" s="20" t="str">
        <f t="shared" si="2"/>
        <v xml:space="preserve"> </v>
      </c>
      <c r="O13" s="20" t="str">
        <f t="shared" si="2"/>
        <v xml:space="preserve"> </v>
      </c>
      <c r="P13" s="20" t="str">
        <f t="shared" si="2"/>
        <v xml:space="preserve"> </v>
      </c>
      <c r="Q13" s="20" t="str">
        <f t="shared" si="2"/>
        <v xml:space="preserve"> </v>
      </c>
      <c r="R13" s="20" t="str">
        <f t="shared" si="2"/>
        <v xml:space="preserve"> </v>
      </c>
      <c r="S13" s="20" t="str">
        <f t="shared" si="2"/>
        <v xml:space="preserve"> </v>
      </c>
      <c r="T13" s="20" t="str">
        <f t="shared" si="2"/>
        <v xml:space="preserve"> </v>
      </c>
      <c r="U13" s="20" t="str">
        <f t="shared" si="2"/>
        <v xml:space="preserve"> </v>
      </c>
      <c r="V13" s="35"/>
      <c r="W13" s="29">
        <f>IF(ISBLANK('Raw counts'!B$4),"",IF(ISBLANK('Raw counts'!B13),"",('Raw counts'!B13)/('Raw counts'!B$4)))</f>
        <v>0.21235521235521235</v>
      </c>
      <c r="X13" s="29">
        <f>IF(ISBLANK('Raw counts'!C$4),"",IF(ISBLANK('Raw counts'!C13),"",('Raw counts'!C13)/('Raw counts'!C$4)))</f>
        <v>0.14975845410628019</v>
      </c>
      <c r="Y13" s="29">
        <f>IF(ISBLANK('Raw counts'!D$4),"",IF(ISBLANK('Raw counts'!D13),"",('Raw counts'!D13)/('Raw counts'!D$4)))</f>
        <v>0.16666666666666666</v>
      </c>
      <c r="Z13" s="29">
        <f>IF(ISBLANK('Raw counts'!E$4),"",IF(ISBLANK('Raw counts'!E13),"",('Raw counts'!E13)/('Raw counts'!E$4)))</f>
        <v>0.12</v>
      </c>
      <c r="AA13" s="29">
        <f>IF(ISBLANK('Raw counts'!F$4),"",IF(ISBLANK('Raw counts'!F13),"",('Raw counts'!F13)/('Raw counts'!F$4)))</f>
        <v>0.1556420233463035</v>
      </c>
      <c r="AB13" s="29">
        <f>IF(ISBLANK('Raw counts'!G$4),"",IF(ISBLANK('Raw counts'!G13),"",('Raw counts'!G13)/('Raw counts'!G$4)))</f>
        <v>0.22047244094488189</v>
      </c>
      <c r="AC13" s="29">
        <f>IF(ISBLANK('Raw counts'!H$4),"",IF(ISBLANK('Raw counts'!H13),"",('Raw counts'!H13)/('Raw counts'!H$4)))</f>
        <v>0.26980198019801982</v>
      </c>
      <c r="AD13" s="29">
        <f>IF(ISBLANK('Raw counts'!I$4),"",IF(ISBLANK('Raw counts'!I13),"",('Raw counts'!I13)/('Raw counts'!I$4)))</f>
        <v>0.11764705882352941</v>
      </c>
      <c r="AE13" s="29">
        <f>IF(ISBLANK('Raw counts'!J$4),"",IF(ISBLANK('Raw counts'!J13),"",('Raw counts'!J13)/('Raw counts'!J$4)))</f>
        <v>0.13793103448275862</v>
      </c>
      <c r="AF13" s="29">
        <f>IF(ISBLANK('Raw counts'!K$4),"",IF(ISBLANK('Raw counts'!K13),"",('Raw counts'!K13)/('Raw counts'!K$4)))</f>
        <v>0.13043478260869565</v>
      </c>
      <c r="AG13" s="29">
        <f>IF(ISBLANK('Raw counts'!L$4),"",IF(ISBLANK('Raw counts'!L13),"",('Raw counts'!L13)/('Raw counts'!L$4)))</f>
        <v>0.15384615384615385</v>
      </c>
      <c r="AH13" s="29" t="str">
        <f>IF(ISBLANK('Raw counts'!M$4),"",IF(ISBLANK('Raw counts'!M13),"",('Raw counts'!M13)/('Raw counts'!M$4)))</f>
        <v/>
      </c>
      <c r="AI13" s="29" t="str">
        <f>IF(ISBLANK('Raw counts'!N$4),"",IF(ISBLANK('Raw counts'!N13),"",('Raw counts'!N13)/('Raw counts'!N$4)))</f>
        <v/>
      </c>
      <c r="AJ13" s="29" t="str">
        <f>IF(ISBLANK('Raw counts'!O$4),"",IF(ISBLANK('Raw counts'!O13),"",('Raw counts'!O13)/('Raw counts'!O$4)))</f>
        <v/>
      </c>
      <c r="AK13" s="29" t="str">
        <f>IF(ISBLANK('Raw counts'!P$4),"",IF(ISBLANK('Raw counts'!P13),"",('Raw counts'!P13)/('Raw counts'!P$4)))</f>
        <v/>
      </c>
      <c r="AL13" s="29" t="str">
        <f>IF(ISBLANK('Raw counts'!Q$4),"",IF(ISBLANK('Raw counts'!Q13),"",('Raw counts'!Q13)/('Raw counts'!Q$4)))</f>
        <v/>
      </c>
      <c r="AM13" s="29" t="str">
        <f>IF(ISBLANK('Raw counts'!R$4),"",IF(ISBLANK('Raw counts'!R13),"",('Raw counts'!R13)/('Raw counts'!R$4)))</f>
        <v/>
      </c>
      <c r="AN13" s="29" t="str">
        <f>IF(ISBLANK('Raw counts'!S$4),"",IF(ISBLANK('Raw counts'!S13),"",('Raw counts'!S13)/('Raw counts'!S$4)))</f>
        <v/>
      </c>
      <c r="AO13" s="29" t="str">
        <f>IF(ISBLANK('Raw counts'!T$4),"",IF(ISBLANK('Raw counts'!T13),"",('Raw counts'!T13)/('Raw counts'!T$4)))</f>
        <v/>
      </c>
      <c r="AP13" s="29" t="str">
        <f>IF(ISBLANK('Raw counts'!U$4),"",IF(ISBLANK('Raw counts'!U13),"",('Raw counts'!U13)/('Raw counts'!U$4)))</f>
        <v/>
      </c>
      <c r="AQ13" s="32">
        <f t="shared" si="4"/>
        <v>0.16677780067077289</v>
      </c>
      <c r="AR13" s="32">
        <f t="shared" si="5"/>
        <v>4.7864645891481074E-2</v>
      </c>
    </row>
    <row r="14" spans="1:44" ht="25.5" x14ac:dyDescent="0.15">
      <c r="A14" s="18" t="str">
        <f>IF(ISBLANK('Raw counts'!A14),"",'Raw counts'!A14)</f>
        <v xml:space="preserve">Costs more than I'm willing to pay                                          </v>
      </c>
      <c r="B14" s="20">
        <f t="shared" si="3"/>
        <v>98.184569030471351</v>
      </c>
      <c r="C14" s="20">
        <f t="shared" si="2"/>
        <v>99.102142536863923</v>
      </c>
      <c r="D14" s="20">
        <f t="shared" si="2"/>
        <v>118.37510264339149</v>
      </c>
      <c r="E14" s="20">
        <f t="shared" si="2"/>
        <v>72.380835441798652</v>
      </c>
      <c r="F14" s="20">
        <f t="shared" si="2"/>
        <v>100.90646284173764</v>
      </c>
      <c r="G14" s="20">
        <f t="shared" si="2"/>
        <v>96.802988276331504</v>
      </c>
      <c r="H14" s="20">
        <f t="shared" si="2"/>
        <v>100.35754639997802</v>
      </c>
      <c r="I14" s="20">
        <f t="shared" si="2"/>
        <v>60.147066160556562</v>
      </c>
      <c r="J14" s="20">
        <f t="shared" si="2"/>
        <v>120.78859492533414</v>
      </c>
      <c r="K14" s="20">
        <f t="shared" si="2"/>
        <v>103.81170045763193</v>
      </c>
      <c r="L14" s="20">
        <f t="shared" si="2"/>
        <v>129.14299128590486</v>
      </c>
      <c r="M14" s="20" t="str">
        <f t="shared" si="2"/>
        <v xml:space="preserve"> </v>
      </c>
      <c r="N14" s="20" t="str">
        <f t="shared" si="2"/>
        <v xml:space="preserve"> </v>
      </c>
      <c r="O14" s="20" t="str">
        <f t="shared" si="2"/>
        <v xml:space="preserve"> </v>
      </c>
      <c r="P14" s="20" t="str">
        <f t="shared" si="2"/>
        <v xml:space="preserve"> </v>
      </c>
      <c r="Q14" s="20" t="str">
        <f t="shared" si="2"/>
        <v xml:space="preserve"> </v>
      </c>
      <c r="R14" s="20" t="str">
        <f t="shared" si="2"/>
        <v xml:space="preserve"> </v>
      </c>
      <c r="S14" s="20" t="str">
        <f t="shared" si="2"/>
        <v xml:space="preserve"> </v>
      </c>
      <c r="T14" s="20" t="str">
        <f t="shared" si="2"/>
        <v xml:space="preserve"> </v>
      </c>
      <c r="U14" s="20" t="str">
        <f t="shared" si="2"/>
        <v xml:space="preserve"> </v>
      </c>
      <c r="V14" s="35"/>
      <c r="W14" s="29">
        <f>IF(ISBLANK('Raw counts'!B$4),"",IF(ISBLANK('Raw counts'!B14),"",('Raw counts'!B14)/('Raw counts'!B$4)))</f>
        <v>0.16602316602316602</v>
      </c>
      <c r="X14" s="29">
        <f>IF(ISBLANK('Raw counts'!C$4),"",IF(ISBLANK('Raw counts'!C14),"",('Raw counts'!C14)/('Raw counts'!C$4)))</f>
        <v>0.16908212560386474</v>
      </c>
      <c r="Y14" s="29">
        <f>IF(ISBLANK('Raw counts'!D$4),"",IF(ISBLANK('Raw counts'!D14),"",('Raw counts'!D14)/('Raw counts'!D$4)))</f>
        <v>0.23333333333333334</v>
      </c>
      <c r="Z14" s="29">
        <f>IF(ISBLANK('Raw counts'!E$4),"",IF(ISBLANK('Raw counts'!E14),"",('Raw counts'!E14)/('Raw counts'!E$4)))</f>
        <v>0.08</v>
      </c>
      <c r="AA14" s="29">
        <f>IF(ISBLANK('Raw counts'!F$4),"",IF(ISBLANK('Raw counts'!F14),"",('Raw counts'!F14)/('Raw counts'!F$4)))</f>
        <v>0.17509727626459143</v>
      </c>
      <c r="AB14" s="29">
        <f>IF(ISBLANK('Raw counts'!G$4),"",IF(ISBLANK('Raw counts'!G14),"",('Raw counts'!G14)/('Raw counts'!G$4)))</f>
        <v>0.16141732283464566</v>
      </c>
      <c r="AC14" s="29">
        <f>IF(ISBLANK('Raw counts'!H$4),"",IF(ISBLANK('Raw counts'!H14),"",('Raw counts'!H14)/('Raw counts'!H$4)))</f>
        <v>0.17326732673267325</v>
      </c>
      <c r="AD14" s="29">
        <f>IF(ISBLANK('Raw counts'!I$4),"",IF(ISBLANK('Raw counts'!I14),"",('Raw counts'!I14)/('Raw counts'!I$4)))</f>
        <v>3.9215686274509803E-2</v>
      </c>
      <c r="AE14" s="29">
        <f>IF(ISBLANK('Raw counts'!J$4),"",IF(ISBLANK('Raw counts'!J14),"",('Raw counts'!J14)/('Raw counts'!J$4)))</f>
        <v>0.2413793103448276</v>
      </c>
      <c r="AF14" s="29">
        <f>IF(ISBLANK('Raw counts'!K$4),"",IF(ISBLANK('Raw counts'!K14),"",('Raw counts'!K14)/('Raw counts'!K$4)))</f>
        <v>0.18478260869565216</v>
      </c>
      <c r="AG14" s="29">
        <f>IF(ISBLANK('Raw counts'!L$4),"",IF(ISBLANK('Raw counts'!L14),"",('Raw counts'!L14)/('Raw counts'!L$4)))</f>
        <v>0.26923076923076922</v>
      </c>
      <c r="AH14" s="29" t="str">
        <f>IF(ISBLANK('Raw counts'!M$4),"",IF(ISBLANK('Raw counts'!M14),"",('Raw counts'!M14)/('Raw counts'!M$4)))</f>
        <v/>
      </c>
      <c r="AI14" s="29" t="str">
        <f>IF(ISBLANK('Raw counts'!N$4),"",IF(ISBLANK('Raw counts'!N14),"",('Raw counts'!N14)/('Raw counts'!N$4)))</f>
        <v/>
      </c>
      <c r="AJ14" s="29" t="str">
        <f>IF(ISBLANK('Raw counts'!O$4),"",IF(ISBLANK('Raw counts'!O14),"",('Raw counts'!O14)/('Raw counts'!O$4)))</f>
        <v/>
      </c>
      <c r="AK14" s="29" t="str">
        <f>IF(ISBLANK('Raw counts'!P$4),"",IF(ISBLANK('Raw counts'!P14),"",('Raw counts'!P14)/('Raw counts'!P$4)))</f>
        <v/>
      </c>
      <c r="AL14" s="29" t="str">
        <f>IF(ISBLANK('Raw counts'!Q$4),"",IF(ISBLANK('Raw counts'!Q14),"",('Raw counts'!Q14)/('Raw counts'!Q$4)))</f>
        <v/>
      </c>
      <c r="AM14" s="29" t="str">
        <f>IF(ISBLANK('Raw counts'!R$4),"",IF(ISBLANK('Raw counts'!R14),"",('Raw counts'!R14)/('Raw counts'!R$4)))</f>
        <v/>
      </c>
      <c r="AN14" s="29" t="str">
        <f>IF(ISBLANK('Raw counts'!S$4),"",IF(ISBLANK('Raw counts'!S14),"",('Raw counts'!S14)/('Raw counts'!S$4)))</f>
        <v/>
      </c>
      <c r="AO14" s="29" t="str">
        <f>IF(ISBLANK('Raw counts'!T$4),"",IF(ISBLANK('Raw counts'!T14),"",('Raw counts'!T14)/('Raw counts'!T$4)))</f>
        <v/>
      </c>
      <c r="AP14" s="29" t="str">
        <f>IF(ISBLANK('Raw counts'!U$4),"",IF(ISBLANK('Raw counts'!U14),"",('Raw counts'!U14)/('Raw counts'!U$4)))</f>
        <v/>
      </c>
      <c r="AQ14" s="32">
        <f t="shared" si="4"/>
        <v>0.17207535684891209</v>
      </c>
      <c r="AR14" s="32">
        <f t="shared" si="5"/>
        <v>6.6674976105727896E-2</v>
      </c>
    </row>
    <row r="15" spans="1:44" x14ac:dyDescent="0.15">
      <c r="A15" s="18" t="str">
        <f>IF(ISBLANK('Raw counts'!A15),"",'Raw counts'!A15)</f>
        <v xml:space="preserve">Not enough promotions, discounts or coupons                                 </v>
      </c>
      <c r="B15" s="20">
        <f t="shared" si="3"/>
        <v>111.89242058782574</v>
      </c>
      <c r="C15" s="20">
        <f t="shared" si="2"/>
        <v>90.6932440263014</v>
      </c>
      <c r="D15" s="20">
        <f t="shared" si="2"/>
        <v>79.434626053092003</v>
      </c>
      <c r="E15" s="20">
        <f t="shared" si="2"/>
        <v>71.111290622897883</v>
      </c>
      <c r="F15" s="20">
        <f t="shared" si="2"/>
        <v>103.07678505714526</v>
      </c>
      <c r="G15" s="20">
        <f t="shared" si="2"/>
        <v>125.63896840180726</v>
      </c>
      <c r="H15" s="20">
        <f t="shared" si="2"/>
        <v>114.664585423468</v>
      </c>
      <c r="I15" s="20">
        <f t="shared" si="2"/>
        <v>69.642466723451889</v>
      </c>
      <c r="J15" s="20">
        <f t="shared" si="2"/>
        <v>125.35647670243875</v>
      </c>
      <c r="K15" s="20">
        <f t="shared" si="2"/>
        <v>100.24296462857724</v>
      </c>
      <c r="L15" s="20">
        <f t="shared" si="2"/>
        <v>108.24617177299464</v>
      </c>
      <c r="M15" s="20" t="str">
        <f t="shared" si="2"/>
        <v xml:space="preserve"> </v>
      </c>
      <c r="N15" s="20" t="str">
        <f t="shared" si="2"/>
        <v xml:space="preserve"> </v>
      </c>
      <c r="O15" s="20" t="str">
        <f t="shared" si="2"/>
        <v xml:space="preserve"> </v>
      </c>
      <c r="P15" s="20" t="str">
        <f t="shared" si="2"/>
        <v xml:space="preserve"> </v>
      </c>
      <c r="Q15" s="20" t="str">
        <f t="shared" si="2"/>
        <v xml:space="preserve"> </v>
      </c>
      <c r="R15" s="20" t="str">
        <f t="shared" si="2"/>
        <v xml:space="preserve"> </v>
      </c>
      <c r="S15" s="20" t="str">
        <f t="shared" si="2"/>
        <v xml:space="preserve"> </v>
      </c>
      <c r="T15" s="20" t="str">
        <f t="shared" si="2"/>
        <v xml:space="preserve"> </v>
      </c>
      <c r="U15" s="20" t="str">
        <f t="shared" si="2"/>
        <v xml:space="preserve"> </v>
      </c>
      <c r="V15" s="35"/>
      <c r="W15" s="29">
        <f>IF(ISBLANK('Raw counts'!B$4),"",IF(ISBLANK('Raw counts'!B15),"",('Raw counts'!B15)/('Raw counts'!B$4)))</f>
        <v>0.27799227799227799</v>
      </c>
      <c r="X15" s="29">
        <f>IF(ISBLANK('Raw counts'!C$4),"",IF(ISBLANK('Raw counts'!C15),"",('Raw counts'!C15)/('Raw counts'!C$4)))</f>
        <v>0.22705314009661837</v>
      </c>
      <c r="Y15" s="29">
        <f>IF(ISBLANK('Raw counts'!D$4),"",IF(ISBLANK('Raw counts'!D15),"",('Raw counts'!D15)/('Raw counts'!D$4)))</f>
        <v>0.2</v>
      </c>
      <c r="Z15" s="29">
        <f>IF(ISBLANK('Raw counts'!E$4),"",IF(ISBLANK('Raw counts'!E15),"",('Raw counts'!E15)/('Raw counts'!E$4)))</f>
        <v>0.18</v>
      </c>
      <c r="AA15" s="29">
        <f>IF(ISBLANK('Raw counts'!F$4),"",IF(ISBLANK('Raw counts'!F15),"",('Raw counts'!F15)/('Raw counts'!F$4)))</f>
        <v>0.25680933852140075</v>
      </c>
      <c r="AB15" s="29">
        <f>IF(ISBLANK('Raw counts'!G$4),"",IF(ISBLANK('Raw counts'!G15),"",('Raw counts'!G15)/('Raw counts'!G$4)))</f>
        <v>0.3110236220472441</v>
      </c>
      <c r="AC15" s="29">
        <f>IF(ISBLANK('Raw counts'!H$4),"",IF(ISBLANK('Raw counts'!H15),"",('Raw counts'!H15)/('Raw counts'!H$4)))</f>
        <v>0.28465346534653463</v>
      </c>
      <c r="AD15" s="29">
        <f>IF(ISBLANK('Raw counts'!I$4),"",IF(ISBLANK('Raw counts'!I15),"",('Raw counts'!I15)/('Raw counts'!I$4)))</f>
        <v>0.17647058823529413</v>
      </c>
      <c r="AE15" s="29">
        <f>IF(ISBLANK('Raw counts'!J$4),"",IF(ISBLANK('Raw counts'!J15),"",('Raw counts'!J15)/('Raw counts'!J$4)))</f>
        <v>0.31034482758620691</v>
      </c>
      <c r="AF15" s="29">
        <f>IF(ISBLANK('Raw counts'!K$4),"",IF(ISBLANK('Raw counts'!K15),"",('Raw counts'!K15)/('Raw counts'!K$4)))</f>
        <v>0.25</v>
      </c>
      <c r="AG15" s="29">
        <f>IF(ISBLANK('Raw counts'!L$4),"",IF(ISBLANK('Raw counts'!L15),"",('Raw counts'!L15)/('Raw counts'!L$4)))</f>
        <v>0.26923076923076922</v>
      </c>
      <c r="AH15" s="29" t="str">
        <f>IF(ISBLANK('Raw counts'!M$4),"",IF(ISBLANK('Raw counts'!M15),"",('Raw counts'!M15)/('Raw counts'!M$4)))</f>
        <v/>
      </c>
      <c r="AI15" s="29" t="str">
        <f>IF(ISBLANK('Raw counts'!N$4),"",IF(ISBLANK('Raw counts'!N15),"",('Raw counts'!N15)/('Raw counts'!N$4)))</f>
        <v/>
      </c>
      <c r="AJ15" s="29" t="str">
        <f>IF(ISBLANK('Raw counts'!O$4),"",IF(ISBLANK('Raw counts'!O15),"",('Raw counts'!O15)/('Raw counts'!O$4)))</f>
        <v/>
      </c>
      <c r="AK15" s="29" t="str">
        <f>IF(ISBLANK('Raw counts'!P$4),"",IF(ISBLANK('Raw counts'!P15),"",('Raw counts'!P15)/('Raw counts'!P$4)))</f>
        <v/>
      </c>
      <c r="AL15" s="29" t="str">
        <f>IF(ISBLANK('Raw counts'!Q$4),"",IF(ISBLANK('Raw counts'!Q15),"",('Raw counts'!Q15)/('Raw counts'!Q$4)))</f>
        <v/>
      </c>
      <c r="AM15" s="29" t="str">
        <f>IF(ISBLANK('Raw counts'!R$4),"",IF(ISBLANK('Raw counts'!R15),"",('Raw counts'!R15)/('Raw counts'!R$4)))</f>
        <v/>
      </c>
      <c r="AN15" s="29" t="str">
        <f>IF(ISBLANK('Raw counts'!S$4),"",IF(ISBLANK('Raw counts'!S15),"",('Raw counts'!S15)/('Raw counts'!S$4)))</f>
        <v/>
      </c>
      <c r="AO15" s="29" t="str">
        <f>IF(ISBLANK('Raw counts'!T$4),"",IF(ISBLANK('Raw counts'!T15),"",('Raw counts'!T15)/('Raw counts'!T$4)))</f>
        <v/>
      </c>
      <c r="AP15" s="29" t="str">
        <f>IF(ISBLANK('Raw counts'!U$4),"",IF(ISBLANK('Raw counts'!U15),"",('Raw counts'!U15)/('Raw counts'!U$4)))</f>
        <v/>
      </c>
      <c r="AQ15" s="32">
        <f t="shared" si="4"/>
        <v>0.24941618445966782</v>
      </c>
      <c r="AR15" s="32">
        <f t="shared" si="5"/>
        <v>4.8057657096089432E-2</v>
      </c>
    </row>
    <row r="16" spans="1:44" x14ac:dyDescent="0.15">
      <c r="A16" s="18" t="str">
        <f>IF(ISBLANK('Raw counts'!A16),"",'Raw counts'!A16)</f>
        <v xml:space="preserve">Other brands offer more promotions, discounts or coupons                    </v>
      </c>
      <c r="B16" s="20">
        <f t="shared" si="3"/>
        <v>110.63589463475353</v>
      </c>
      <c r="C16" s="20">
        <f t="shared" si="2"/>
        <v>135.27301011863653</v>
      </c>
      <c r="D16" s="20">
        <f t="shared" si="2"/>
        <v>94.002777365286221</v>
      </c>
      <c r="E16" s="20">
        <f t="shared" si="2"/>
        <v>56.03416323220393</v>
      </c>
      <c r="F16" s="20">
        <f t="shared" si="2"/>
        <v>99.400889221980066</v>
      </c>
      <c r="G16" s="20">
        <f t="shared" si="2"/>
        <v>105.50144911970243</v>
      </c>
      <c r="H16" s="20">
        <f t="shared" si="2"/>
        <v>97.978926979375188</v>
      </c>
      <c r="I16" s="20">
        <f t="shared" si="2"/>
        <v>98.29786946178875</v>
      </c>
      <c r="J16" s="20">
        <f t="shared" si="2"/>
        <v>81.413714323813309</v>
      </c>
      <c r="K16" s="20">
        <f t="shared" si="2"/>
        <v>116.22521038632101</v>
      </c>
      <c r="L16" s="20">
        <f t="shared" si="2"/>
        <v>105.23609515613899</v>
      </c>
      <c r="M16" s="20" t="str">
        <f t="shared" si="2"/>
        <v xml:space="preserve"> </v>
      </c>
      <c r="N16" s="20" t="str">
        <f t="shared" si="2"/>
        <v xml:space="preserve"> </v>
      </c>
      <c r="O16" s="20" t="str">
        <f t="shared" si="2"/>
        <v xml:space="preserve"> </v>
      </c>
      <c r="P16" s="20" t="str">
        <f t="shared" si="2"/>
        <v xml:space="preserve"> </v>
      </c>
      <c r="Q16" s="20" t="str">
        <f t="shared" si="2"/>
        <v xml:space="preserve"> </v>
      </c>
      <c r="R16" s="20" t="str">
        <f t="shared" si="2"/>
        <v xml:space="preserve"> </v>
      </c>
      <c r="S16" s="20" t="str">
        <f t="shared" si="2"/>
        <v xml:space="preserve"> </v>
      </c>
      <c r="T16" s="20" t="str">
        <f t="shared" si="2"/>
        <v xml:space="preserve"> </v>
      </c>
      <c r="U16" s="20" t="str">
        <f t="shared" si="2"/>
        <v xml:space="preserve"> </v>
      </c>
      <c r="V16" s="35"/>
      <c r="W16" s="29">
        <f>IF(ISBLANK('Raw counts'!B$4),"",IF(ISBLANK('Raw counts'!B16),"",('Raw counts'!B16)/('Raw counts'!B$4)))</f>
        <v>0.20463320463320464</v>
      </c>
      <c r="X16" s="29">
        <f>IF(ISBLANK('Raw counts'!C$4),"",IF(ISBLANK('Raw counts'!C16),"",('Raw counts'!C16)/('Raw counts'!C$4)))</f>
        <v>0.2608695652173913</v>
      </c>
      <c r="Y16" s="29">
        <f>IF(ISBLANK('Raw counts'!D$4),"",IF(ISBLANK('Raw counts'!D16),"",('Raw counts'!D16)/('Raw counts'!D$4)))</f>
        <v>0.16666666666666666</v>
      </c>
      <c r="Z16" s="29">
        <f>IF(ISBLANK('Raw counts'!E$4),"",IF(ISBLANK('Raw counts'!E16),"",('Raw counts'!E16)/('Raw counts'!E$4)))</f>
        <v>0.08</v>
      </c>
      <c r="AA16" s="29">
        <f>IF(ISBLANK('Raw counts'!F$4),"",IF(ISBLANK('Raw counts'!F16),"",('Raw counts'!F16)/('Raw counts'!F$4)))</f>
        <v>0.17898832684824903</v>
      </c>
      <c r="AB16" s="29">
        <f>IF(ISBLANK('Raw counts'!G$4),"",IF(ISBLANK('Raw counts'!G16),"",('Raw counts'!G16)/('Raw counts'!G$4)))</f>
        <v>0.19291338582677164</v>
      </c>
      <c r="AC16" s="29">
        <f>IF(ISBLANK('Raw counts'!H$4),"",IF(ISBLANK('Raw counts'!H16),"",('Raw counts'!H16)/('Raw counts'!H$4)))</f>
        <v>0.17574257425742573</v>
      </c>
      <c r="AD16" s="29">
        <f>IF(ISBLANK('Raw counts'!I$4),"",IF(ISBLANK('Raw counts'!I16),"",('Raw counts'!I16)/('Raw counts'!I$4)))</f>
        <v>0.17647058823529413</v>
      </c>
      <c r="AE16" s="29">
        <f>IF(ISBLANK('Raw counts'!J$4),"",IF(ISBLANK('Raw counts'!J16),"",('Raw counts'!J16)/('Raw counts'!J$4)))</f>
        <v>0.13793103448275862</v>
      </c>
      <c r="AF16" s="29">
        <f>IF(ISBLANK('Raw counts'!K$4),"",IF(ISBLANK('Raw counts'!K16),"",('Raw counts'!K16)/('Raw counts'!K$4)))</f>
        <v>0.21739130434782608</v>
      </c>
      <c r="AG16" s="29">
        <f>IF(ISBLANK('Raw counts'!L$4),"",IF(ISBLANK('Raw counts'!L16),"",('Raw counts'!L16)/('Raw counts'!L$4)))</f>
        <v>0.19230769230769232</v>
      </c>
      <c r="AH16" s="29" t="str">
        <f>IF(ISBLANK('Raw counts'!M$4),"",IF(ISBLANK('Raw counts'!M16),"",('Raw counts'!M16)/('Raw counts'!M$4)))</f>
        <v/>
      </c>
      <c r="AI16" s="29" t="str">
        <f>IF(ISBLANK('Raw counts'!N$4),"",IF(ISBLANK('Raw counts'!N16),"",('Raw counts'!N16)/('Raw counts'!N$4)))</f>
        <v/>
      </c>
      <c r="AJ16" s="29" t="str">
        <f>IF(ISBLANK('Raw counts'!O$4),"",IF(ISBLANK('Raw counts'!O16),"",('Raw counts'!O16)/('Raw counts'!O$4)))</f>
        <v/>
      </c>
      <c r="AK16" s="29" t="str">
        <f>IF(ISBLANK('Raw counts'!P$4),"",IF(ISBLANK('Raw counts'!P16),"",('Raw counts'!P16)/('Raw counts'!P$4)))</f>
        <v/>
      </c>
      <c r="AL16" s="29" t="str">
        <f>IF(ISBLANK('Raw counts'!Q$4),"",IF(ISBLANK('Raw counts'!Q16),"",('Raw counts'!Q16)/('Raw counts'!Q$4)))</f>
        <v/>
      </c>
      <c r="AM16" s="29" t="str">
        <f>IF(ISBLANK('Raw counts'!R$4),"",IF(ISBLANK('Raw counts'!R16),"",('Raw counts'!R16)/('Raw counts'!R$4)))</f>
        <v/>
      </c>
      <c r="AN16" s="29" t="str">
        <f>IF(ISBLANK('Raw counts'!S$4),"",IF(ISBLANK('Raw counts'!S16),"",('Raw counts'!S16)/('Raw counts'!S$4)))</f>
        <v/>
      </c>
      <c r="AO16" s="29" t="str">
        <f>IF(ISBLANK('Raw counts'!T$4),"",IF(ISBLANK('Raw counts'!T16),"",('Raw counts'!T16)/('Raw counts'!T$4)))</f>
        <v/>
      </c>
      <c r="AP16" s="29" t="str">
        <f>IF(ISBLANK('Raw counts'!U$4),"",IF(ISBLANK('Raw counts'!U16),"",('Raw counts'!U16)/('Raw counts'!U$4)))</f>
        <v/>
      </c>
      <c r="AQ16" s="32">
        <f t="shared" si="4"/>
        <v>0.18035584934757093</v>
      </c>
      <c r="AR16" s="32">
        <f t="shared" si="5"/>
        <v>4.5651740863069022E-2</v>
      </c>
    </row>
    <row r="17" spans="1:44" x14ac:dyDescent="0.15">
      <c r="A17" s="18" t="str">
        <f>IF(ISBLANK('Raw counts'!A17),"",'Raw counts'!A17)</f>
        <v xml:space="preserve">Other brands have more shopper or loyalty card offers                       </v>
      </c>
      <c r="B17" s="20">
        <f t="shared" si="3"/>
        <v>105.83528284183572</v>
      </c>
      <c r="C17" s="20">
        <f t="shared" si="2"/>
        <v>103.24976140506672</v>
      </c>
      <c r="D17" s="20">
        <f t="shared" si="2"/>
        <v>123.58728150658524</v>
      </c>
      <c r="E17" s="20">
        <f t="shared" si="2"/>
        <v>91.64249383493177</v>
      </c>
      <c r="F17" s="20">
        <f t="shared" si="2"/>
        <v>102.32331083576533</v>
      </c>
      <c r="G17" s="20">
        <f t="shared" si="2"/>
        <v>97.625404011906241</v>
      </c>
      <c r="H17" s="20">
        <f t="shared" si="2"/>
        <v>104.72313885748294</v>
      </c>
      <c r="I17" s="20">
        <f t="shared" si="2"/>
        <v>70.569671715395657</v>
      </c>
      <c r="J17" s="20">
        <f t="shared" si="2"/>
        <v>67.329835237540351</v>
      </c>
      <c r="K17" s="20">
        <f t="shared" si="2"/>
        <v>136.73226401122525</v>
      </c>
      <c r="L17" s="20">
        <f t="shared" si="2"/>
        <v>96.381555742264979</v>
      </c>
      <c r="M17" s="20" t="str">
        <f t="shared" si="2"/>
        <v xml:space="preserve"> </v>
      </c>
      <c r="N17" s="20" t="str">
        <f t="shared" si="2"/>
        <v xml:space="preserve"> </v>
      </c>
      <c r="O17" s="20" t="str">
        <f t="shared" si="2"/>
        <v xml:space="preserve"> </v>
      </c>
      <c r="P17" s="20" t="str">
        <f t="shared" si="2"/>
        <v xml:space="preserve"> </v>
      </c>
      <c r="Q17" s="20" t="str">
        <f t="shared" si="2"/>
        <v xml:space="preserve"> </v>
      </c>
      <c r="R17" s="20" t="str">
        <f t="shared" si="2"/>
        <v xml:space="preserve"> </v>
      </c>
      <c r="S17" s="20" t="str">
        <f t="shared" si="2"/>
        <v xml:space="preserve"> </v>
      </c>
      <c r="T17" s="20" t="str">
        <f t="shared" si="2"/>
        <v xml:space="preserve"> </v>
      </c>
      <c r="U17" s="20" t="str">
        <f t="shared" si="2"/>
        <v xml:space="preserve"> </v>
      </c>
      <c r="V17" s="35"/>
      <c r="W17" s="29">
        <f>IF(ISBLANK('Raw counts'!B$4),"",IF(ISBLANK('Raw counts'!B17),"",('Raw counts'!B17)/('Raw counts'!B$4)))</f>
        <v>0.18146718146718147</v>
      </c>
      <c r="X17" s="29">
        <f>IF(ISBLANK('Raw counts'!C$4),"",IF(ISBLANK('Raw counts'!C17),"",('Raw counts'!C17)/('Raw counts'!C$4)))</f>
        <v>0.17391304347826086</v>
      </c>
      <c r="Y17" s="29">
        <f>IF(ISBLANK('Raw counts'!D$4),"",IF(ISBLANK('Raw counts'!D17),"",('Raw counts'!D17)/('Raw counts'!D$4)))</f>
        <v>0.23333333333333334</v>
      </c>
      <c r="Z17" s="29">
        <f>IF(ISBLANK('Raw counts'!E$4),"",IF(ISBLANK('Raw counts'!E17),"",('Raw counts'!E17)/('Raw counts'!E$4)))</f>
        <v>0.14000000000000001</v>
      </c>
      <c r="AA17" s="29">
        <f>IF(ISBLANK('Raw counts'!F$4),"",IF(ISBLANK('Raw counts'!F17),"",('Raw counts'!F17)/('Raw counts'!F$4)))</f>
        <v>0.17120622568093385</v>
      </c>
      <c r="AB17" s="29">
        <f>IF(ISBLANK('Raw counts'!G$4),"",IF(ISBLANK('Raw counts'!G17),"",('Raw counts'!G17)/('Raw counts'!G$4)))</f>
        <v>0.15748031496062992</v>
      </c>
      <c r="AC17" s="29">
        <f>IF(ISBLANK('Raw counts'!H$4),"",IF(ISBLANK('Raw counts'!H17),"",('Raw counts'!H17)/('Raw counts'!H$4)))</f>
        <v>0.17821782178217821</v>
      </c>
      <c r="AD17" s="29">
        <f>IF(ISBLANK('Raw counts'!I$4),"",IF(ISBLANK('Raw counts'!I17),"",('Raw counts'!I17)/('Raw counts'!I$4)))</f>
        <v>7.8431372549019607E-2</v>
      </c>
      <c r="AE17" s="29">
        <f>IF(ISBLANK('Raw counts'!J$4),"",IF(ISBLANK('Raw counts'!J17),"",('Raw counts'!J17)/('Raw counts'!J$4)))</f>
        <v>6.8965517241379309E-2</v>
      </c>
      <c r="AF17" s="29">
        <f>IF(ISBLANK('Raw counts'!K$4),"",IF(ISBLANK('Raw counts'!K17),"",('Raw counts'!K17)/('Raw counts'!K$4)))</f>
        <v>0.27173913043478259</v>
      </c>
      <c r="AG17" s="29">
        <f>IF(ISBLANK('Raw counts'!L$4),"",IF(ISBLANK('Raw counts'!L17),"",('Raw counts'!L17)/('Raw counts'!L$4)))</f>
        <v>0.15384615384615385</v>
      </c>
      <c r="AH17" s="29" t="str">
        <f>IF(ISBLANK('Raw counts'!M$4),"",IF(ISBLANK('Raw counts'!M17),"",('Raw counts'!M17)/('Raw counts'!M$4)))</f>
        <v/>
      </c>
      <c r="AI17" s="29" t="str">
        <f>IF(ISBLANK('Raw counts'!N$4),"",IF(ISBLANK('Raw counts'!N17),"",('Raw counts'!N17)/('Raw counts'!N$4)))</f>
        <v/>
      </c>
      <c r="AJ17" s="29" t="str">
        <f>IF(ISBLANK('Raw counts'!O$4),"",IF(ISBLANK('Raw counts'!O17),"",('Raw counts'!O17)/('Raw counts'!O$4)))</f>
        <v/>
      </c>
      <c r="AK17" s="29" t="str">
        <f>IF(ISBLANK('Raw counts'!P$4),"",IF(ISBLANK('Raw counts'!P17),"",('Raw counts'!P17)/('Raw counts'!P$4)))</f>
        <v/>
      </c>
      <c r="AL17" s="29" t="str">
        <f>IF(ISBLANK('Raw counts'!Q$4),"",IF(ISBLANK('Raw counts'!Q17),"",('Raw counts'!Q17)/('Raw counts'!Q$4)))</f>
        <v/>
      </c>
      <c r="AM17" s="29" t="str">
        <f>IF(ISBLANK('Raw counts'!R$4),"",IF(ISBLANK('Raw counts'!R17),"",('Raw counts'!R17)/('Raw counts'!R$4)))</f>
        <v/>
      </c>
      <c r="AN17" s="29" t="str">
        <f>IF(ISBLANK('Raw counts'!S$4),"",IF(ISBLANK('Raw counts'!S17),"",('Raw counts'!S17)/('Raw counts'!S$4)))</f>
        <v/>
      </c>
      <c r="AO17" s="29" t="str">
        <f>IF(ISBLANK('Raw counts'!T$4),"",IF(ISBLANK('Raw counts'!T17),"",('Raw counts'!T17)/('Raw counts'!T$4)))</f>
        <v/>
      </c>
      <c r="AP17" s="29" t="str">
        <f>IF(ISBLANK('Raw counts'!U$4),"",IF(ISBLANK('Raw counts'!U17),"",('Raw counts'!U17)/('Raw counts'!U$4)))</f>
        <v/>
      </c>
      <c r="AQ17" s="32">
        <f t="shared" si="4"/>
        <v>0.16441819043398659</v>
      </c>
      <c r="AR17" s="32">
        <f t="shared" si="5"/>
        <v>5.8434154762689899E-2</v>
      </c>
    </row>
    <row r="18" spans="1:44" x14ac:dyDescent="0.15">
      <c r="A18" s="18" t="str">
        <f>IF(ISBLANK('Raw counts'!A18),"",'Raw counts'!A18)</f>
        <v xml:space="preserve">Recommended another brand by others(i.e. family members/peers or iWOM)      </v>
      </c>
      <c r="B18" s="20">
        <f t="shared" si="3"/>
        <v>88.48371824789686</v>
      </c>
      <c r="C18" s="20">
        <f t="shared" si="2"/>
        <v>123.38109544747454</v>
      </c>
      <c r="D18" s="20">
        <f t="shared" si="2"/>
        <v>56.904452323033127</v>
      </c>
      <c r="E18" s="20">
        <f t="shared" si="2"/>
        <v>112.16816769154467</v>
      </c>
      <c r="F18" s="20">
        <f t="shared" si="2"/>
        <v>92.17001388114943</v>
      </c>
      <c r="G18" s="20">
        <f t="shared" si="2"/>
        <v>110.8627255962255</v>
      </c>
      <c r="H18" s="20">
        <f t="shared" si="2"/>
        <v>102.11400165296645</v>
      </c>
      <c r="I18" s="20">
        <f t="shared" si="2"/>
        <v>102.41574733239558</v>
      </c>
      <c r="J18" s="20">
        <f t="shared" si="2"/>
        <v>115.02663572784698</v>
      </c>
      <c r="K18" s="20">
        <f t="shared" ref="K18:K64" si="6">IF(ISNUMBER(AF18),(AF18-$AQ18)/$AR18*20+100," ")</f>
        <v>119.3764783917853</v>
      </c>
      <c r="L18" s="20">
        <f t="shared" ref="L18:L64" si="7">IF(ISNUMBER(AG18),(AG18-$AQ18)/$AR18*20+100," ")</f>
        <v>77.096963707681581</v>
      </c>
      <c r="M18" s="20" t="str">
        <f t="shared" ref="M18:M64" si="8">IF(ISNUMBER(AH18),(AH18-$AQ18)/$AR18*20+100," ")</f>
        <v xml:space="preserve"> </v>
      </c>
      <c r="N18" s="20" t="str">
        <f t="shared" ref="N18:N64" si="9">IF(ISNUMBER(AI18),(AI18-$AQ18)/$AR18*20+100," ")</f>
        <v xml:space="preserve"> </v>
      </c>
      <c r="O18" s="20" t="str">
        <f t="shared" ref="O18:O64" si="10">IF(ISNUMBER(AJ18),(AJ18-$AQ18)/$AR18*20+100," ")</f>
        <v xml:space="preserve"> </v>
      </c>
      <c r="P18" s="20" t="str">
        <f t="shared" ref="P18:P64" si="11">IF(ISNUMBER(AK18),(AK18-$AQ18)/$AR18*20+100," ")</f>
        <v xml:space="preserve"> </v>
      </c>
      <c r="Q18" s="20" t="str">
        <f t="shared" ref="Q18:Q64" si="12">IF(ISNUMBER(AL18),(AL18-$AQ18)/$AR18*20+100," ")</f>
        <v xml:space="preserve"> </v>
      </c>
      <c r="R18" s="20" t="str">
        <f t="shared" ref="R18:R64" si="13">IF(ISNUMBER(AM18),(AM18-$AQ18)/$AR18*20+100," ")</f>
        <v xml:space="preserve"> </v>
      </c>
      <c r="S18" s="20" t="str">
        <f t="shared" ref="S18:S64" si="14">IF(ISNUMBER(AN18),(AN18-$AQ18)/$AR18*20+100," ")</f>
        <v xml:space="preserve"> </v>
      </c>
      <c r="T18" s="20" t="str">
        <f t="shared" ref="T18:T64" si="15">IF(ISNUMBER(AO18),(AO18-$AQ18)/$AR18*20+100," ")</f>
        <v xml:space="preserve"> </v>
      </c>
      <c r="U18" s="20" t="str">
        <f t="shared" ref="U18:U64" si="16">IF(ISNUMBER(AP18),(AP18-$AQ18)/$AR18*20+100," ")</f>
        <v xml:space="preserve"> </v>
      </c>
      <c r="V18" s="35"/>
      <c r="W18" s="29">
        <f>IF(ISBLANK('Raw counts'!B$4),"",IF(ISBLANK('Raw counts'!B18),"",('Raw counts'!B18)/('Raw counts'!B$4)))</f>
        <v>0.14285714285714285</v>
      </c>
      <c r="X18" s="29">
        <f>IF(ISBLANK('Raw counts'!C$4),"",IF(ISBLANK('Raw counts'!C18),"",('Raw counts'!C18)/('Raw counts'!C$4)))</f>
        <v>0.22705314009661837</v>
      </c>
      <c r="Y18" s="29">
        <f>IF(ISBLANK('Raw counts'!D$4),"",IF(ISBLANK('Raw counts'!D18),"",('Raw counts'!D18)/('Raw counts'!D$4)))</f>
        <v>6.6666666666666666E-2</v>
      </c>
      <c r="Z18" s="29">
        <f>IF(ISBLANK('Raw counts'!E$4),"",IF(ISBLANK('Raw counts'!E18),"",('Raw counts'!E18)/('Raw counts'!E$4)))</f>
        <v>0.2</v>
      </c>
      <c r="AA18" s="29">
        <f>IF(ISBLANK('Raw counts'!F$4),"",IF(ISBLANK('Raw counts'!F18),"",('Raw counts'!F18)/('Raw counts'!F$4)))</f>
        <v>0.1517509727626459</v>
      </c>
      <c r="AB18" s="29">
        <f>IF(ISBLANK('Raw counts'!G$4),"",IF(ISBLANK('Raw counts'!G18),"",('Raw counts'!G18)/('Raw counts'!G$4)))</f>
        <v>0.19685039370078741</v>
      </c>
      <c r="AC18" s="29">
        <f>IF(ISBLANK('Raw counts'!H$4),"",IF(ISBLANK('Raw counts'!H18),"",('Raw counts'!H18)/('Raw counts'!H$4)))</f>
        <v>0.17574257425742573</v>
      </c>
      <c r="AD18" s="29">
        <f>IF(ISBLANK('Raw counts'!I$4),"",IF(ISBLANK('Raw counts'!I18),"",('Raw counts'!I18)/('Raw counts'!I$4)))</f>
        <v>0.17647058823529413</v>
      </c>
      <c r="AE18" s="29">
        <f>IF(ISBLANK('Raw counts'!J$4),"",IF(ISBLANK('Raw counts'!J18),"",('Raw counts'!J18)/('Raw counts'!J$4)))</f>
        <v>0.20689655172413793</v>
      </c>
      <c r="AF18" s="29">
        <f>IF(ISBLANK('Raw counts'!K$4),"",IF(ISBLANK('Raw counts'!K18),"",('Raw counts'!K18)/('Raw counts'!K$4)))</f>
        <v>0.21739130434782608</v>
      </c>
      <c r="AG18" s="29">
        <f>IF(ISBLANK('Raw counts'!L$4),"",IF(ISBLANK('Raw counts'!L18),"",('Raw counts'!L18)/('Raw counts'!L$4)))</f>
        <v>0.11538461538461539</v>
      </c>
      <c r="AH18" s="29" t="str">
        <f>IF(ISBLANK('Raw counts'!M$4),"",IF(ISBLANK('Raw counts'!M18),"",('Raw counts'!M18)/('Raw counts'!M$4)))</f>
        <v/>
      </c>
      <c r="AI18" s="29" t="str">
        <f>IF(ISBLANK('Raw counts'!N$4),"",IF(ISBLANK('Raw counts'!N18),"",('Raw counts'!N18)/('Raw counts'!N$4)))</f>
        <v/>
      </c>
      <c r="AJ18" s="29" t="str">
        <f>IF(ISBLANK('Raw counts'!O$4),"",IF(ISBLANK('Raw counts'!O18),"",('Raw counts'!O18)/('Raw counts'!O$4)))</f>
        <v/>
      </c>
      <c r="AK18" s="29" t="str">
        <f>IF(ISBLANK('Raw counts'!P$4),"",IF(ISBLANK('Raw counts'!P18),"",('Raw counts'!P18)/('Raw counts'!P$4)))</f>
        <v/>
      </c>
      <c r="AL18" s="29" t="str">
        <f>IF(ISBLANK('Raw counts'!Q$4),"",IF(ISBLANK('Raw counts'!Q18),"",('Raw counts'!Q18)/('Raw counts'!Q$4)))</f>
        <v/>
      </c>
      <c r="AM18" s="29" t="str">
        <f>IF(ISBLANK('Raw counts'!R$4),"",IF(ISBLANK('Raw counts'!R18),"",('Raw counts'!R18)/('Raw counts'!R$4)))</f>
        <v/>
      </c>
      <c r="AN18" s="29" t="str">
        <f>IF(ISBLANK('Raw counts'!S$4),"",IF(ISBLANK('Raw counts'!S18),"",('Raw counts'!S18)/('Raw counts'!S$4)))</f>
        <v/>
      </c>
      <c r="AO18" s="29" t="str">
        <f>IF(ISBLANK('Raw counts'!T$4),"",IF(ISBLANK('Raw counts'!T18),"",('Raw counts'!T18)/('Raw counts'!T$4)))</f>
        <v/>
      </c>
      <c r="AP18" s="29" t="str">
        <f>IF(ISBLANK('Raw counts'!U$4),"",IF(ISBLANK('Raw counts'!U18),"",('Raw counts'!U18)/('Raw counts'!U$4)))</f>
        <v/>
      </c>
      <c r="AQ18" s="32">
        <f t="shared" si="4"/>
        <v>0.17064217727574185</v>
      </c>
      <c r="AR18" s="32">
        <f t="shared" si="5"/>
        <v>4.8253481491150246E-2</v>
      </c>
    </row>
    <row r="19" spans="1:44" x14ac:dyDescent="0.15">
      <c r="A19" s="18" t="str">
        <f>IF(ISBLANK('Raw counts'!A19),"",'Raw counts'!A19)</f>
        <v xml:space="preserve">In-store salesperson or advisor recommended another brand                   </v>
      </c>
      <c r="B19" s="20">
        <f t="shared" si="3"/>
        <v>89.436122637142731</v>
      </c>
      <c r="C19" s="20">
        <f t="shared" ref="C19:C64" si="17">IF(ISNUMBER(X19),(X19-$AQ19)/$AR19*20+100," ")</f>
        <v>77.441056123731585</v>
      </c>
      <c r="D19" s="20">
        <f t="shared" ref="D19:D64" si="18">IF(ISNUMBER(Y19),(Y19-$AQ19)/$AR19*20+100," ")</f>
        <v>105.8764883861958</v>
      </c>
      <c r="E19" s="20">
        <f t="shared" ref="E19:E64" si="19">IF(ISNUMBER(Z19),(Z19-$AQ19)/$AR19*20+100," ")</f>
        <v>118.40017876562152</v>
      </c>
      <c r="F19" s="20">
        <f t="shared" ref="F19:F64" si="20">IF(ISNUMBER(AA19),(AA19-$AQ19)/$AR19*20+100," ")</f>
        <v>75.663694474740723</v>
      </c>
      <c r="G19" s="20">
        <f t="shared" ref="G19:G64" si="21">IF(ISNUMBER(AB19),(AB19-$AQ19)/$AR19*20+100," ")</f>
        <v>91.577786771890828</v>
      </c>
      <c r="H19" s="20">
        <f t="shared" ref="H19:H64" si="22">IF(ISNUMBER(AC19),(AC19-$AQ19)/$AR19*20+100," ")</f>
        <v>82.937055512990256</v>
      </c>
      <c r="I19" s="20">
        <f t="shared" ref="I19:I64" si="23">IF(ISNUMBER(AD19),(AD19-$AQ19)/$AR19*20+100," ")</f>
        <v>103.42086282160251</v>
      </c>
      <c r="J19" s="20">
        <f t="shared" ref="J19:J64" si="24">IF(ISNUMBER(AE19),(AE19-$AQ19)/$AR19*20+100," ")</f>
        <v>110.19500231013569</v>
      </c>
      <c r="K19" s="20">
        <f t="shared" si="6"/>
        <v>143.99206780183931</v>
      </c>
      <c r="L19" s="20">
        <f t="shared" si="7"/>
        <v>101.05968439410898</v>
      </c>
      <c r="M19" s="20" t="str">
        <f t="shared" si="8"/>
        <v xml:space="preserve"> </v>
      </c>
      <c r="N19" s="20" t="str">
        <f t="shared" si="9"/>
        <v xml:space="preserve"> </v>
      </c>
      <c r="O19" s="20" t="str">
        <f t="shared" si="10"/>
        <v xml:space="preserve"> </v>
      </c>
      <c r="P19" s="20" t="str">
        <f t="shared" si="11"/>
        <v xml:space="preserve"> </v>
      </c>
      <c r="Q19" s="20" t="str">
        <f t="shared" si="12"/>
        <v xml:space="preserve"> </v>
      </c>
      <c r="R19" s="20" t="str">
        <f t="shared" si="13"/>
        <v xml:space="preserve"> </v>
      </c>
      <c r="S19" s="20" t="str">
        <f t="shared" si="14"/>
        <v xml:space="preserve"> </v>
      </c>
      <c r="T19" s="20" t="str">
        <f t="shared" si="15"/>
        <v xml:space="preserve"> </v>
      </c>
      <c r="U19" s="20" t="str">
        <f t="shared" si="16"/>
        <v xml:space="preserve"> </v>
      </c>
      <c r="V19" s="35"/>
      <c r="W19" s="29">
        <f>IF(ISBLANK('Raw counts'!B$4),"",IF(ISBLANK('Raw counts'!B19),"",('Raw counts'!B19)/('Raw counts'!B$4)))</f>
        <v>0.17374517374517376</v>
      </c>
      <c r="X19" s="29">
        <f>IF(ISBLANK('Raw counts'!C$4),"",IF(ISBLANK('Raw counts'!C19),"",('Raw counts'!C19)/('Raw counts'!C$4)))</f>
        <v>0.15458937198067632</v>
      </c>
      <c r="Y19" s="29">
        <f>IF(ISBLANK('Raw counts'!D$4),"",IF(ISBLANK('Raw counts'!D19),"",('Raw counts'!D19)/('Raw counts'!D$4)))</f>
        <v>0.2</v>
      </c>
      <c r="Z19" s="29">
        <f>IF(ISBLANK('Raw counts'!E$4),"",IF(ISBLANK('Raw counts'!E19),"",('Raw counts'!E19)/('Raw counts'!E$4)))</f>
        <v>0.22</v>
      </c>
      <c r="AA19" s="29">
        <f>IF(ISBLANK('Raw counts'!F$4),"",IF(ISBLANK('Raw counts'!F19),"",('Raw counts'!F19)/('Raw counts'!F$4)))</f>
        <v>0.1517509727626459</v>
      </c>
      <c r="AB19" s="29">
        <f>IF(ISBLANK('Raw counts'!G$4),"",IF(ISBLANK('Raw counts'!G19),"",('Raw counts'!G19)/('Raw counts'!G$4)))</f>
        <v>0.17716535433070865</v>
      </c>
      <c r="AC19" s="29">
        <f>IF(ISBLANK('Raw counts'!H$4),"",IF(ISBLANK('Raw counts'!H19),"",('Raw counts'!H19)/('Raw counts'!H$4)))</f>
        <v>0.16336633663366337</v>
      </c>
      <c r="AD19" s="29">
        <f>IF(ISBLANK('Raw counts'!I$4),"",IF(ISBLANK('Raw counts'!I19),"",('Raw counts'!I19)/('Raw counts'!I$4)))</f>
        <v>0.19607843137254902</v>
      </c>
      <c r="AE19" s="29">
        <f>IF(ISBLANK('Raw counts'!J$4),"",IF(ISBLANK('Raw counts'!J19),"",('Raw counts'!J19)/('Raw counts'!J$4)))</f>
        <v>0.20689655172413793</v>
      </c>
      <c r="AF19" s="29">
        <f>IF(ISBLANK('Raw counts'!K$4),"",IF(ISBLANK('Raw counts'!K19),"",('Raw counts'!K19)/('Raw counts'!K$4)))</f>
        <v>0.2608695652173913</v>
      </c>
      <c r="AG19" s="29">
        <f>IF(ISBLANK('Raw counts'!L$4),"",IF(ISBLANK('Raw counts'!L19),"",('Raw counts'!L19)/('Raw counts'!L$4)))</f>
        <v>0.19230769230769232</v>
      </c>
      <c r="AH19" s="29" t="str">
        <f>IF(ISBLANK('Raw counts'!M$4),"",IF(ISBLANK('Raw counts'!M19),"",('Raw counts'!M19)/('Raw counts'!M$4)))</f>
        <v/>
      </c>
      <c r="AI19" s="29" t="str">
        <f>IF(ISBLANK('Raw counts'!N$4),"",IF(ISBLANK('Raw counts'!N19),"",('Raw counts'!N19)/('Raw counts'!N$4)))</f>
        <v/>
      </c>
      <c r="AJ19" s="29" t="str">
        <f>IF(ISBLANK('Raw counts'!O$4),"",IF(ISBLANK('Raw counts'!O19),"",('Raw counts'!O19)/('Raw counts'!O$4)))</f>
        <v/>
      </c>
      <c r="AK19" s="29" t="str">
        <f>IF(ISBLANK('Raw counts'!P$4),"",IF(ISBLANK('Raw counts'!P19),"",('Raw counts'!P19)/('Raw counts'!P$4)))</f>
        <v/>
      </c>
      <c r="AL19" s="29" t="str">
        <f>IF(ISBLANK('Raw counts'!Q$4),"",IF(ISBLANK('Raw counts'!Q19),"",('Raw counts'!Q19)/('Raw counts'!Q$4)))</f>
        <v/>
      </c>
      <c r="AM19" s="29" t="str">
        <f>IF(ISBLANK('Raw counts'!R$4),"",IF(ISBLANK('Raw counts'!R19),"",('Raw counts'!R19)/('Raw counts'!R$4)))</f>
        <v/>
      </c>
      <c r="AN19" s="29" t="str">
        <f>IF(ISBLANK('Raw counts'!S$4),"",IF(ISBLANK('Raw counts'!S19),"",('Raw counts'!S19)/('Raw counts'!S$4)))</f>
        <v/>
      </c>
      <c r="AO19" s="29" t="str">
        <f>IF(ISBLANK('Raw counts'!T$4),"",IF(ISBLANK('Raw counts'!T19),"",('Raw counts'!T19)/('Raw counts'!T$4)))</f>
        <v/>
      </c>
      <c r="AP19" s="29" t="str">
        <f>IF(ISBLANK('Raw counts'!U$4),"",IF(ISBLANK('Raw counts'!U19),"",('Raw counts'!U19)/('Raw counts'!U$4)))</f>
        <v/>
      </c>
      <c r="AQ19" s="32">
        <f t="shared" si="4"/>
        <v>0.19061540455223988</v>
      </c>
      <c r="AR19" s="32">
        <f t="shared" si="5"/>
        <v>3.1939467351982075E-2</v>
      </c>
    </row>
    <row r="20" spans="1:44" ht="25.5" x14ac:dyDescent="0.15">
      <c r="A20" s="18" t="str">
        <f>IF(ISBLANK('Raw counts'!A20),"",'Raw counts'!A20)</f>
        <v xml:space="preserve">Researched online while shopping and found negative reviews of the product  </v>
      </c>
      <c r="B20" s="20">
        <f t="shared" si="3"/>
        <v>96.688909447564058</v>
      </c>
      <c r="C20" s="20">
        <f t="shared" si="17"/>
        <v>110.90932162978721</v>
      </c>
      <c r="D20" s="20">
        <f t="shared" si="18"/>
        <v>118.89964492186159</v>
      </c>
      <c r="E20" s="20">
        <f t="shared" si="19"/>
        <v>89.772655109997984</v>
      </c>
      <c r="F20" s="20">
        <f t="shared" si="20"/>
        <v>91.011240279874329</v>
      </c>
      <c r="G20" s="20">
        <f t="shared" si="21"/>
        <v>93.999181190684595</v>
      </c>
      <c r="H20" s="20">
        <f t="shared" si="22"/>
        <v>90.112538654478698</v>
      </c>
      <c r="I20" s="20">
        <f t="shared" si="23"/>
        <v>64.43951691228466</v>
      </c>
      <c r="J20" s="20">
        <f t="shared" si="24"/>
        <v>142.93299858435989</v>
      </c>
      <c r="K20" s="20">
        <f t="shared" si="6"/>
        <v>107.1403012089974</v>
      </c>
      <c r="L20" s="20">
        <f t="shared" si="7"/>
        <v>94.093692060109618</v>
      </c>
      <c r="M20" s="20" t="str">
        <f t="shared" si="8"/>
        <v xml:space="preserve"> </v>
      </c>
      <c r="N20" s="20" t="str">
        <f t="shared" si="9"/>
        <v xml:space="preserve"> </v>
      </c>
      <c r="O20" s="20" t="str">
        <f t="shared" si="10"/>
        <v xml:space="preserve"> </v>
      </c>
      <c r="P20" s="20" t="str">
        <f t="shared" si="11"/>
        <v xml:space="preserve"> </v>
      </c>
      <c r="Q20" s="20" t="str">
        <f t="shared" si="12"/>
        <v xml:space="preserve"> </v>
      </c>
      <c r="R20" s="20" t="str">
        <f t="shared" si="13"/>
        <v xml:space="preserve"> </v>
      </c>
      <c r="S20" s="20" t="str">
        <f t="shared" si="14"/>
        <v xml:space="preserve"> </v>
      </c>
      <c r="T20" s="20" t="str">
        <f t="shared" si="15"/>
        <v xml:space="preserve"> </v>
      </c>
      <c r="U20" s="20" t="str">
        <f t="shared" si="16"/>
        <v xml:space="preserve"> </v>
      </c>
      <c r="V20" s="35"/>
      <c r="W20" s="29">
        <f>IF(ISBLANK('Raw counts'!B$4),"",IF(ISBLANK('Raw counts'!B20),"",('Raw counts'!B20)/('Raw counts'!B$4)))</f>
        <v>0.16216216216216217</v>
      </c>
      <c r="X20" s="29">
        <f>IF(ISBLANK('Raw counts'!C$4),"",IF(ISBLANK('Raw counts'!C20),"",('Raw counts'!C20)/('Raw counts'!C$4)))</f>
        <v>0.20772946859903382</v>
      </c>
      <c r="Y20" s="29">
        <f>IF(ISBLANK('Raw counts'!D$4),"",IF(ISBLANK('Raw counts'!D20),"",('Raw counts'!D20)/('Raw counts'!D$4)))</f>
        <v>0.23333333333333334</v>
      </c>
      <c r="Z20" s="29">
        <f>IF(ISBLANK('Raw counts'!E$4),"",IF(ISBLANK('Raw counts'!E20),"",('Raw counts'!E20)/('Raw counts'!E$4)))</f>
        <v>0.14000000000000001</v>
      </c>
      <c r="AA20" s="29">
        <f>IF(ISBLANK('Raw counts'!F$4),"",IF(ISBLANK('Raw counts'!F20),"",('Raw counts'!F20)/('Raw counts'!F$4)))</f>
        <v>0.14396887159533073</v>
      </c>
      <c r="AB20" s="29">
        <f>IF(ISBLANK('Raw counts'!G$4),"",IF(ISBLANK('Raw counts'!G20),"",('Raw counts'!G20)/('Raw counts'!G$4)))</f>
        <v>0.15354330708661418</v>
      </c>
      <c r="AC20" s="29">
        <f>IF(ISBLANK('Raw counts'!H$4),"",IF(ISBLANK('Raw counts'!H20),"",('Raw counts'!H20)/('Raw counts'!H$4)))</f>
        <v>0.14108910891089108</v>
      </c>
      <c r="AD20" s="29">
        <f>IF(ISBLANK('Raw counts'!I$4),"",IF(ISBLANK('Raw counts'!I20),"",('Raw counts'!I20)/('Raw counts'!I$4)))</f>
        <v>5.8823529411764705E-2</v>
      </c>
      <c r="AE20" s="29">
        <f>IF(ISBLANK('Raw counts'!J$4),"",IF(ISBLANK('Raw counts'!J20),"",('Raw counts'!J20)/('Raw counts'!J$4)))</f>
        <v>0.31034482758620691</v>
      </c>
      <c r="AF20" s="29">
        <f>IF(ISBLANK('Raw counts'!K$4),"",IF(ISBLANK('Raw counts'!K20),"",('Raw counts'!K20)/('Raw counts'!K$4)))</f>
        <v>0.19565217391304349</v>
      </c>
      <c r="AG20" s="29">
        <f>IF(ISBLANK('Raw counts'!L$4),"",IF(ISBLANK('Raw counts'!L20),"",('Raw counts'!L20)/('Raw counts'!L$4)))</f>
        <v>0.15384615384615385</v>
      </c>
      <c r="AH20" s="29" t="str">
        <f>IF(ISBLANK('Raw counts'!M$4),"",IF(ISBLANK('Raw counts'!M20),"",('Raw counts'!M20)/('Raw counts'!M$4)))</f>
        <v/>
      </c>
      <c r="AI20" s="29" t="str">
        <f>IF(ISBLANK('Raw counts'!N$4),"",IF(ISBLANK('Raw counts'!N20),"",('Raw counts'!N20)/('Raw counts'!N$4)))</f>
        <v/>
      </c>
      <c r="AJ20" s="29" t="str">
        <f>IF(ISBLANK('Raw counts'!O$4),"",IF(ISBLANK('Raw counts'!O20),"",('Raw counts'!O20)/('Raw counts'!O$4)))</f>
        <v/>
      </c>
      <c r="AK20" s="29" t="str">
        <f>IF(ISBLANK('Raw counts'!P$4),"",IF(ISBLANK('Raw counts'!P20),"",('Raw counts'!P20)/('Raw counts'!P$4)))</f>
        <v/>
      </c>
      <c r="AL20" s="29" t="str">
        <f>IF(ISBLANK('Raw counts'!Q$4),"",IF(ISBLANK('Raw counts'!Q20),"",('Raw counts'!Q20)/('Raw counts'!Q$4)))</f>
        <v/>
      </c>
      <c r="AM20" s="29" t="str">
        <f>IF(ISBLANK('Raw counts'!R$4),"",IF(ISBLANK('Raw counts'!R20),"",('Raw counts'!R20)/('Raw counts'!R$4)))</f>
        <v/>
      </c>
      <c r="AN20" s="29" t="str">
        <f>IF(ISBLANK('Raw counts'!S$4),"",IF(ISBLANK('Raw counts'!S20),"",('Raw counts'!S20)/('Raw counts'!S$4)))</f>
        <v/>
      </c>
      <c r="AO20" s="29" t="str">
        <f>IF(ISBLANK('Raw counts'!T$4),"",IF(ISBLANK('Raw counts'!T20),"",('Raw counts'!T20)/('Raw counts'!T$4)))</f>
        <v/>
      </c>
      <c r="AP20" s="29" t="str">
        <f>IF(ISBLANK('Raw counts'!U$4),"",IF(ISBLANK('Raw counts'!U20),"",('Raw counts'!U20)/('Raw counts'!U$4)))</f>
        <v/>
      </c>
      <c r="AQ20" s="32">
        <f t="shared" si="4"/>
        <v>0.17277208513132128</v>
      </c>
      <c r="AR20" s="32">
        <f t="shared" si="5"/>
        <v>6.4087180952230108E-2</v>
      </c>
    </row>
    <row r="21" spans="1:44" ht="25.5" x14ac:dyDescent="0.15">
      <c r="A21" s="18" t="str">
        <f>IF(ISBLANK('Raw counts'!A21),"",'Raw counts'!A21)</f>
        <v xml:space="preserve">Dentist recommended another brand                                           </v>
      </c>
      <c r="B21" s="20">
        <f t="shared" si="3"/>
        <v>87.429697162909079</v>
      </c>
      <c r="C21" s="20">
        <f t="shared" si="17"/>
        <v>107.63190597912339</v>
      </c>
      <c r="D21" s="20">
        <f t="shared" si="18"/>
        <v>125.61818501580917</v>
      </c>
      <c r="E21" s="20">
        <f t="shared" si="19"/>
        <v>84.24974323143185</v>
      </c>
      <c r="F21" s="20">
        <f t="shared" si="20"/>
        <v>89.912844388331052</v>
      </c>
      <c r="G21" s="20">
        <f t="shared" si="21"/>
        <v>89.26903520169094</v>
      </c>
      <c r="H21" s="20">
        <f t="shared" si="22"/>
        <v>97.877870767959394</v>
      </c>
      <c r="I21" s="20">
        <f t="shared" si="23"/>
        <v>61.463917007951288</v>
      </c>
      <c r="J21" s="20">
        <f t="shared" si="24"/>
        <v>118.48569505298551</v>
      </c>
      <c r="K21" s="20">
        <f t="shared" si="6"/>
        <v>111.71969666927924</v>
      </c>
      <c r="L21" s="20">
        <f t="shared" si="7"/>
        <v>126.34140952252906</v>
      </c>
      <c r="M21" s="20" t="str">
        <f t="shared" si="8"/>
        <v xml:space="preserve"> </v>
      </c>
      <c r="N21" s="20" t="str">
        <f t="shared" si="9"/>
        <v xml:space="preserve"> </v>
      </c>
      <c r="O21" s="20" t="str">
        <f t="shared" si="10"/>
        <v xml:space="preserve"> </v>
      </c>
      <c r="P21" s="20" t="str">
        <f t="shared" si="11"/>
        <v xml:space="preserve"> </v>
      </c>
      <c r="Q21" s="20" t="str">
        <f t="shared" si="12"/>
        <v xml:space="preserve"> </v>
      </c>
      <c r="R21" s="20" t="str">
        <f t="shared" si="13"/>
        <v xml:space="preserve"> </v>
      </c>
      <c r="S21" s="20" t="str">
        <f t="shared" si="14"/>
        <v xml:space="preserve"> </v>
      </c>
      <c r="T21" s="20" t="str">
        <f t="shared" si="15"/>
        <v xml:space="preserve"> </v>
      </c>
      <c r="U21" s="20" t="str">
        <f t="shared" si="16"/>
        <v xml:space="preserve"> </v>
      </c>
      <c r="V21" s="35"/>
      <c r="W21" s="29">
        <f>IF(ISBLANK('Raw counts'!B$4),"",IF(ISBLANK('Raw counts'!B21),"",('Raw counts'!B21)/('Raw counts'!B$4)))</f>
        <v>0.13127413127413126</v>
      </c>
      <c r="X21" s="29">
        <f>IF(ISBLANK('Raw counts'!C$4),"",IF(ISBLANK('Raw counts'!C21),"",('Raw counts'!C21)/('Raw counts'!C$4)))</f>
        <v>0.20289855072463769</v>
      </c>
      <c r="Y21" s="29">
        <f>IF(ISBLANK('Raw counts'!D$4),"",IF(ISBLANK('Raw counts'!D21),"",('Raw counts'!D21)/('Raw counts'!D$4)))</f>
        <v>0.26666666666666666</v>
      </c>
      <c r="Z21" s="29">
        <f>IF(ISBLANK('Raw counts'!E$4),"",IF(ISBLANK('Raw counts'!E21),"",('Raw counts'!E21)/('Raw counts'!E$4)))</f>
        <v>0.12</v>
      </c>
      <c r="AA21" s="29">
        <f>IF(ISBLANK('Raw counts'!F$4),"",IF(ISBLANK('Raw counts'!F21),"",('Raw counts'!F21)/('Raw counts'!F$4)))</f>
        <v>0.14007782101167315</v>
      </c>
      <c r="AB21" s="29">
        <f>IF(ISBLANK('Raw counts'!G$4),"",IF(ISBLANK('Raw counts'!G21),"",('Raw counts'!G21)/('Raw counts'!G$4)))</f>
        <v>0.13779527559055119</v>
      </c>
      <c r="AC21" s="29">
        <f>IF(ISBLANK('Raw counts'!H$4),"",IF(ISBLANK('Raw counts'!H21),"",('Raw counts'!H21)/('Raw counts'!H$4)))</f>
        <v>0.16831683168316833</v>
      </c>
      <c r="AD21" s="29">
        <f>IF(ISBLANK('Raw counts'!I$4),"",IF(ISBLANK('Raw counts'!I21),"",('Raw counts'!I21)/('Raw counts'!I$4)))</f>
        <v>3.9215686274509803E-2</v>
      </c>
      <c r="AE21" s="29">
        <f>IF(ISBLANK('Raw counts'!J$4),"",IF(ISBLANK('Raw counts'!J21),"",('Raw counts'!J21)/('Raw counts'!J$4)))</f>
        <v>0.2413793103448276</v>
      </c>
      <c r="AF21" s="29">
        <f>IF(ISBLANK('Raw counts'!K$4),"",IF(ISBLANK('Raw counts'!K21),"",('Raw counts'!K21)/('Raw counts'!K$4)))</f>
        <v>0.21739130434782608</v>
      </c>
      <c r="AG21" s="29">
        <f>IF(ISBLANK('Raw counts'!L$4),"",IF(ISBLANK('Raw counts'!L21),"",('Raw counts'!L21)/('Raw counts'!L$4)))</f>
        <v>0.26923076923076922</v>
      </c>
      <c r="AH21" s="29" t="str">
        <f>IF(ISBLANK('Raw counts'!M$4),"",IF(ISBLANK('Raw counts'!M21),"",('Raw counts'!M21)/('Raw counts'!M$4)))</f>
        <v/>
      </c>
      <c r="AI21" s="29" t="str">
        <f>IF(ISBLANK('Raw counts'!N$4),"",IF(ISBLANK('Raw counts'!N21),"",('Raw counts'!N21)/('Raw counts'!N$4)))</f>
        <v/>
      </c>
      <c r="AJ21" s="29" t="str">
        <f>IF(ISBLANK('Raw counts'!O$4),"",IF(ISBLANK('Raw counts'!O21),"",('Raw counts'!O21)/('Raw counts'!O$4)))</f>
        <v/>
      </c>
      <c r="AK21" s="29" t="str">
        <f>IF(ISBLANK('Raw counts'!P$4),"",IF(ISBLANK('Raw counts'!P21),"",('Raw counts'!P21)/('Raw counts'!P$4)))</f>
        <v/>
      </c>
      <c r="AL21" s="29" t="str">
        <f>IF(ISBLANK('Raw counts'!Q$4),"",IF(ISBLANK('Raw counts'!Q21),"",('Raw counts'!Q21)/('Raw counts'!Q$4)))</f>
        <v/>
      </c>
      <c r="AM21" s="29" t="str">
        <f>IF(ISBLANK('Raw counts'!R$4),"",IF(ISBLANK('Raw counts'!R21),"",('Raw counts'!R21)/('Raw counts'!R$4)))</f>
        <v/>
      </c>
      <c r="AN21" s="29" t="str">
        <f>IF(ISBLANK('Raw counts'!S$4),"",IF(ISBLANK('Raw counts'!S21),"",('Raw counts'!S21)/('Raw counts'!S$4)))</f>
        <v/>
      </c>
      <c r="AO21" s="29" t="str">
        <f>IF(ISBLANK('Raw counts'!T$4),"",IF(ISBLANK('Raw counts'!T21),"",('Raw counts'!T21)/('Raw counts'!T$4)))</f>
        <v/>
      </c>
      <c r="AP21" s="29" t="str">
        <f>IF(ISBLANK('Raw counts'!U$4),"",IF(ISBLANK('Raw counts'!U21),"",('Raw counts'!U21)/('Raw counts'!U$4)))</f>
        <v/>
      </c>
      <c r="AQ21" s="32">
        <f t="shared" si="4"/>
        <v>0.17584057701352374</v>
      </c>
      <c r="AR21" s="32">
        <f t="shared" si="5"/>
        <v>7.0907513234909861E-2</v>
      </c>
    </row>
    <row r="22" spans="1:44" ht="22.5" customHeight="1" x14ac:dyDescent="0.15">
      <c r="A22" s="18" t="str">
        <f>IF(ISBLANK('Raw counts'!A22),"",'Raw counts'!A22)</f>
        <v xml:space="preserve">Some other reason                                                           </v>
      </c>
      <c r="B22" s="20">
        <f t="shared" si="3"/>
        <v>88.092657259479537</v>
      </c>
      <c r="C22" s="20">
        <f t="shared" si="17"/>
        <v>98.407834138223024</v>
      </c>
      <c r="D22" s="20">
        <f t="shared" si="18"/>
        <v>109.27742416398249</v>
      </c>
      <c r="E22" s="20">
        <f t="shared" si="19"/>
        <v>93.487914442352945</v>
      </c>
      <c r="F22" s="20">
        <f t="shared" si="20"/>
        <v>83.62715058896174</v>
      </c>
      <c r="G22" s="20">
        <f t="shared" si="21"/>
        <v>93.11493389774752</v>
      </c>
      <c r="H22" s="20">
        <f t="shared" si="22"/>
        <v>78.597312452400345</v>
      </c>
      <c r="I22" s="20">
        <f t="shared" si="23"/>
        <v>93.023517097599139</v>
      </c>
      <c r="J22" s="20">
        <f t="shared" si="24"/>
        <v>151.47352773040626</v>
      </c>
      <c r="K22" s="20">
        <f t="shared" si="6"/>
        <v>95.54741571039159</v>
      </c>
      <c r="L22" s="20">
        <f t="shared" si="7"/>
        <v>115.35031251845538</v>
      </c>
      <c r="M22" s="20" t="str">
        <f t="shared" si="8"/>
        <v xml:space="preserve"> </v>
      </c>
      <c r="N22" s="20" t="str">
        <f t="shared" si="9"/>
        <v xml:space="preserve"> </v>
      </c>
      <c r="O22" s="20" t="str">
        <f t="shared" si="10"/>
        <v xml:space="preserve"> </v>
      </c>
      <c r="P22" s="20" t="str">
        <f t="shared" si="11"/>
        <v xml:space="preserve"> </v>
      </c>
      <c r="Q22" s="20" t="str">
        <f t="shared" si="12"/>
        <v xml:space="preserve"> </v>
      </c>
      <c r="R22" s="20" t="str">
        <f t="shared" si="13"/>
        <v xml:space="preserve"> </v>
      </c>
      <c r="S22" s="20" t="str">
        <f t="shared" si="14"/>
        <v xml:space="preserve"> </v>
      </c>
      <c r="T22" s="20" t="str">
        <f t="shared" si="15"/>
        <v xml:space="preserve"> </v>
      </c>
      <c r="U22" s="20" t="str">
        <f t="shared" si="16"/>
        <v xml:space="preserve"> </v>
      </c>
      <c r="V22" s="35"/>
      <c r="W22" s="29">
        <f>IF(ISBLANK('Raw counts'!B$4),"",IF(ISBLANK('Raw counts'!B22),"",('Raw counts'!B22)/('Raw counts'!B$4)))</f>
        <v>1.5444015444015444E-2</v>
      </c>
      <c r="X22" s="29">
        <f>IF(ISBLANK('Raw counts'!C$4),"",IF(ISBLANK('Raw counts'!C22),"",('Raw counts'!C22)/('Raw counts'!C$4)))</f>
        <v>2.4154589371980676E-2</v>
      </c>
      <c r="Y22" s="29">
        <f>IF(ISBLANK('Raw counts'!D$4),"",IF(ISBLANK('Raw counts'!D22),"",('Raw counts'!D22)/('Raw counts'!D$4)))</f>
        <v>3.3333333333333333E-2</v>
      </c>
      <c r="Z22" s="29">
        <f>IF(ISBLANK('Raw counts'!E$4),"",IF(ISBLANK('Raw counts'!E22),"",('Raw counts'!E22)/('Raw counts'!E$4)))</f>
        <v>0.02</v>
      </c>
      <c r="AA22" s="29">
        <f>IF(ISBLANK('Raw counts'!F$4),"",IF(ISBLANK('Raw counts'!F22),"",('Raw counts'!F22)/('Raw counts'!F$4)))</f>
        <v>1.1673151750972763E-2</v>
      </c>
      <c r="AB22" s="29">
        <f>IF(ISBLANK('Raw counts'!G$4),"",IF(ISBLANK('Raw counts'!G22),"",('Raw counts'!G22)/('Raw counts'!G$4)))</f>
        <v>1.968503937007874E-2</v>
      </c>
      <c r="AC22" s="29">
        <f>IF(ISBLANK('Raw counts'!H$4),"",IF(ISBLANK('Raw counts'!H22),"",('Raw counts'!H22)/('Raw counts'!H$4)))</f>
        <v>7.4257425742574254E-3</v>
      </c>
      <c r="AD22" s="29">
        <f>IF(ISBLANK('Raw counts'!I$4),"",IF(ISBLANK('Raw counts'!I22),"",('Raw counts'!I22)/('Raw counts'!I$4)))</f>
        <v>1.9607843137254902E-2</v>
      </c>
      <c r="AE22" s="29">
        <f>IF(ISBLANK('Raw counts'!J$4),"",IF(ISBLANK('Raw counts'!J22),"",('Raw counts'!J22)/('Raw counts'!J$4)))</f>
        <v>6.8965517241379309E-2</v>
      </c>
      <c r="AF22" s="29">
        <f>IF(ISBLANK('Raw counts'!K$4),"",IF(ISBLANK('Raw counts'!K22),"",('Raw counts'!K22)/('Raw counts'!K$4)))</f>
        <v>2.1739130434782608E-2</v>
      </c>
      <c r="AG22" s="29">
        <f>IF(ISBLANK('Raw counts'!L$4),"",IF(ISBLANK('Raw counts'!L22),"",('Raw counts'!L22)/('Raw counts'!L$4)))</f>
        <v>3.8461538461538464E-2</v>
      </c>
      <c r="AH22" s="29" t="str">
        <f>IF(ISBLANK('Raw counts'!M$4),"",IF(ISBLANK('Raw counts'!M22),"",('Raw counts'!M22)/('Raw counts'!M$4)))</f>
        <v/>
      </c>
      <c r="AI22" s="29" t="str">
        <f>IF(ISBLANK('Raw counts'!N$4),"",IF(ISBLANK('Raw counts'!N22),"",('Raw counts'!N22)/('Raw counts'!N$4)))</f>
        <v/>
      </c>
      <c r="AJ22" s="29" t="str">
        <f>IF(ISBLANK('Raw counts'!O$4),"",IF(ISBLANK('Raw counts'!O22),"",('Raw counts'!O22)/('Raw counts'!O$4)))</f>
        <v/>
      </c>
      <c r="AK22" s="29" t="str">
        <f>IF(ISBLANK('Raw counts'!P$4),"",IF(ISBLANK('Raw counts'!P22),"",('Raw counts'!P22)/('Raw counts'!P$4)))</f>
        <v/>
      </c>
      <c r="AL22" s="29" t="str">
        <f>IF(ISBLANK('Raw counts'!Q$4),"",IF(ISBLANK('Raw counts'!Q22),"",('Raw counts'!Q22)/('Raw counts'!Q$4)))</f>
        <v/>
      </c>
      <c r="AM22" s="29" t="str">
        <f>IF(ISBLANK('Raw counts'!R$4),"",IF(ISBLANK('Raw counts'!R22),"",('Raw counts'!R22)/('Raw counts'!R$4)))</f>
        <v/>
      </c>
      <c r="AN22" s="29" t="str">
        <f>IF(ISBLANK('Raw counts'!S$4),"",IF(ISBLANK('Raw counts'!S22),"",('Raw counts'!S22)/('Raw counts'!S$4)))</f>
        <v/>
      </c>
      <c r="AO22" s="29" t="str">
        <f>IF(ISBLANK('Raw counts'!T$4),"",IF(ISBLANK('Raw counts'!T22),"",('Raw counts'!T22)/('Raw counts'!T$4)))</f>
        <v/>
      </c>
      <c r="AP22" s="29" t="str">
        <f>IF(ISBLANK('Raw counts'!U$4),"",IF(ISBLANK('Raw counts'!U22),"",('Raw counts'!U22)/('Raw counts'!U$4)))</f>
        <v/>
      </c>
      <c r="AQ22" s="32">
        <f t="shared" si="4"/>
        <v>2.5499081919963064E-2</v>
      </c>
      <c r="AR22" s="32">
        <f t="shared" si="5"/>
        <v>1.6888850342285718E-2</v>
      </c>
    </row>
    <row r="23" spans="1:44" ht="25.5" x14ac:dyDescent="0.15">
      <c r="A23" s="18" t="str">
        <f>IF(ISBLANK('Raw counts'!A23),"",'Raw counts'!A23)</f>
        <v/>
      </c>
      <c r="B23" s="20" t="str">
        <f t="shared" si="3"/>
        <v xml:space="preserve"> </v>
      </c>
      <c r="C23" s="20" t="str">
        <f t="shared" si="17"/>
        <v xml:space="preserve"> </v>
      </c>
      <c r="D23" s="20" t="str">
        <f t="shared" si="18"/>
        <v xml:space="preserve"> </v>
      </c>
      <c r="E23" s="20" t="str">
        <f t="shared" si="19"/>
        <v xml:space="preserve"> </v>
      </c>
      <c r="F23" s="20" t="str">
        <f t="shared" si="20"/>
        <v xml:space="preserve"> </v>
      </c>
      <c r="G23" s="20" t="str">
        <f t="shared" si="21"/>
        <v xml:space="preserve"> </v>
      </c>
      <c r="H23" s="20" t="str">
        <f t="shared" si="22"/>
        <v xml:space="preserve"> </v>
      </c>
      <c r="I23" s="20" t="str">
        <f t="shared" si="23"/>
        <v xml:space="preserve"> </v>
      </c>
      <c r="J23" s="20" t="str">
        <f t="shared" si="24"/>
        <v xml:space="preserve"> </v>
      </c>
      <c r="K23" s="20" t="str">
        <f t="shared" si="6"/>
        <v xml:space="preserve"> </v>
      </c>
      <c r="L23" s="20" t="str">
        <f t="shared" si="7"/>
        <v xml:space="preserve"> </v>
      </c>
      <c r="M23" s="20" t="str">
        <f t="shared" si="8"/>
        <v xml:space="preserve"> </v>
      </c>
      <c r="N23" s="20" t="str">
        <f t="shared" si="9"/>
        <v xml:space="preserve"> </v>
      </c>
      <c r="O23" s="20" t="str">
        <f t="shared" si="10"/>
        <v xml:space="preserve"> </v>
      </c>
      <c r="P23" s="20" t="str">
        <f t="shared" si="11"/>
        <v xml:space="preserve"> </v>
      </c>
      <c r="Q23" s="20" t="str">
        <f t="shared" si="12"/>
        <v xml:space="preserve"> </v>
      </c>
      <c r="R23" s="20" t="str">
        <f t="shared" si="13"/>
        <v xml:space="preserve"> </v>
      </c>
      <c r="S23" s="20" t="str">
        <f t="shared" si="14"/>
        <v xml:space="preserve"> </v>
      </c>
      <c r="T23" s="20" t="str">
        <f t="shared" si="15"/>
        <v xml:space="preserve"> </v>
      </c>
      <c r="U23" s="20" t="str">
        <f t="shared" si="16"/>
        <v xml:space="preserve"> </v>
      </c>
      <c r="V23" s="35"/>
      <c r="W23" s="29" t="str">
        <f>IF(ISBLANK('Raw counts'!B$4),"",IF(ISBLANK('Raw counts'!B23),"",('Raw counts'!B23)/('Raw counts'!B$4)))</f>
        <v/>
      </c>
      <c r="X23" s="29" t="str">
        <f>IF(ISBLANK('Raw counts'!C$4),"",IF(ISBLANK('Raw counts'!C23),"",('Raw counts'!C23)/('Raw counts'!C$4)))</f>
        <v/>
      </c>
      <c r="Y23" s="29" t="str">
        <f>IF(ISBLANK('Raw counts'!D$4),"",IF(ISBLANK('Raw counts'!D23),"",('Raw counts'!D23)/('Raw counts'!D$4)))</f>
        <v/>
      </c>
      <c r="Z23" s="29" t="str">
        <f>IF(ISBLANK('Raw counts'!E$4),"",IF(ISBLANK('Raw counts'!E23),"",('Raw counts'!E23)/('Raw counts'!E$4)))</f>
        <v/>
      </c>
      <c r="AA23" s="29" t="str">
        <f>IF(ISBLANK('Raw counts'!F$4),"",IF(ISBLANK('Raw counts'!F23),"",('Raw counts'!F23)/('Raw counts'!F$4)))</f>
        <v/>
      </c>
      <c r="AB23" s="29" t="str">
        <f>IF(ISBLANK('Raw counts'!G$4),"",IF(ISBLANK('Raw counts'!G23),"",('Raw counts'!G23)/('Raw counts'!G$4)))</f>
        <v/>
      </c>
      <c r="AC23" s="29" t="str">
        <f>IF(ISBLANK('Raw counts'!H$4),"",IF(ISBLANK('Raw counts'!H23),"",('Raw counts'!H23)/('Raw counts'!H$4)))</f>
        <v/>
      </c>
      <c r="AD23" s="29" t="str">
        <f>IF(ISBLANK('Raw counts'!I$4),"",IF(ISBLANK('Raw counts'!I23),"",('Raw counts'!I23)/('Raw counts'!I$4)))</f>
        <v/>
      </c>
      <c r="AE23" s="29" t="str">
        <f>IF(ISBLANK('Raw counts'!J$4),"",IF(ISBLANK('Raw counts'!J23),"",('Raw counts'!J23)/('Raw counts'!J$4)))</f>
        <v/>
      </c>
      <c r="AF23" s="29" t="str">
        <f>IF(ISBLANK('Raw counts'!K$4),"",IF(ISBLANK('Raw counts'!K23),"",('Raw counts'!K23)/('Raw counts'!K$4)))</f>
        <v/>
      </c>
      <c r="AG23" s="29" t="str">
        <f>IF(ISBLANK('Raw counts'!L$4),"",IF(ISBLANK('Raw counts'!L23),"",('Raw counts'!L23)/('Raw counts'!L$4)))</f>
        <v/>
      </c>
      <c r="AH23" s="29" t="str">
        <f>IF(ISBLANK('Raw counts'!M$4),"",IF(ISBLANK('Raw counts'!M23),"",('Raw counts'!M23)/('Raw counts'!M$4)))</f>
        <v/>
      </c>
      <c r="AI23" s="29" t="str">
        <f>IF(ISBLANK('Raw counts'!N$4),"",IF(ISBLANK('Raw counts'!N23),"",('Raw counts'!N23)/('Raw counts'!N$4)))</f>
        <v/>
      </c>
      <c r="AJ23" s="29" t="str">
        <f>IF(ISBLANK('Raw counts'!O$4),"",IF(ISBLANK('Raw counts'!O23),"",('Raw counts'!O23)/('Raw counts'!O$4)))</f>
        <v/>
      </c>
      <c r="AK23" s="29" t="str">
        <f>IF(ISBLANK('Raw counts'!P$4),"",IF(ISBLANK('Raw counts'!P23),"",('Raw counts'!P23)/('Raw counts'!P$4)))</f>
        <v/>
      </c>
      <c r="AL23" s="29" t="str">
        <f>IF(ISBLANK('Raw counts'!Q$4),"",IF(ISBLANK('Raw counts'!Q23),"",('Raw counts'!Q23)/('Raw counts'!Q$4)))</f>
        <v/>
      </c>
      <c r="AM23" s="29" t="str">
        <f>IF(ISBLANK('Raw counts'!R$4),"",IF(ISBLANK('Raw counts'!R23),"",('Raw counts'!R23)/('Raw counts'!R$4)))</f>
        <v/>
      </c>
      <c r="AN23" s="29" t="str">
        <f>IF(ISBLANK('Raw counts'!S$4),"",IF(ISBLANK('Raw counts'!S23),"",('Raw counts'!S23)/('Raw counts'!S$4)))</f>
        <v/>
      </c>
      <c r="AO23" s="29" t="str">
        <f>IF(ISBLANK('Raw counts'!T$4),"",IF(ISBLANK('Raw counts'!T23),"",('Raw counts'!T23)/('Raw counts'!T$4)))</f>
        <v/>
      </c>
      <c r="AP23" s="29" t="str">
        <f>IF(ISBLANK('Raw counts'!U$4),"",IF(ISBLANK('Raw counts'!U23),"",('Raw counts'!U23)/('Raw counts'!U$4)))</f>
        <v/>
      </c>
      <c r="AQ23" s="32" t="str">
        <f t="shared" si="4"/>
        <v/>
      </c>
      <c r="AR23" s="32" t="str">
        <f t="shared" si="5"/>
        <v/>
      </c>
    </row>
    <row r="24" spans="1:44" ht="25.5" x14ac:dyDescent="0.15">
      <c r="A24" s="18" t="str">
        <f>IF(ISBLANK('Raw counts'!A24),"",'Raw counts'!A24)</f>
        <v/>
      </c>
      <c r="B24" s="20" t="str">
        <f t="shared" si="3"/>
        <v xml:space="preserve"> </v>
      </c>
      <c r="C24" s="20" t="str">
        <f t="shared" si="17"/>
        <v xml:space="preserve"> </v>
      </c>
      <c r="D24" s="20" t="str">
        <f t="shared" si="18"/>
        <v xml:space="preserve"> </v>
      </c>
      <c r="E24" s="20" t="str">
        <f t="shared" si="19"/>
        <v xml:space="preserve"> </v>
      </c>
      <c r="F24" s="20" t="str">
        <f t="shared" si="20"/>
        <v xml:space="preserve"> </v>
      </c>
      <c r="G24" s="20" t="str">
        <f t="shared" si="21"/>
        <v xml:space="preserve"> </v>
      </c>
      <c r="H24" s="20" t="str">
        <f t="shared" si="22"/>
        <v xml:space="preserve"> </v>
      </c>
      <c r="I24" s="20" t="str">
        <f t="shared" si="23"/>
        <v xml:space="preserve"> </v>
      </c>
      <c r="J24" s="20" t="str">
        <f t="shared" si="24"/>
        <v xml:space="preserve"> </v>
      </c>
      <c r="K24" s="20" t="str">
        <f t="shared" si="6"/>
        <v xml:space="preserve"> </v>
      </c>
      <c r="L24" s="20" t="str">
        <f t="shared" si="7"/>
        <v xml:space="preserve"> </v>
      </c>
      <c r="M24" s="20" t="str">
        <f t="shared" si="8"/>
        <v xml:space="preserve"> </v>
      </c>
      <c r="N24" s="20" t="str">
        <f t="shared" si="9"/>
        <v xml:space="preserve"> </v>
      </c>
      <c r="O24" s="20" t="str">
        <f t="shared" si="10"/>
        <v xml:space="preserve"> </v>
      </c>
      <c r="P24" s="20" t="str">
        <f t="shared" si="11"/>
        <v xml:space="preserve"> </v>
      </c>
      <c r="Q24" s="20" t="str">
        <f t="shared" si="12"/>
        <v xml:space="preserve"> </v>
      </c>
      <c r="R24" s="20" t="str">
        <f t="shared" si="13"/>
        <v xml:space="preserve"> </v>
      </c>
      <c r="S24" s="20" t="str">
        <f t="shared" si="14"/>
        <v xml:space="preserve"> </v>
      </c>
      <c r="T24" s="20" t="str">
        <f t="shared" si="15"/>
        <v xml:space="preserve"> </v>
      </c>
      <c r="U24" s="20" t="str">
        <f t="shared" si="16"/>
        <v xml:space="preserve"> </v>
      </c>
      <c r="V24" s="35"/>
      <c r="W24" s="29" t="str">
        <f>IF(ISBLANK('Raw counts'!B$4),"",IF(ISBLANK('Raw counts'!B24),"",('Raw counts'!B24)/('Raw counts'!B$4)))</f>
        <v/>
      </c>
      <c r="X24" s="29" t="str">
        <f>IF(ISBLANK('Raw counts'!C$4),"",IF(ISBLANK('Raw counts'!C24),"",('Raw counts'!C24)/('Raw counts'!C$4)))</f>
        <v/>
      </c>
      <c r="Y24" s="29" t="str">
        <f>IF(ISBLANK('Raw counts'!D$4),"",IF(ISBLANK('Raw counts'!D24),"",('Raw counts'!D24)/('Raw counts'!D$4)))</f>
        <v/>
      </c>
      <c r="Z24" s="29" t="str">
        <f>IF(ISBLANK('Raw counts'!E$4),"",IF(ISBLANK('Raw counts'!E24),"",('Raw counts'!E24)/('Raw counts'!E$4)))</f>
        <v/>
      </c>
      <c r="AA24" s="29" t="str">
        <f>IF(ISBLANK('Raw counts'!F$4),"",IF(ISBLANK('Raw counts'!F24),"",('Raw counts'!F24)/('Raw counts'!F$4)))</f>
        <v/>
      </c>
      <c r="AB24" s="29" t="str">
        <f>IF(ISBLANK('Raw counts'!G$4),"",IF(ISBLANK('Raw counts'!G24),"",('Raw counts'!G24)/('Raw counts'!G$4)))</f>
        <v/>
      </c>
      <c r="AC24" s="29" t="str">
        <f>IF(ISBLANK('Raw counts'!H$4),"",IF(ISBLANK('Raw counts'!H24),"",('Raw counts'!H24)/('Raw counts'!H$4)))</f>
        <v/>
      </c>
      <c r="AD24" s="29" t="str">
        <f>IF(ISBLANK('Raw counts'!I$4),"",IF(ISBLANK('Raw counts'!I24),"",('Raw counts'!I24)/('Raw counts'!I$4)))</f>
        <v/>
      </c>
      <c r="AE24" s="29" t="str">
        <f>IF(ISBLANK('Raw counts'!J$4),"",IF(ISBLANK('Raw counts'!J24),"",('Raw counts'!J24)/('Raw counts'!J$4)))</f>
        <v/>
      </c>
      <c r="AF24" s="29" t="str">
        <f>IF(ISBLANK('Raw counts'!K$4),"",IF(ISBLANK('Raw counts'!K24),"",('Raw counts'!K24)/('Raw counts'!K$4)))</f>
        <v/>
      </c>
      <c r="AG24" s="29" t="str">
        <f>IF(ISBLANK('Raw counts'!L$4),"",IF(ISBLANK('Raw counts'!L24),"",('Raw counts'!L24)/('Raw counts'!L$4)))</f>
        <v/>
      </c>
      <c r="AH24" s="29" t="str">
        <f>IF(ISBLANK('Raw counts'!M$4),"",IF(ISBLANK('Raw counts'!M24),"",('Raw counts'!M24)/('Raw counts'!M$4)))</f>
        <v/>
      </c>
      <c r="AI24" s="29" t="str">
        <f>IF(ISBLANK('Raw counts'!N$4),"",IF(ISBLANK('Raw counts'!N24),"",('Raw counts'!N24)/('Raw counts'!N$4)))</f>
        <v/>
      </c>
      <c r="AJ24" s="29" t="str">
        <f>IF(ISBLANK('Raw counts'!O$4),"",IF(ISBLANK('Raw counts'!O24),"",('Raw counts'!O24)/('Raw counts'!O$4)))</f>
        <v/>
      </c>
      <c r="AK24" s="29" t="str">
        <f>IF(ISBLANK('Raw counts'!P$4),"",IF(ISBLANK('Raw counts'!P24),"",('Raw counts'!P24)/('Raw counts'!P$4)))</f>
        <v/>
      </c>
      <c r="AL24" s="29" t="str">
        <f>IF(ISBLANK('Raw counts'!Q$4),"",IF(ISBLANK('Raw counts'!Q24),"",('Raw counts'!Q24)/('Raw counts'!Q$4)))</f>
        <v/>
      </c>
      <c r="AM24" s="29" t="str">
        <f>IF(ISBLANK('Raw counts'!R$4),"",IF(ISBLANK('Raw counts'!R24),"",('Raw counts'!R24)/('Raw counts'!R$4)))</f>
        <v/>
      </c>
      <c r="AN24" s="29" t="str">
        <f>IF(ISBLANK('Raw counts'!S$4),"",IF(ISBLANK('Raw counts'!S24),"",('Raw counts'!S24)/('Raw counts'!S$4)))</f>
        <v/>
      </c>
      <c r="AO24" s="29" t="str">
        <f>IF(ISBLANK('Raw counts'!T$4),"",IF(ISBLANK('Raw counts'!T24),"",('Raw counts'!T24)/('Raw counts'!T$4)))</f>
        <v/>
      </c>
      <c r="AP24" s="29" t="str">
        <f>IF(ISBLANK('Raw counts'!U$4),"",IF(ISBLANK('Raw counts'!U24),"",('Raw counts'!U24)/('Raw counts'!U$4)))</f>
        <v/>
      </c>
      <c r="AQ24" s="32" t="str">
        <f t="shared" si="4"/>
        <v/>
      </c>
      <c r="AR24" s="32" t="str">
        <f t="shared" si="5"/>
        <v/>
      </c>
    </row>
    <row r="25" spans="1:44" x14ac:dyDescent="0.15">
      <c r="A25" s="18" t="str">
        <f>IF(ISBLANK('Raw counts'!A25),"",'Raw counts'!A25)</f>
        <v/>
      </c>
      <c r="B25" s="20" t="str">
        <f t="shared" si="3"/>
        <v xml:space="preserve"> </v>
      </c>
      <c r="C25" s="20" t="str">
        <f t="shared" si="17"/>
        <v xml:space="preserve"> </v>
      </c>
      <c r="D25" s="20" t="str">
        <f t="shared" si="18"/>
        <v xml:space="preserve"> </v>
      </c>
      <c r="E25" s="20" t="str">
        <f t="shared" si="19"/>
        <v xml:space="preserve"> </v>
      </c>
      <c r="F25" s="20" t="str">
        <f t="shared" si="20"/>
        <v xml:space="preserve"> </v>
      </c>
      <c r="G25" s="20" t="str">
        <f t="shared" si="21"/>
        <v xml:space="preserve"> </v>
      </c>
      <c r="H25" s="20" t="str">
        <f t="shared" si="22"/>
        <v xml:space="preserve"> </v>
      </c>
      <c r="I25" s="20" t="str">
        <f t="shared" si="23"/>
        <v xml:space="preserve"> </v>
      </c>
      <c r="J25" s="20" t="str">
        <f t="shared" si="24"/>
        <v xml:space="preserve"> </v>
      </c>
      <c r="K25" s="20" t="str">
        <f t="shared" si="6"/>
        <v xml:space="preserve"> </v>
      </c>
      <c r="L25" s="20" t="str">
        <f t="shared" si="7"/>
        <v xml:space="preserve"> </v>
      </c>
      <c r="M25" s="20" t="str">
        <f t="shared" si="8"/>
        <v xml:space="preserve"> </v>
      </c>
      <c r="N25" s="20" t="str">
        <f t="shared" si="9"/>
        <v xml:space="preserve"> </v>
      </c>
      <c r="O25" s="20" t="str">
        <f t="shared" si="10"/>
        <v xml:space="preserve"> </v>
      </c>
      <c r="P25" s="20" t="str">
        <f t="shared" si="11"/>
        <v xml:space="preserve"> </v>
      </c>
      <c r="Q25" s="20" t="str">
        <f t="shared" si="12"/>
        <v xml:space="preserve"> </v>
      </c>
      <c r="R25" s="20" t="str">
        <f t="shared" si="13"/>
        <v xml:space="preserve"> </v>
      </c>
      <c r="S25" s="20" t="str">
        <f t="shared" si="14"/>
        <v xml:space="preserve"> </v>
      </c>
      <c r="T25" s="20" t="str">
        <f t="shared" si="15"/>
        <v xml:space="preserve"> </v>
      </c>
      <c r="U25" s="20" t="str">
        <f t="shared" si="16"/>
        <v xml:space="preserve"> </v>
      </c>
      <c r="V25" s="35"/>
      <c r="W25" s="29" t="str">
        <f>IF(ISBLANK('Raw counts'!B$4),"",IF(ISBLANK('Raw counts'!B25),"",('Raw counts'!B25)/('Raw counts'!B$4)))</f>
        <v/>
      </c>
      <c r="X25" s="29" t="str">
        <f>IF(ISBLANK('Raw counts'!C$4),"",IF(ISBLANK('Raw counts'!C25),"",('Raw counts'!C25)/('Raw counts'!C$4)))</f>
        <v/>
      </c>
      <c r="Y25" s="29" t="str">
        <f>IF(ISBLANK('Raw counts'!D$4),"",IF(ISBLANK('Raw counts'!D25),"",('Raw counts'!D25)/('Raw counts'!D$4)))</f>
        <v/>
      </c>
      <c r="Z25" s="29" t="str">
        <f>IF(ISBLANK('Raw counts'!E$4),"",IF(ISBLANK('Raw counts'!E25),"",('Raw counts'!E25)/('Raw counts'!E$4)))</f>
        <v/>
      </c>
      <c r="AA25" s="29" t="str">
        <f>IF(ISBLANK('Raw counts'!F$4),"",IF(ISBLANK('Raw counts'!F25),"",('Raw counts'!F25)/('Raw counts'!F$4)))</f>
        <v/>
      </c>
      <c r="AB25" s="29" t="str">
        <f>IF(ISBLANK('Raw counts'!G$4),"",IF(ISBLANK('Raw counts'!G25),"",('Raw counts'!G25)/('Raw counts'!G$4)))</f>
        <v/>
      </c>
      <c r="AC25" s="29" t="str">
        <f>IF(ISBLANK('Raw counts'!H$4),"",IF(ISBLANK('Raw counts'!H25),"",('Raw counts'!H25)/('Raw counts'!H$4)))</f>
        <v/>
      </c>
      <c r="AD25" s="29" t="str">
        <f>IF(ISBLANK('Raw counts'!I$4),"",IF(ISBLANK('Raw counts'!I25),"",('Raw counts'!I25)/('Raw counts'!I$4)))</f>
        <v/>
      </c>
      <c r="AE25" s="29" t="str">
        <f>IF(ISBLANK('Raw counts'!J$4),"",IF(ISBLANK('Raw counts'!J25),"",('Raw counts'!J25)/('Raw counts'!J$4)))</f>
        <v/>
      </c>
      <c r="AF25" s="29" t="str">
        <f>IF(ISBLANK('Raw counts'!K$4),"",IF(ISBLANK('Raw counts'!K25),"",('Raw counts'!K25)/('Raw counts'!K$4)))</f>
        <v/>
      </c>
      <c r="AG25" s="29" t="str">
        <f>IF(ISBLANK('Raw counts'!L$4),"",IF(ISBLANK('Raw counts'!L25),"",('Raw counts'!L25)/('Raw counts'!L$4)))</f>
        <v/>
      </c>
      <c r="AH25" s="29" t="str">
        <f>IF(ISBLANK('Raw counts'!M$4),"",IF(ISBLANK('Raw counts'!M25),"",('Raw counts'!M25)/('Raw counts'!M$4)))</f>
        <v/>
      </c>
      <c r="AI25" s="29" t="str">
        <f>IF(ISBLANK('Raw counts'!N$4),"",IF(ISBLANK('Raw counts'!N25),"",('Raw counts'!N25)/('Raw counts'!N$4)))</f>
        <v/>
      </c>
      <c r="AJ25" s="29" t="str">
        <f>IF(ISBLANK('Raw counts'!O$4),"",IF(ISBLANK('Raw counts'!O25),"",('Raw counts'!O25)/('Raw counts'!O$4)))</f>
        <v/>
      </c>
      <c r="AK25" s="29" t="str">
        <f>IF(ISBLANK('Raw counts'!P$4),"",IF(ISBLANK('Raw counts'!P25),"",('Raw counts'!P25)/('Raw counts'!P$4)))</f>
        <v/>
      </c>
      <c r="AL25" s="29" t="str">
        <f>IF(ISBLANK('Raw counts'!Q$4),"",IF(ISBLANK('Raw counts'!Q25),"",('Raw counts'!Q25)/('Raw counts'!Q$4)))</f>
        <v/>
      </c>
      <c r="AM25" s="29" t="str">
        <f>IF(ISBLANK('Raw counts'!R$4),"",IF(ISBLANK('Raw counts'!R25),"",('Raw counts'!R25)/('Raw counts'!R$4)))</f>
        <v/>
      </c>
      <c r="AN25" s="29" t="str">
        <f>IF(ISBLANK('Raw counts'!S$4),"",IF(ISBLANK('Raw counts'!S25),"",('Raw counts'!S25)/('Raw counts'!S$4)))</f>
        <v/>
      </c>
      <c r="AO25" s="29" t="str">
        <f>IF(ISBLANK('Raw counts'!T$4),"",IF(ISBLANK('Raw counts'!T25),"",('Raw counts'!T25)/('Raw counts'!T$4)))</f>
        <v/>
      </c>
      <c r="AP25" s="29" t="str">
        <f>IF(ISBLANK('Raw counts'!U$4),"",IF(ISBLANK('Raw counts'!U25),"",('Raw counts'!U25)/('Raw counts'!U$4)))</f>
        <v/>
      </c>
      <c r="AQ25" s="32" t="str">
        <f t="shared" si="4"/>
        <v/>
      </c>
      <c r="AR25" s="32" t="str">
        <f t="shared" si="5"/>
        <v/>
      </c>
    </row>
    <row r="26" spans="1:44" x14ac:dyDescent="0.15">
      <c r="A26" s="18" t="str">
        <f>IF(ISBLANK('Raw counts'!A26),"",'Raw counts'!A26)</f>
        <v/>
      </c>
      <c r="B26" s="20" t="str">
        <f t="shared" si="3"/>
        <v xml:space="preserve"> </v>
      </c>
      <c r="C26" s="20" t="str">
        <f t="shared" si="17"/>
        <v xml:space="preserve"> </v>
      </c>
      <c r="D26" s="20" t="str">
        <f t="shared" si="18"/>
        <v xml:space="preserve"> </v>
      </c>
      <c r="E26" s="20" t="str">
        <f t="shared" si="19"/>
        <v xml:space="preserve"> </v>
      </c>
      <c r="F26" s="20" t="str">
        <f t="shared" si="20"/>
        <v xml:space="preserve"> </v>
      </c>
      <c r="G26" s="20" t="str">
        <f t="shared" si="21"/>
        <v xml:space="preserve"> </v>
      </c>
      <c r="H26" s="20" t="str">
        <f t="shared" si="22"/>
        <v xml:space="preserve"> </v>
      </c>
      <c r="I26" s="20" t="str">
        <f t="shared" si="23"/>
        <v xml:space="preserve"> </v>
      </c>
      <c r="J26" s="20" t="str">
        <f t="shared" si="24"/>
        <v xml:space="preserve"> </v>
      </c>
      <c r="K26" s="20" t="str">
        <f t="shared" si="6"/>
        <v xml:space="preserve"> </v>
      </c>
      <c r="L26" s="20" t="str">
        <f t="shared" si="7"/>
        <v xml:space="preserve"> </v>
      </c>
      <c r="M26" s="20" t="str">
        <f t="shared" si="8"/>
        <v xml:space="preserve"> </v>
      </c>
      <c r="N26" s="20" t="str">
        <f t="shared" si="9"/>
        <v xml:space="preserve"> </v>
      </c>
      <c r="O26" s="20" t="str">
        <f t="shared" si="10"/>
        <v xml:space="preserve"> </v>
      </c>
      <c r="P26" s="20" t="str">
        <f t="shared" si="11"/>
        <v xml:space="preserve"> </v>
      </c>
      <c r="Q26" s="20" t="str">
        <f t="shared" si="12"/>
        <v xml:space="preserve"> </v>
      </c>
      <c r="R26" s="20" t="str">
        <f t="shared" si="13"/>
        <v xml:space="preserve"> </v>
      </c>
      <c r="S26" s="20" t="str">
        <f t="shared" si="14"/>
        <v xml:space="preserve"> </v>
      </c>
      <c r="T26" s="20" t="str">
        <f t="shared" si="15"/>
        <v xml:space="preserve"> </v>
      </c>
      <c r="U26" s="20" t="str">
        <f t="shared" si="16"/>
        <v xml:space="preserve"> </v>
      </c>
      <c r="V26" s="35"/>
      <c r="W26" s="29" t="str">
        <f>IF(ISBLANK('Raw counts'!B$4),"",IF(ISBLANK('Raw counts'!B26),"",('Raw counts'!B26)/('Raw counts'!B$4)))</f>
        <v/>
      </c>
      <c r="X26" s="29" t="str">
        <f>IF(ISBLANK('Raw counts'!C$4),"",IF(ISBLANK('Raw counts'!C26),"",('Raw counts'!C26)/('Raw counts'!C$4)))</f>
        <v/>
      </c>
      <c r="Y26" s="29" t="str">
        <f>IF(ISBLANK('Raw counts'!D$4),"",IF(ISBLANK('Raw counts'!D26),"",('Raw counts'!D26)/('Raw counts'!D$4)))</f>
        <v/>
      </c>
      <c r="Z26" s="29" t="str">
        <f>IF(ISBLANK('Raw counts'!E$4),"",IF(ISBLANK('Raw counts'!E26),"",('Raw counts'!E26)/('Raw counts'!E$4)))</f>
        <v/>
      </c>
      <c r="AA26" s="29" t="str">
        <f>IF(ISBLANK('Raw counts'!F$4),"",IF(ISBLANK('Raw counts'!F26),"",('Raw counts'!F26)/('Raw counts'!F$4)))</f>
        <v/>
      </c>
      <c r="AB26" s="29" t="str">
        <f>IF(ISBLANK('Raw counts'!G$4),"",IF(ISBLANK('Raw counts'!G26),"",('Raw counts'!G26)/('Raw counts'!G$4)))</f>
        <v/>
      </c>
      <c r="AC26" s="29" t="str">
        <f>IF(ISBLANK('Raw counts'!H$4),"",IF(ISBLANK('Raw counts'!H26),"",('Raw counts'!H26)/('Raw counts'!H$4)))</f>
        <v/>
      </c>
      <c r="AD26" s="29" t="str">
        <f>IF(ISBLANK('Raw counts'!I$4),"",IF(ISBLANK('Raw counts'!I26),"",('Raw counts'!I26)/('Raw counts'!I$4)))</f>
        <v/>
      </c>
      <c r="AE26" s="29" t="str">
        <f>IF(ISBLANK('Raw counts'!J$4),"",IF(ISBLANK('Raw counts'!J26),"",('Raw counts'!J26)/('Raw counts'!J$4)))</f>
        <v/>
      </c>
      <c r="AF26" s="29" t="str">
        <f>IF(ISBLANK('Raw counts'!K$4),"",IF(ISBLANK('Raw counts'!K26),"",('Raw counts'!K26)/('Raw counts'!K$4)))</f>
        <v/>
      </c>
      <c r="AG26" s="29" t="str">
        <f>IF(ISBLANK('Raw counts'!L$4),"",IF(ISBLANK('Raw counts'!L26),"",('Raw counts'!L26)/('Raw counts'!L$4)))</f>
        <v/>
      </c>
      <c r="AH26" s="29" t="str">
        <f>IF(ISBLANK('Raw counts'!M$4),"",IF(ISBLANK('Raw counts'!M26),"",('Raw counts'!M26)/('Raw counts'!M$4)))</f>
        <v/>
      </c>
      <c r="AI26" s="29" t="str">
        <f>IF(ISBLANK('Raw counts'!N$4),"",IF(ISBLANK('Raw counts'!N26),"",('Raw counts'!N26)/('Raw counts'!N$4)))</f>
        <v/>
      </c>
      <c r="AJ26" s="29" t="str">
        <f>IF(ISBLANK('Raw counts'!O$4),"",IF(ISBLANK('Raw counts'!O26),"",('Raw counts'!O26)/('Raw counts'!O$4)))</f>
        <v/>
      </c>
      <c r="AK26" s="29" t="str">
        <f>IF(ISBLANK('Raw counts'!P$4),"",IF(ISBLANK('Raw counts'!P26),"",('Raw counts'!P26)/('Raw counts'!P$4)))</f>
        <v/>
      </c>
      <c r="AL26" s="29" t="str">
        <f>IF(ISBLANK('Raw counts'!Q$4),"",IF(ISBLANK('Raw counts'!Q26),"",('Raw counts'!Q26)/('Raw counts'!Q$4)))</f>
        <v/>
      </c>
      <c r="AM26" s="29" t="str">
        <f>IF(ISBLANK('Raw counts'!R$4),"",IF(ISBLANK('Raw counts'!R26),"",('Raw counts'!R26)/('Raw counts'!R$4)))</f>
        <v/>
      </c>
      <c r="AN26" s="29" t="str">
        <f>IF(ISBLANK('Raw counts'!S$4),"",IF(ISBLANK('Raw counts'!S26),"",('Raw counts'!S26)/('Raw counts'!S$4)))</f>
        <v/>
      </c>
      <c r="AO26" s="29" t="str">
        <f>IF(ISBLANK('Raw counts'!T$4),"",IF(ISBLANK('Raw counts'!T26),"",('Raw counts'!T26)/('Raw counts'!T$4)))</f>
        <v/>
      </c>
      <c r="AP26" s="29" t="str">
        <f>IF(ISBLANK('Raw counts'!U$4),"",IF(ISBLANK('Raw counts'!U26),"",('Raw counts'!U26)/('Raw counts'!U$4)))</f>
        <v/>
      </c>
      <c r="AQ26" s="32" t="str">
        <f t="shared" si="4"/>
        <v/>
      </c>
      <c r="AR26" s="32" t="str">
        <f t="shared" si="5"/>
        <v/>
      </c>
    </row>
    <row r="27" spans="1:44" x14ac:dyDescent="0.15">
      <c r="A27" s="18" t="str">
        <f>IF(ISBLANK('Raw counts'!A27),"",'Raw counts'!A27)</f>
        <v/>
      </c>
      <c r="B27" s="20" t="str">
        <f t="shared" si="3"/>
        <v xml:space="preserve"> </v>
      </c>
      <c r="C27" s="20" t="str">
        <f t="shared" si="17"/>
        <v xml:space="preserve"> </v>
      </c>
      <c r="D27" s="20" t="str">
        <f t="shared" si="18"/>
        <v xml:space="preserve"> </v>
      </c>
      <c r="E27" s="20" t="str">
        <f t="shared" si="19"/>
        <v xml:space="preserve"> </v>
      </c>
      <c r="F27" s="20" t="str">
        <f t="shared" si="20"/>
        <v xml:space="preserve"> </v>
      </c>
      <c r="G27" s="20" t="str">
        <f t="shared" si="21"/>
        <v xml:space="preserve"> </v>
      </c>
      <c r="H27" s="20" t="str">
        <f t="shared" si="22"/>
        <v xml:space="preserve"> </v>
      </c>
      <c r="I27" s="20" t="str">
        <f t="shared" si="23"/>
        <v xml:space="preserve"> </v>
      </c>
      <c r="J27" s="20" t="str">
        <f t="shared" si="24"/>
        <v xml:space="preserve"> </v>
      </c>
      <c r="K27" s="20" t="str">
        <f t="shared" si="6"/>
        <v xml:space="preserve"> </v>
      </c>
      <c r="L27" s="20" t="str">
        <f t="shared" si="7"/>
        <v xml:space="preserve"> </v>
      </c>
      <c r="M27" s="20" t="str">
        <f t="shared" si="8"/>
        <v xml:space="preserve"> </v>
      </c>
      <c r="N27" s="20" t="str">
        <f t="shared" si="9"/>
        <v xml:space="preserve"> </v>
      </c>
      <c r="O27" s="20" t="str">
        <f t="shared" si="10"/>
        <v xml:space="preserve"> </v>
      </c>
      <c r="P27" s="20" t="str">
        <f t="shared" si="11"/>
        <v xml:space="preserve"> </v>
      </c>
      <c r="Q27" s="20" t="str">
        <f t="shared" si="12"/>
        <v xml:space="preserve"> </v>
      </c>
      <c r="R27" s="20" t="str">
        <f t="shared" si="13"/>
        <v xml:space="preserve"> </v>
      </c>
      <c r="S27" s="20" t="str">
        <f t="shared" si="14"/>
        <v xml:space="preserve"> </v>
      </c>
      <c r="T27" s="20" t="str">
        <f t="shared" si="15"/>
        <v xml:space="preserve"> </v>
      </c>
      <c r="U27" s="20" t="str">
        <f t="shared" si="16"/>
        <v xml:space="preserve"> </v>
      </c>
      <c r="V27" s="35"/>
      <c r="W27" s="29" t="str">
        <f>IF(ISBLANK('Raw counts'!B$4),"",IF(ISBLANK('Raw counts'!B27),"",('Raw counts'!B27)/('Raw counts'!B$4)))</f>
        <v/>
      </c>
      <c r="X27" s="29" t="str">
        <f>IF(ISBLANK('Raw counts'!C$4),"",IF(ISBLANK('Raw counts'!C27),"",('Raw counts'!C27)/('Raw counts'!C$4)))</f>
        <v/>
      </c>
      <c r="Y27" s="29" t="str">
        <f>IF(ISBLANK('Raw counts'!D$4),"",IF(ISBLANK('Raw counts'!D27),"",('Raw counts'!D27)/('Raw counts'!D$4)))</f>
        <v/>
      </c>
      <c r="Z27" s="29" t="str">
        <f>IF(ISBLANK('Raw counts'!E$4),"",IF(ISBLANK('Raw counts'!E27),"",('Raw counts'!E27)/('Raw counts'!E$4)))</f>
        <v/>
      </c>
      <c r="AA27" s="29" t="str">
        <f>IF(ISBLANK('Raw counts'!F$4),"",IF(ISBLANK('Raw counts'!F27),"",('Raw counts'!F27)/('Raw counts'!F$4)))</f>
        <v/>
      </c>
      <c r="AB27" s="29" t="str">
        <f>IF(ISBLANK('Raw counts'!G$4),"",IF(ISBLANK('Raw counts'!G27),"",('Raw counts'!G27)/('Raw counts'!G$4)))</f>
        <v/>
      </c>
      <c r="AC27" s="29" t="str">
        <f>IF(ISBLANK('Raw counts'!H$4),"",IF(ISBLANK('Raw counts'!H27),"",('Raw counts'!H27)/('Raw counts'!H$4)))</f>
        <v/>
      </c>
      <c r="AD27" s="29" t="str">
        <f>IF(ISBLANK('Raw counts'!I$4),"",IF(ISBLANK('Raw counts'!I27),"",('Raw counts'!I27)/('Raw counts'!I$4)))</f>
        <v/>
      </c>
      <c r="AE27" s="29" t="str">
        <f>IF(ISBLANK('Raw counts'!J$4),"",IF(ISBLANK('Raw counts'!J27),"",('Raw counts'!J27)/('Raw counts'!J$4)))</f>
        <v/>
      </c>
      <c r="AF27" s="29" t="str">
        <f>IF(ISBLANK('Raw counts'!K$4),"",IF(ISBLANK('Raw counts'!K27),"",('Raw counts'!K27)/('Raw counts'!K$4)))</f>
        <v/>
      </c>
      <c r="AG27" s="29" t="str">
        <f>IF(ISBLANK('Raw counts'!L$4),"",IF(ISBLANK('Raw counts'!L27),"",('Raw counts'!L27)/('Raw counts'!L$4)))</f>
        <v/>
      </c>
      <c r="AH27" s="29" t="str">
        <f>IF(ISBLANK('Raw counts'!M$4),"",IF(ISBLANK('Raw counts'!M27),"",('Raw counts'!M27)/('Raw counts'!M$4)))</f>
        <v/>
      </c>
      <c r="AI27" s="29" t="str">
        <f>IF(ISBLANK('Raw counts'!N$4),"",IF(ISBLANK('Raw counts'!N27),"",('Raw counts'!N27)/('Raw counts'!N$4)))</f>
        <v/>
      </c>
      <c r="AJ27" s="29" t="str">
        <f>IF(ISBLANK('Raw counts'!O$4),"",IF(ISBLANK('Raw counts'!O27),"",('Raw counts'!O27)/('Raw counts'!O$4)))</f>
        <v/>
      </c>
      <c r="AK27" s="29" t="str">
        <f>IF(ISBLANK('Raw counts'!P$4),"",IF(ISBLANK('Raw counts'!P27),"",('Raw counts'!P27)/('Raw counts'!P$4)))</f>
        <v/>
      </c>
      <c r="AL27" s="29" t="str">
        <f>IF(ISBLANK('Raw counts'!Q$4),"",IF(ISBLANK('Raw counts'!Q27),"",('Raw counts'!Q27)/('Raw counts'!Q$4)))</f>
        <v/>
      </c>
      <c r="AM27" s="29" t="str">
        <f>IF(ISBLANK('Raw counts'!R$4),"",IF(ISBLANK('Raw counts'!R27),"",('Raw counts'!R27)/('Raw counts'!R$4)))</f>
        <v/>
      </c>
      <c r="AN27" s="29" t="str">
        <f>IF(ISBLANK('Raw counts'!S$4),"",IF(ISBLANK('Raw counts'!S27),"",('Raw counts'!S27)/('Raw counts'!S$4)))</f>
        <v/>
      </c>
      <c r="AO27" s="29" t="str">
        <f>IF(ISBLANK('Raw counts'!T$4),"",IF(ISBLANK('Raw counts'!T27),"",('Raw counts'!T27)/('Raw counts'!T$4)))</f>
        <v/>
      </c>
      <c r="AP27" s="29" t="str">
        <f>IF(ISBLANK('Raw counts'!U$4),"",IF(ISBLANK('Raw counts'!U27),"",('Raw counts'!U27)/('Raw counts'!U$4)))</f>
        <v/>
      </c>
      <c r="AQ27" s="32" t="str">
        <f t="shared" si="4"/>
        <v/>
      </c>
      <c r="AR27" s="32" t="str">
        <f t="shared" si="5"/>
        <v/>
      </c>
    </row>
    <row r="28" spans="1:44" x14ac:dyDescent="0.15">
      <c r="A28" s="18" t="str">
        <f>IF(ISBLANK('Raw counts'!A28),"",'Raw counts'!A28)</f>
        <v>Attr24</v>
      </c>
      <c r="B28" s="20" t="str">
        <f t="shared" si="3"/>
        <v xml:space="preserve"> </v>
      </c>
      <c r="C28" s="20" t="str">
        <f t="shared" si="17"/>
        <v xml:space="preserve"> </v>
      </c>
      <c r="D28" s="20" t="str">
        <f t="shared" si="18"/>
        <v xml:space="preserve"> </v>
      </c>
      <c r="E28" s="20" t="str">
        <f t="shared" si="19"/>
        <v xml:space="preserve"> </v>
      </c>
      <c r="F28" s="20" t="str">
        <f t="shared" si="20"/>
        <v xml:space="preserve"> </v>
      </c>
      <c r="G28" s="20" t="str">
        <f t="shared" si="21"/>
        <v xml:space="preserve"> </v>
      </c>
      <c r="H28" s="20" t="str">
        <f t="shared" si="22"/>
        <v xml:space="preserve"> </v>
      </c>
      <c r="I28" s="20" t="str">
        <f t="shared" si="23"/>
        <v xml:space="preserve"> </v>
      </c>
      <c r="J28" s="20" t="str">
        <f t="shared" si="24"/>
        <v xml:space="preserve"> </v>
      </c>
      <c r="K28" s="20" t="str">
        <f t="shared" si="6"/>
        <v xml:space="preserve"> </v>
      </c>
      <c r="L28" s="20" t="str">
        <f t="shared" si="7"/>
        <v xml:space="preserve"> </v>
      </c>
      <c r="M28" s="20" t="str">
        <f t="shared" si="8"/>
        <v xml:space="preserve"> </v>
      </c>
      <c r="N28" s="20" t="str">
        <f t="shared" si="9"/>
        <v xml:space="preserve"> </v>
      </c>
      <c r="O28" s="20" t="str">
        <f t="shared" si="10"/>
        <v xml:space="preserve"> </v>
      </c>
      <c r="P28" s="20" t="str">
        <f t="shared" si="11"/>
        <v xml:space="preserve"> </v>
      </c>
      <c r="Q28" s="20" t="str">
        <f t="shared" si="12"/>
        <v xml:space="preserve"> </v>
      </c>
      <c r="R28" s="20" t="str">
        <f t="shared" si="13"/>
        <v xml:space="preserve"> </v>
      </c>
      <c r="S28" s="20" t="str">
        <f t="shared" si="14"/>
        <v xml:space="preserve"> </v>
      </c>
      <c r="T28" s="20" t="str">
        <f t="shared" si="15"/>
        <v xml:space="preserve"> </v>
      </c>
      <c r="U28" s="20" t="str">
        <f t="shared" si="16"/>
        <v xml:space="preserve"> </v>
      </c>
      <c r="V28" s="35"/>
      <c r="W28" s="29" t="str">
        <f>IF(ISBLANK('Raw counts'!B$4),"",IF(ISBLANK('Raw counts'!B28),"",('Raw counts'!B28)/('Raw counts'!B$4)))</f>
        <v/>
      </c>
      <c r="X28" s="29" t="str">
        <f>IF(ISBLANK('Raw counts'!C$4),"",IF(ISBLANK('Raw counts'!C28),"",('Raw counts'!C28)/('Raw counts'!C$4)))</f>
        <v/>
      </c>
      <c r="Y28" s="29" t="str">
        <f>IF(ISBLANK('Raw counts'!D$4),"",IF(ISBLANK('Raw counts'!D28),"",('Raw counts'!D28)/('Raw counts'!D$4)))</f>
        <v/>
      </c>
      <c r="Z28" s="29" t="str">
        <f>IF(ISBLANK('Raw counts'!E$4),"",IF(ISBLANK('Raw counts'!E28),"",('Raw counts'!E28)/('Raw counts'!E$4)))</f>
        <v/>
      </c>
      <c r="AA28" s="29" t="str">
        <f>IF(ISBLANK('Raw counts'!F$4),"",IF(ISBLANK('Raw counts'!F28),"",('Raw counts'!F28)/('Raw counts'!F$4)))</f>
        <v/>
      </c>
      <c r="AB28" s="29" t="str">
        <f>IF(ISBLANK('Raw counts'!G$4),"",IF(ISBLANK('Raw counts'!G28),"",('Raw counts'!G28)/('Raw counts'!G$4)))</f>
        <v/>
      </c>
      <c r="AC28" s="29" t="str">
        <f>IF(ISBLANK('Raw counts'!H$4),"",IF(ISBLANK('Raw counts'!H28),"",('Raw counts'!H28)/('Raw counts'!H$4)))</f>
        <v/>
      </c>
      <c r="AD28" s="29" t="str">
        <f>IF(ISBLANK('Raw counts'!I$4),"",IF(ISBLANK('Raw counts'!I28),"",('Raw counts'!I28)/('Raw counts'!I$4)))</f>
        <v/>
      </c>
      <c r="AE28" s="29" t="str">
        <f>IF(ISBLANK('Raw counts'!J$4),"",IF(ISBLANK('Raw counts'!J28),"",('Raw counts'!J28)/('Raw counts'!J$4)))</f>
        <v/>
      </c>
      <c r="AF28" s="29" t="str">
        <f>IF(ISBLANK('Raw counts'!K$4),"",IF(ISBLANK('Raw counts'!K28),"",('Raw counts'!K28)/('Raw counts'!K$4)))</f>
        <v/>
      </c>
      <c r="AG28" s="29" t="str">
        <f>IF(ISBLANK('Raw counts'!L$4),"",IF(ISBLANK('Raw counts'!L28),"",('Raw counts'!L28)/('Raw counts'!L$4)))</f>
        <v/>
      </c>
      <c r="AH28" s="29" t="str">
        <f>IF(ISBLANK('Raw counts'!M$4),"",IF(ISBLANK('Raw counts'!M28),"",('Raw counts'!M28)/('Raw counts'!M$4)))</f>
        <v/>
      </c>
      <c r="AI28" s="29" t="str">
        <f>IF(ISBLANK('Raw counts'!N$4),"",IF(ISBLANK('Raw counts'!N28),"",('Raw counts'!N28)/('Raw counts'!N$4)))</f>
        <v/>
      </c>
      <c r="AJ28" s="29" t="str">
        <f>IF(ISBLANK('Raw counts'!O$4),"",IF(ISBLANK('Raw counts'!O28),"",('Raw counts'!O28)/('Raw counts'!O$4)))</f>
        <v/>
      </c>
      <c r="AK28" s="29" t="str">
        <f>IF(ISBLANK('Raw counts'!P$4),"",IF(ISBLANK('Raw counts'!P28),"",('Raw counts'!P28)/('Raw counts'!P$4)))</f>
        <v/>
      </c>
      <c r="AL28" s="29" t="str">
        <f>IF(ISBLANK('Raw counts'!Q$4),"",IF(ISBLANK('Raw counts'!Q28),"",('Raw counts'!Q28)/('Raw counts'!Q$4)))</f>
        <v/>
      </c>
      <c r="AM28" s="29" t="str">
        <f>IF(ISBLANK('Raw counts'!R$4),"",IF(ISBLANK('Raw counts'!R28),"",('Raw counts'!R28)/('Raw counts'!R$4)))</f>
        <v/>
      </c>
      <c r="AN28" s="29" t="str">
        <f>IF(ISBLANK('Raw counts'!S$4),"",IF(ISBLANK('Raw counts'!S28),"",('Raw counts'!S28)/('Raw counts'!S$4)))</f>
        <v/>
      </c>
      <c r="AO28" s="29" t="str">
        <f>IF(ISBLANK('Raw counts'!T$4),"",IF(ISBLANK('Raw counts'!T28),"",('Raw counts'!T28)/('Raw counts'!T$4)))</f>
        <v/>
      </c>
      <c r="AP28" s="29" t="str">
        <f>IF(ISBLANK('Raw counts'!U$4),"",IF(ISBLANK('Raw counts'!U28),"",('Raw counts'!U28)/('Raw counts'!U$4)))</f>
        <v/>
      </c>
      <c r="AQ28" s="32" t="str">
        <f t="shared" si="4"/>
        <v/>
      </c>
      <c r="AR28" s="32" t="str">
        <f t="shared" si="5"/>
        <v/>
      </c>
    </row>
    <row r="29" spans="1:44" x14ac:dyDescent="0.15">
      <c r="A29" s="18" t="str">
        <f>IF(ISBLANK('Raw counts'!A29),"",'Raw counts'!A29)</f>
        <v>Attr25</v>
      </c>
      <c r="B29" s="20" t="str">
        <f t="shared" si="3"/>
        <v xml:space="preserve"> </v>
      </c>
      <c r="C29" s="20" t="str">
        <f t="shared" si="17"/>
        <v xml:space="preserve"> </v>
      </c>
      <c r="D29" s="20" t="str">
        <f t="shared" si="18"/>
        <v xml:space="preserve"> </v>
      </c>
      <c r="E29" s="20" t="str">
        <f t="shared" si="19"/>
        <v xml:space="preserve"> </v>
      </c>
      <c r="F29" s="20" t="str">
        <f t="shared" si="20"/>
        <v xml:space="preserve"> </v>
      </c>
      <c r="G29" s="20" t="str">
        <f t="shared" si="21"/>
        <v xml:space="preserve"> </v>
      </c>
      <c r="H29" s="20" t="str">
        <f t="shared" si="22"/>
        <v xml:space="preserve"> </v>
      </c>
      <c r="I29" s="20" t="str">
        <f t="shared" si="23"/>
        <v xml:space="preserve"> </v>
      </c>
      <c r="J29" s="20" t="str">
        <f t="shared" si="24"/>
        <v xml:space="preserve"> </v>
      </c>
      <c r="K29" s="20" t="str">
        <f t="shared" si="6"/>
        <v xml:space="preserve"> </v>
      </c>
      <c r="L29" s="20" t="str">
        <f t="shared" si="7"/>
        <v xml:space="preserve"> </v>
      </c>
      <c r="M29" s="20" t="str">
        <f t="shared" si="8"/>
        <v xml:space="preserve"> </v>
      </c>
      <c r="N29" s="20" t="str">
        <f t="shared" si="9"/>
        <v xml:space="preserve"> </v>
      </c>
      <c r="O29" s="20" t="str">
        <f t="shared" si="10"/>
        <v xml:space="preserve"> </v>
      </c>
      <c r="P29" s="20" t="str">
        <f t="shared" si="11"/>
        <v xml:space="preserve"> </v>
      </c>
      <c r="Q29" s="20" t="str">
        <f t="shared" si="12"/>
        <v xml:space="preserve"> </v>
      </c>
      <c r="R29" s="20" t="str">
        <f t="shared" si="13"/>
        <v xml:space="preserve"> </v>
      </c>
      <c r="S29" s="20" t="str">
        <f t="shared" si="14"/>
        <v xml:space="preserve"> </v>
      </c>
      <c r="T29" s="20" t="str">
        <f t="shared" si="15"/>
        <v xml:space="preserve"> </v>
      </c>
      <c r="U29" s="20" t="str">
        <f t="shared" si="16"/>
        <v xml:space="preserve"> </v>
      </c>
      <c r="V29" s="35"/>
      <c r="W29" s="29" t="str">
        <f>IF(ISBLANK('Raw counts'!B$4),"",IF(ISBLANK('Raw counts'!B29),"",('Raw counts'!B29)/('Raw counts'!B$4)))</f>
        <v/>
      </c>
      <c r="X29" s="29" t="str">
        <f>IF(ISBLANK('Raw counts'!C$4),"",IF(ISBLANK('Raw counts'!C29),"",('Raw counts'!C29)/('Raw counts'!C$4)))</f>
        <v/>
      </c>
      <c r="Y29" s="29" t="str">
        <f>IF(ISBLANK('Raw counts'!D$4),"",IF(ISBLANK('Raw counts'!D29),"",('Raw counts'!D29)/('Raw counts'!D$4)))</f>
        <v/>
      </c>
      <c r="Z29" s="29" t="str">
        <f>IF(ISBLANK('Raw counts'!E$4),"",IF(ISBLANK('Raw counts'!E29),"",('Raw counts'!E29)/('Raw counts'!E$4)))</f>
        <v/>
      </c>
      <c r="AA29" s="29" t="str">
        <f>IF(ISBLANK('Raw counts'!F$4),"",IF(ISBLANK('Raw counts'!F29),"",('Raw counts'!F29)/('Raw counts'!F$4)))</f>
        <v/>
      </c>
      <c r="AB29" s="29" t="str">
        <f>IF(ISBLANK('Raw counts'!G$4),"",IF(ISBLANK('Raw counts'!G29),"",('Raw counts'!G29)/('Raw counts'!G$4)))</f>
        <v/>
      </c>
      <c r="AC29" s="29" t="str">
        <f>IF(ISBLANK('Raw counts'!H$4),"",IF(ISBLANK('Raw counts'!H29),"",('Raw counts'!H29)/('Raw counts'!H$4)))</f>
        <v/>
      </c>
      <c r="AD29" s="29" t="str">
        <f>IF(ISBLANK('Raw counts'!I$4),"",IF(ISBLANK('Raw counts'!I29),"",('Raw counts'!I29)/('Raw counts'!I$4)))</f>
        <v/>
      </c>
      <c r="AE29" s="29" t="str">
        <f>IF(ISBLANK('Raw counts'!J$4),"",IF(ISBLANK('Raw counts'!J29),"",('Raw counts'!J29)/('Raw counts'!J$4)))</f>
        <v/>
      </c>
      <c r="AF29" s="29" t="str">
        <f>IF(ISBLANK('Raw counts'!K$4),"",IF(ISBLANK('Raw counts'!K29),"",('Raw counts'!K29)/('Raw counts'!K$4)))</f>
        <v/>
      </c>
      <c r="AG29" s="29" t="str">
        <f>IF(ISBLANK('Raw counts'!L$4),"",IF(ISBLANK('Raw counts'!L29),"",('Raw counts'!L29)/('Raw counts'!L$4)))</f>
        <v/>
      </c>
      <c r="AH29" s="29" t="str">
        <f>IF(ISBLANK('Raw counts'!M$4),"",IF(ISBLANK('Raw counts'!M29),"",('Raw counts'!M29)/('Raw counts'!M$4)))</f>
        <v/>
      </c>
      <c r="AI29" s="29" t="str">
        <f>IF(ISBLANK('Raw counts'!N$4),"",IF(ISBLANK('Raw counts'!N29),"",('Raw counts'!N29)/('Raw counts'!N$4)))</f>
        <v/>
      </c>
      <c r="AJ29" s="29" t="str">
        <f>IF(ISBLANK('Raw counts'!O$4),"",IF(ISBLANK('Raw counts'!O29),"",('Raw counts'!O29)/('Raw counts'!O$4)))</f>
        <v/>
      </c>
      <c r="AK29" s="29" t="str">
        <f>IF(ISBLANK('Raw counts'!P$4),"",IF(ISBLANK('Raw counts'!P29),"",('Raw counts'!P29)/('Raw counts'!P$4)))</f>
        <v/>
      </c>
      <c r="AL29" s="29" t="str">
        <f>IF(ISBLANK('Raw counts'!Q$4),"",IF(ISBLANK('Raw counts'!Q29),"",('Raw counts'!Q29)/('Raw counts'!Q$4)))</f>
        <v/>
      </c>
      <c r="AM29" s="29" t="str">
        <f>IF(ISBLANK('Raw counts'!R$4),"",IF(ISBLANK('Raw counts'!R29),"",('Raw counts'!R29)/('Raw counts'!R$4)))</f>
        <v/>
      </c>
      <c r="AN29" s="29" t="str">
        <f>IF(ISBLANK('Raw counts'!S$4),"",IF(ISBLANK('Raw counts'!S29),"",('Raw counts'!S29)/('Raw counts'!S$4)))</f>
        <v/>
      </c>
      <c r="AO29" s="29" t="str">
        <f>IF(ISBLANK('Raw counts'!T$4),"",IF(ISBLANK('Raw counts'!T29),"",('Raw counts'!T29)/('Raw counts'!T$4)))</f>
        <v/>
      </c>
      <c r="AP29" s="29" t="str">
        <f>IF(ISBLANK('Raw counts'!U$4),"",IF(ISBLANK('Raw counts'!U29),"",('Raw counts'!U29)/('Raw counts'!U$4)))</f>
        <v/>
      </c>
      <c r="AQ29" s="32" t="str">
        <f t="shared" si="4"/>
        <v/>
      </c>
      <c r="AR29" s="32" t="str">
        <f t="shared" si="5"/>
        <v/>
      </c>
    </row>
    <row r="30" spans="1:44" x14ac:dyDescent="0.15">
      <c r="A30" s="18" t="str">
        <f>IF(ISBLANK('Raw counts'!A30),"",'Raw counts'!A30)</f>
        <v>Attr26</v>
      </c>
      <c r="B30" s="20" t="str">
        <f t="shared" si="3"/>
        <v xml:space="preserve"> </v>
      </c>
      <c r="C30" s="20" t="str">
        <f t="shared" si="17"/>
        <v xml:space="preserve"> </v>
      </c>
      <c r="D30" s="20" t="str">
        <f t="shared" si="18"/>
        <v xml:space="preserve"> </v>
      </c>
      <c r="E30" s="20" t="str">
        <f t="shared" si="19"/>
        <v xml:space="preserve"> </v>
      </c>
      <c r="F30" s="20" t="str">
        <f t="shared" si="20"/>
        <v xml:space="preserve"> </v>
      </c>
      <c r="G30" s="20" t="str">
        <f t="shared" si="21"/>
        <v xml:space="preserve"> </v>
      </c>
      <c r="H30" s="20" t="str">
        <f t="shared" si="22"/>
        <v xml:space="preserve"> </v>
      </c>
      <c r="I30" s="20" t="str">
        <f t="shared" si="23"/>
        <v xml:space="preserve"> </v>
      </c>
      <c r="J30" s="20" t="str">
        <f t="shared" si="24"/>
        <v xml:space="preserve"> </v>
      </c>
      <c r="K30" s="20" t="str">
        <f t="shared" si="6"/>
        <v xml:space="preserve"> </v>
      </c>
      <c r="L30" s="20" t="str">
        <f t="shared" si="7"/>
        <v xml:space="preserve"> </v>
      </c>
      <c r="M30" s="20" t="str">
        <f t="shared" si="8"/>
        <v xml:space="preserve"> </v>
      </c>
      <c r="N30" s="20" t="str">
        <f t="shared" si="9"/>
        <v xml:space="preserve"> </v>
      </c>
      <c r="O30" s="20" t="str">
        <f t="shared" si="10"/>
        <v xml:space="preserve"> </v>
      </c>
      <c r="P30" s="20" t="str">
        <f t="shared" si="11"/>
        <v xml:space="preserve"> </v>
      </c>
      <c r="Q30" s="20" t="str">
        <f t="shared" si="12"/>
        <v xml:space="preserve"> </v>
      </c>
      <c r="R30" s="20" t="str">
        <f t="shared" si="13"/>
        <v xml:space="preserve"> </v>
      </c>
      <c r="S30" s="20" t="str">
        <f t="shared" si="14"/>
        <v xml:space="preserve"> </v>
      </c>
      <c r="T30" s="20" t="str">
        <f t="shared" si="15"/>
        <v xml:space="preserve"> </v>
      </c>
      <c r="U30" s="20" t="str">
        <f t="shared" si="16"/>
        <v xml:space="preserve"> </v>
      </c>
      <c r="V30" s="35"/>
      <c r="W30" s="29" t="str">
        <f>IF(ISBLANK('Raw counts'!B$4),"",IF(ISBLANK('Raw counts'!B30),"",('Raw counts'!B30)/('Raw counts'!B$4)))</f>
        <v/>
      </c>
      <c r="X30" s="29" t="str">
        <f>IF(ISBLANK('Raw counts'!C$4),"",IF(ISBLANK('Raw counts'!C30),"",('Raw counts'!C30)/('Raw counts'!C$4)))</f>
        <v/>
      </c>
      <c r="Y30" s="29" t="str">
        <f>IF(ISBLANK('Raw counts'!D$4),"",IF(ISBLANK('Raw counts'!D30),"",('Raw counts'!D30)/('Raw counts'!D$4)))</f>
        <v/>
      </c>
      <c r="Z30" s="29" t="str">
        <f>IF(ISBLANK('Raw counts'!E$4),"",IF(ISBLANK('Raw counts'!E30),"",('Raw counts'!E30)/('Raw counts'!E$4)))</f>
        <v/>
      </c>
      <c r="AA30" s="29" t="str">
        <f>IF(ISBLANK('Raw counts'!F$4),"",IF(ISBLANK('Raw counts'!F30),"",('Raw counts'!F30)/('Raw counts'!F$4)))</f>
        <v/>
      </c>
      <c r="AB30" s="29" t="str">
        <f>IF(ISBLANK('Raw counts'!G$4),"",IF(ISBLANK('Raw counts'!G30),"",('Raw counts'!G30)/('Raw counts'!G$4)))</f>
        <v/>
      </c>
      <c r="AC30" s="29" t="str">
        <f>IF(ISBLANK('Raw counts'!H$4),"",IF(ISBLANK('Raw counts'!H30),"",('Raw counts'!H30)/('Raw counts'!H$4)))</f>
        <v/>
      </c>
      <c r="AD30" s="29" t="str">
        <f>IF(ISBLANK('Raw counts'!I$4),"",IF(ISBLANK('Raw counts'!I30),"",('Raw counts'!I30)/('Raw counts'!I$4)))</f>
        <v/>
      </c>
      <c r="AE30" s="29" t="str">
        <f>IF(ISBLANK('Raw counts'!J$4),"",IF(ISBLANK('Raw counts'!J30),"",('Raw counts'!J30)/('Raw counts'!J$4)))</f>
        <v/>
      </c>
      <c r="AF30" s="29" t="str">
        <f>IF(ISBLANK('Raw counts'!K$4),"",IF(ISBLANK('Raw counts'!K30),"",('Raw counts'!K30)/('Raw counts'!K$4)))</f>
        <v/>
      </c>
      <c r="AG30" s="29" t="str">
        <f>IF(ISBLANK('Raw counts'!L$4),"",IF(ISBLANK('Raw counts'!L30),"",('Raw counts'!L30)/('Raw counts'!L$4)))</f>
        <v/>
      </c>
      <c r="AH30" s="29" t="str">
        <f>IF(ISBLANK('Raw counts'!M$4),"",IF(ISBLANK('Raw counts'!M30),"",('Raw counts'!M30)/('Raw counts'!M$4)))</f>
        <v/>
      </c>
      <c r="AI30" s="29" t="str">
        <f>IF(ISBLANK('Raw counts'!N$4),"",IF(ISBLANK('Raw counts'!N30),"",('Raw counts'!N30)/('Raw counts'!N$4)))</f>
        <v/>
      </c>
      <c r="AJ30" s="29" t="str">
        <f>IF(ISBLANK('Raw counts'!O$4),"",IF(ISBLANK('Raw counts'!O30),"",('Raw counts'!O30)/('Raw counts'!O$4)))</f>
        <v/>
      </c>
      <c r="AK30" s="29" t="str">
        <f>IF(ISBLANK('Raw counts'!P$4),"",IF(ISBLANK('Raw counts'!P30),"",('Raw counts'!P30)/('Raw counts'!P$4)))</f>
        <v/>
      </c>
      <c r="AL30" s="29" t="str">
        <f>IF(ISBLANK('Raw counts'!Q$4),"",IF(ISBLANK('Raw counts'!Q30),"",('Raw counts'!Q30)/('Raw counts'!Q$4)))</f>
        <v/>
      </c>
      <c r="AM30" s="29" t="str">
        <f>IF(ISBLANK('Raw counts'!R$4),"",IF(ISBLANK('Raw counts'!R30),"",('Raw counts'!R30)/('Raw counts'!R$4)))</f>
        <v/>
      </c>
      <c r="AN30" s="29" t="str">
        <f>IF(ISBLANK('Raw counts'!S$4),"",IF(ISBLANK('Raw counts'!S30),"",('Raw counts'!S30)/('Raw counts'!S$4)))</f>
        <v/>
      </c>
      <c r="AO30" s="29" t="str">
        <f>IF(ISBLANK('Raw counts'!T$4),"",IF(ISBLANK('Raw counts'!T30),"",('Raw counts'!T30)/('Raw counts'!T$4)))</f>
        <v/>
      </c>
      <c r="AP30" s="29" t="str">
        <f>IF(ISBLANK('Raw counts'!U$4),"",IF(ISBLANK('Raw counts'!U30),"",('Raw counts'!U30)/('Raw counts'!U$4)))</f>
        <v/>
      </c>
      <c r="AQ30" s="32" t="str">
        <f t="shared" si="4"/>
        <v/>
      </c>
      <c r="AR30" s="32" t="str">
        <f t="shared" si="5"/>
        <v/>
      </c>
    </row>
    <row r="31" spans="1:44" x14ac:dyDescent="0.15">
      <c r="A31" s="18" t="str">
        <f>IF(ISBLANK('Raw counts'!A31),"",'Raw counts'!A31)</f>
        <v>Attr27</v>
      </c>
      <c r="B31" s="20" t="str">
        <f t="shared" si="3"/>
        <v xml:space="preserve"> </v>
      </c>
      <c r="C31" s="20" t="str">
        <f t="shared" si="17"/>
        <v xml:space="preserve"> </v>
      </c>
      <c r="D31" s="20" t="str">
        <f t="shared" si="18"/>
        <v xml:space="preserve"> </v>
      </c>
      <c r="E31" s="20" t="str">
        <f t="shared" si="19"/>
        <v xml:space="preserve"> </v>
      </c>
      <c r="F31" s="20" t="str">
        <f t="shared" si="20"/>
        <v xml:space="preserve"> </v>
      </c>
      <c r="G31" s="20" t="str">
        <f t="shared" si="21"/>
        <v xml:space="preserve"> </v>
      </c>
      <c r="H31" s="20" t="str">
        <f t="shared" si="22"/>
        <v xml:space="preserve"> </v>
      </c>
      <c r="I31" s="20" t="str">
        <f t="shared" si="23"/>
        <v xml:space="preserve"> </v>
      </c>
      <c r="J31" s="20" t="str">
        <f t="shared" si="24"/>
        <v xml:space="preserve"> </v>
      </c>
      <c r="K31" s="20" t="str">
        <f t="shared" si="6"/>
        <v xml:space="preserve"> </v>
      </c>
      <c r="L31" s="20" t="str">
        <f t="shared" si="7"/>
        <v xml:space="preserve"> </v>
      </c>
      <c r="M31" s="20" t="str">
        <f t="shared" si="8"/>
        <v xml:space="preserve"> </v>
      </c>
      <c r="N31" s="20" t="str">
        <f t="shared" si="9"/>
        <v xml:space="preserve"> </v>
      </c>
      <c r="O31" s="20" t="str">
        <f t="shared" si="10"/>
        <v xml:space="preserve"> </v>
      </c>
      <c r="P31" s="20" t="str">
        <f t="shared" si="11"/>
        <v xml:space="preserve"> </v>
      </c>
      <c r="Q31" s="20" t="str">
        <f t="shared" si="12"/>
        <v xml:space="preserve"> </v>
      </c>
      <c r="R31" s="20" t="str">
        <f t="shared" si="13"/>
        <v xml:space="preserve"> </v>
      </c>
      <c r="S31" s="20" t="str">
        <f t="shared" si="14"/>
        <v xml:space="preserve"> </v>
      </c>
      <c r="T31" s="20" t="str">
        <f t="shared" si="15"/>
        <v xml:space="preserve"> </v>
      </c>
      <c r="U31" s="20" t="str">
        <f t="shared" si="16"/>
        <v xml:space="preserve"> </v>
      </c>
      <c r="V31" s="35"/>
      <c r="W31" s="29" t="str">
        <f>IF(ISBLANK('Raw counts'!B$4),"",IF(ISBLANK('Raw counts'!B31),"",('Raw counts'!B31)/('Raw counts'!B$4)))</f>
        <v/>
      </c>
      <c r="X31" s="29" t="str">
        <f>IF(ISBLANK('Raw counts'!C$4),"",IF(ISBLANK('Raw counts'!C31),"",('Raw counts'!C31)/('Raw counts'!C$4)))</f>
        <v/>
      </c>
      <c r="Y31" s="29" t="str">
        <f>IF(ISBLANK('Raw counts'!D$4),"",IF(ISBLANK('Raw counts'!D31),"",('Raw counts'!D31)/('Raw counts'!D$4)))</f>
        <v/>
      </c>
      <c r="Z31" s="29" t="str">
        <f>IF(ISBLANK('Raw counts'!E$4),"",IF(ISBLANK('Raw counts'!E31),"",('Raw counts'!E31)/('Raw counts'!E$4)))</f>
        <v/>
      </c>
      <c r="AA31" s="29" t="str">
        <f>IF(ISBLANK('Raw counts'!F$4),"",IF(ISBLANK('Raw counts'!F31),"",('Raw counts'!F31)/('Raw counts'!F$4)))</f>
        <v/>
      </c>
      <c r="AB31" s="29" t="str">
        <f>IF(ISBLANK('Raw counts'!G$4),"",IF(ISBLANK('Raw counts'!G31),"",('Raw counts'!G31)/('Raw counts'!G$4)))</f>
        <v/>
      </c>
      <c r="AC31" s="29" t="str">
        <f>IF(ISBLANK('Raw counts'!H$4),"",IF(ISBLANK('Raw counts'!H31),"",('Raw counts'!H31)/('Raw counts'!H$4)))</f>
        <v/>
      </c>
      <c r="AD31" s="29" t="str">
        <f>IF(ISBLANK('Raw counts'!I$4),"",IF(ISBLANK('Raw counts'!I31),"",('Raw counts'!I31)/('Raw counts'!I$4)))</f>
        <v/>
      </c>
      <c r="AE31" s="29" t="str">
        <f>IF(ISBLANK('Raw counts'!J$4),"",IF(ISBLANK('Raw counts'!J31),"",('Raw counts'!J31)/('Raw counts'!J$4)))</f>
        <v/>
      </c>
      <c r="AF31" s="29" t="str">
        <f>IF(ISBLANK('Raw counts'!K$4),"",IF(ISBLANK('Raw counts'!K31),"",('Raw counts'!K31)/('Raw counts'!K$4)))</f>
        <v/>
      </c>
      <c r="AG31" s="29" t="str">
        <f>IF(ISBLANK('Raw counts'!L$4),"",IF(ISBLANK('Raw counts'!L31),"",('Raw counts'!L31)/('Raw counts'!L$4)))</f>
        <v/>
      </c>
      <c r="AH31" s="29" t="str">
        <f>IF(ISBLANK('Raw counts'!M$4),"",IF(ISBLANK('Raw counts'!M31),"",('Raw counts'!M31)/('Raw counts'!M$4)))</f>
        <v/>
      </c>
      <c r="AI31" s="29" t="str">
        <f>IF(ISBLANK('Raw counts'!N$4),"",IF(ISBLANK('Raw counts'!N31),"",('Raw counts'!N31)/('Raw counts'!N$4)))</f>
        <v/>
      </c>
      <c r="AJ31" s="29" t="str">
        <f>IF(ISBLANK('Raw counts'!O$4),"",IF(ISBLANK('Raw counts'!O31),"",('Raw counts'!O31)/('Raw counts'!O$4)))</f>
        <v/>
      </c>
      <c r="AK31" s="29" t="str">
        <f>IF(ISBLANK('Raw counts'!P$4),"",IF(ISBLANK('Raw counts'!P31),"",('Raw counts'!P31)/('Raw counts'!P$4)))</f>
        <v/>
      </c>
      <c r="AL31" s="29" t="str">
        <f>IF(ISBLANK('Raw counts'!Q$4),"",IF(ISBLANK('Raw counts'!Q31),"",('Raw counts'!Q31)/('Raw counts'!Q$4)))</f>
        <v/>
      </c>
      <c r="AM31" s="29" t="str">
        <f>IF(ISBLANK('Raw counts'!R$4),"",IF(ISBLANK('Raw counts'!R31),"",('Raw counts'!R31)/('Raw counts'!R$4)))</f>
        <v/>
      </c>
      <c r="AN31" s="29" t="str">
        <f>IF(ISBLANK('Raw counts'!S$4),"",IF(ISBLANK('Raw counts'!S31),"",('Raw counts'!S31)/('Raw counts'!S$4)))</f>
        <v/>
      </c>
      <c r="AO31" s="29" t="str">
        <f>IF(ISBLANK('Raw counts'!T$4),"",IF(ISBLANK('Raw counts'!T31),"",('Raw counts'!T31)/('Raw counts'!T$4)))</f>
        <v/>
      </c>
      <c r="AP31" s="29" t="str">
        <f>IF(ISBLANK('Raw counts'!U$4),"",IF(ISBLANK('Raw counts'!U31),"",('Raw counts'!U31)/('Raw counts'!U$4)))</f>
        <v/>
      </c>
      <c r="AQ31" s="32" t="str">
        <f t="shared" si="4"/>
        <v/>
      </c>
      <c r="AR31" s="32" t="str">
        <f t="shared" si="5"/>
        <v/>
      </c>
    </row>
    <row r="32" spans="1:44" x14ac:dyDescent="0.15">
      <c r="A32" s="18" t="str">
        <f>IF(ISBLANK('Raw counts'!A32),"",'Raw counts'!A32)</f>
        <v>Attr28</v>
      </c>
      <c r="B32" s="20" t="str">
        <f t="shared" si="3"/>
        <v xml:space="preserve"> </v>
      </c>
      <c r="C32" s="20" t="str">
        <f t="shared" si="17"/>
        <v xml:space="preserve"> </v>
      </c>
      <c r="D32" s="20" t="str">
        <f t="shared" si="18"/>
        <v xml:space="preserve"> </v>
      </c>
      <c r="E32" s="20" t="str">
        <f t="shared" si="19"/>
        <v xml:space="preserve"> </v>
      </c>
      <c r="F32" s="20" t="str">
        <f t="shared" si="20"/>
        <v xml:space="preserve"> </v>
      </c>
      <c r="G32" s="20" t="str">
        <f t="shared" si="21"/>
        <v xml:space="preserve"> </v>
      </c>
      <c r="H32" s="20" t="str">
        <f t="shared" si="22"/>
        <v xml:space="preserve"> </v>
      </c>
      <c r="I32" s="20" t="str">
        <f t="shared" si="23"/>
        <v xml:space="preserve"> </v>
      </c>
      <c r="J32" s="20" t="str">
        <f t="shared" si="24"/>
        <v xml:space="preserve"> </v>
      </c>
      <c r="K32" s="20" t="str">
        <f t="shared" si="6"/>
        <v xml:space="preserve"> </v>
      </c>
      <c r="L32" s="20" t="str">
        <f t="shared" si="7"/>
        <v xml:space="preserve"> </v>
      </c>
      <c r="M32" s="20" t="str">
        <f t="shared" si="8"/>
        <v xml:space="preserve"> </v>
      </c>
      <c r="N32" s="20" t="str">
        <f t="shared" si="9"/>
        <v xml:space="preserve"> </v>
      </c>
      <c r="O32" s="20" t="str">
        <f t="shared" si="10"/>
        <v xml:space="preserve"> </v>
      </c>
      <c r="P32" s="20" t="str">
        <f t="shared" si="11"/>
        <v xml:space="preserve"> </v>
      </c>
      <c r="Q32" s="20" t="str">
        <f t="shared" si="12"/>
        <v xml:space="preserve"> </v>
      </c>
      <c r="R32" s="20" t="str">
        <f t="shared" si="13"/>
        <v xml:space="preserve"> </v>
      </c>
      <c r="S32" s="20" t="str">
        <f t="shared" si="14"/>
        <v xml:space="preserve"> </v>
      </c>
      <c r="T32" s="20" t="str">
        <f t="shared" si="15"/>
        <v xml:space="preserve"> </v>
      </c>
      <c r="U32" s="20" t="str">
        <f t="shared" si="16"/>
        <v xml:space="preserve"> </v>
      </c>
      <c r="V32" s="35"/>
      <c r="W32" s="29" t="str">
        <f>IF(ISBLANK('Raw counts'!B$4),"",IF(ISBLANK('Raw counts'!B32),"",('Raw counts'!B32)/('Raw counts'!B$4)))</f>
        <v/>
      </c>
      <c r="X32" s="29" t="str">
        <f>IF(ISBLANK('Raw counts'!C$4),"",IF(ISBLANK('Raw counts'!C32),"",('Raw counts'!C32)/('Raw counts'!C$4)))</f>
        <v/>
      </c>
      <c r="Y32" s="29" t="str">
        <f>IF(ISBLANK('Raw counts'!D$4),"",IF(ISBLANK('Raw counts'!D32),"",('Raw counts'!D32)/('Raw counts'!D$4)))</f>
        <v/>
      </c>
      <c r="Z32" s="29" t="str">
        <f>IF(ISBLANK('Raw counts'!E$4),"",IF(ISBLANK('Raw counts'!E32),"",('Raw counts'!E32)/('Raw counts'!E$4)))</f>
        <v/>
      </c>
      <c r="AA32" s="29" t="str">
        <f>IF(ISBLANK('Raw counts'!F$4),"",IF(ISBLANK('Raw counts'!F32),"",('Raw counts'!F32)/('Raw counts'!F$4)))</f>
        <v/>
      </c>
      <c r="AB32" s="29" t="str">
        <f>IF(ISBLANK('Raw counts'!G$4),"",IF(ISBLANK('Raw counts'!G32),"",('Raw counts'!G32)/('Raw counts'!G$4)))</f>
        <v/>
      </c>
      <c r="AC32" s="29" t="str">
        <f>IF(ISBLANK('Raw counts'!H$4),"",IF(ISBLANK('Raw counts'!H32),"",('Raw counts'!H32)/('Raw counts'!H$4)))</f>
        <v/>
      </c>
      <c r="AD32" s="29" t="str">
        <f>IF(ISBLANK('Raw counts'!I$4),"",IF(ISBLANK('Raw counts'!I32),"",('Raw counts'!I32)/('Raw counts'!I$4)))</f>
        <v/>
      </c>
      <c r="AE32" s="29" t="str">
        <f>IF(ISBLANK('Raw counts'!J$4),"",IF(ISBLANK('Raw counts'!J32),"",('Raw counts'!J32)/('Raw counts'!J$4)))</f>
        <v/>
      </c>
      <c r="AF32" s="29" t="str">
        <f>IF(ISBLANK('Raw counts'!K$4),"",IF(ISBLANK('Raw counts'!K32),"",('Raw counts'!K32)/('Raw counts'!K$4)))</f>
        <v/>
      </c>
      <c r="AG32" s="29" t="str">
        <f>IF(ISBLANK('Raw counts'!L$4),"",IF(ISBLANK('Raw counts'!L32),"",('Raw counts'!L32)/('Raw counts'!L$4)))</f>
        <v/>
      </c>
      <c r="AH32" s="29" t="str">
        <f>IF(ISBLANK('Raw counts'!M$4),"",IF(ISBLANK('Raw counts'!M32),"",('Raw counts'!M32)/('Raw counts'!M$4)))</f>
        <v/>
      </c>
      <c r="AI32" s="29" t="str">
        <f>IF(ISBLANK('Raw counts'!N$4),"",IF(ISBLANK('Raw counts'!N32),"",('Raw counts'!N32)/('Raw counts'!N$4)))</f>
        <v/>
      </c>
      <c r="AJ32" s="29" t="str">
        <f>IF(ISBLANK('Raw counts'!O$4),"",IF(ISBLANK('Raw counts'!O32),"",('Raw counts'!O32)/('Raw counts'!O$4)))</f>
        <v/>
      </c>
      <c r="AK32" s="29" t="str">
        <f>IF(ISBLANK('Raw counts'!P$4),"",IF(ISBLANK('Raw counts'!P32),"",('Raw counts'!P32)/('Raw counts'!P$4)))</f>
        <v/>
      </c>
      <c r="AL32" s="29" t="str">
        <f>IF(ISBLANK('Raw counts'!Q$4),"",IF(ISBLANK('Raw counts'!Q32),"",('Raw counts'!Q32)/('Raw counts'!Q$4)))</f>
        <v/>
      </c>
      <c r="AM32" s="29" t="str">
        <f>IF(ISBLANK('Raw counts'!R$4),"",IF(ISBLANK('Raw counts'!R32),"",('Raw counts'!R32)/('Raw counts'!R$4)))</f>
        <v/>
      </c>
      <c r="AN32" s="29" t="str">
        <f>IF(ISBLANK('Raw counts'!S$4),"",IF(ISBLANK('Raw counts'!S32),"",('Raw counts'!S32)/('Raw counts'!S$4)))</f>
        <v/>
      </c>
      <c r="AO32" s="29" t="str">
        <f>IF(ISBLANK('Raw counts'!T$4),"",IF(ISBLANK('Raw counts'!T32),"",('Raw counts'!T32)/('Raw counts'!T$4)))</f>
        <v/>
      </c>
      <c r="AP32" s="29" t="str">
        <f>IF(ISBLANK('Raw counts'!U$4),"",IF(ISBLANK('Raw counts'!U32),"",('Raw counts'!U32)/('Raw counts'!U$4)))</f>
        <v/>
      </c>
      <c r="AQ32" s="32" t="str">
        <f t="shared" si="4"/>
        <v/>
      </c>
      <c r="AR32" s="32" t="str">
        <f t="shared" si="5"/>
        <v/>
      </c>
    </row>
    <row r="33" spans="1:44" x14ac:dyDescent="0.15">
      <c r="A33" s="18" t="str">
        <f>IF(ISBLANK('Raw counts'!A33),"",'Raw counts'!A33)</f>
        <v>Attr29</v>
      </c>
      <c r="B33" s="20" t="str">
        <f t="shared" si="3"/>
        <v xml:space="preserve"> </v>
      </c>
      <c r="C33" s="20" t="str">
        <f t="shared" si="17"/>
        <v xml:space="preserve"> </v>
      </c>
      <c r="D33" s="20" t="str">
        <f t="shared" si="18"/>
        <v xml:space="preserve"> </v>
      </c>
      <c r="E33" s="20" t="str">
        <f t="shared" si="19"/>
        <v xml:space="preserve"> </v>
      </c>
      <c r="F33" s="20" t="str">
        <f t="shared" si="20"/>
        <v xml:space="preserve"> </v>
      </c>
      <c r="G33" s="20" t="str">
        <f t="shared" si="21"/>
        <v xml:space="preserve"> </v>
      </c>
      <c r="H33" s="20" t="str">
        <f t="shared" si="22"/>
        <v xml:space="preserve"> </v>
      </c>
      <c r="I33" s="20" t="str">
        <f t="shared" si="23"/>
        <v xml:space="preserve"> </v>
      </c>
      <c r="J33" s="20" t="str">
        <f t="shared" si="24"/>
        <v xml:space="preserve"> </v>
      </c>
      <c r="K33" s="20" t="str">
        <f t="shared" si="6"/>
        <v xml:space="preserve"> </v>
      </c>
      <c r="L33" s="20" t="str">
        <f t="shared" si="7"/>
        <v xml:space="preserve"> </v>
      </c>
      <c r="M33" s="20" t="str">
        <f t="shared" si="8"/>
        <v xml:space="preserve"> </v>
      </c>
      <c r="N33" s="20" t="str">
        <f t="shared" si="9"/>
        <v xml:space="preserve"> </v>
      </c>
      <c r="O33" s="20" t="str">
        <f t="shared" si="10"/>
        <v xml:space="preserve"> </v>
      </c>
      <c r="P33" s="20" t="str">
        <f t="shared" si="11"/>
        <v xml:space="preserve"> </v>
      </c>
      <c r="Q33" s="20" t="str">
        <f t="shared" si="12"/>
        <v xml:space="preserve"> </v>
      </c>
      <c r="R33" s="20" t="str">
        <f t="shared" si="13"/>
        <v xml:space="preserve"> </v>
      </c>
      <c r="S33" s="20" t="str">
        <f t="shared" si="14"/>
        <v xml:space="preserve"> </v>
      </c>
      <c r="T33" s="20" t="str">
        <f t="shared" si="15"/>
        <v xml:space="preserve"> </v>
      </c>
      <c r="U33" s="20" t="str">
        <f t="shared" si="16"/>
        <v xml:space="preserve"> </v>
      </c>
      <c r="V33" s="35"/>
      <c r="W33" s="29" t="str">
        <f>IF(ISBLANK('Raw counts'!B$4),"",IF(ISBLANK('Raw counts'!B33),"",('Raw counts'!B33)/('Raw counts'!B$4)))</f>
        <v/>
      </c>
      <c r="X33" s="29" t="str">
        <f>IF(ISBLANK('Raw counts'!C$4),"",IF(ISBLANK('Raw counts'!C33),"",('Raw counts'!C33)/('Raw counts'!C$4)))</f>
        <v/>
      </c>
      <c r="Y33" s="29" t="str">
        <f>IF(ISBLANK('Raw counts'!D$4),"",IF(ISBLANK('Raw counts'!D33),"",('Raw counts'!D33)/('Raw counts'!D$4)))</f>
        <v/>
      </c>
      <c r="Z33" s="29" t="str">
        <f>IF(ISBLANK('Raw counts'!E$4),"",IF(ISBLANK('Raw counts'!E33),"",('Raw counts'!E33)/('Raw counts'!E$4)))</f>
        <v/>
      </c>
      <c r="AA33" s="29" t="str">
        <f>IF(ISBLANK('Raw counts'!F$4),"",IF(ISBLANK('Raw counts'!F33),"",('Raw counts'!F33)/('Raw counts'!F$4)))</f>
        <v/>
      </c>
      <c r="AB33" s="29" t="str">
        <f>IF(ISBLANK('Raw counts'!G$4),"",IF(ISBLANK('Raw counts'!G33),"",('Raw counts'!G33)/('Raw counts'!G$4)))</f>
        <v/>
      </c>
      <c r="AC33" s="29" t="str">
        <f>IF(ISBLANK('Raw counts'!H$4),"",IF(ISBLANK('Raw counts'!H33),"",('Raw counts'!H33)/('Raw counts'!H$4)))</f>
        <v/>
      </c>
      <c r="AD33" s="29" t="str">
        <f>IF(ISBLANK('Raw counts'!I$4),"",IF(ISBLANK('Raw counts'!I33),"",('Raw counts'!I33)/('Raw counts'!I$4)))</f>
        <v/>
      </c>
      <c r="AE33" s="29" t="str">
        <f>IF(ISBLANK('Raw counts'!J$4),"",IF(ISBLANK('Raw counts'!J33),"",('Raw counts'!J33)/('Raw counts'!J$4)))</f>
        <v/>
      </c>
      <c r="AF33" s="29" t="str">
        <f>IF(ISBLANK('Raw counts'!K$4),"",IF(ISBLANK('Raw counts'!K33),"",('Raw counts'!K33)/('Raw counts'!K$4)))</f>
        <v/>
      </c>
      <c r="AG33" s="29" t="str">
        <f>IF(ISBLANK('Raw counts'!L$4),"",IF(ISBLANK('Raw counts'!L33),"",('Raw counts'!L33)/('Raw counts'!L$4)))</f>
        <v/>
      </c>
      <c r="AH33" s="29" t="str">
        <f>IF(ISBLANK('Raw counts'!M$4),"",IF(ISBLANK('Raw counts'!M33),"",('Raw counts'!M33)/('Raw counts'!M$4)))</f>
        <v/>
      </c>
      <c r="AI33" s="29" t="str">
        <f>IF(ISBLANK('Raw counts'!N$4),"",IF(ISBLANK('Raw counts'!N33),"",('Raw counts'!N33)/('Raw counts'!N$4)))</f>
        <v/>
      </c>
      <c r="AJ33" s="29" t="str">
        <f>IF(ISBLANK('Raw counts'!O$4),"",IF(ISBLANK('Raw counts'!O33),"",('Raw counts'!O33)/('Raw counts'!O$4)))</f>
        <v/>
      </c>
      <c r="AK33" s="29" t="str">
        <f>IF(ISBLANK('Raw counts'!P$4),"",IF(ISBLANK('Raw counts'!P33),"",('Raw counts'!P33)/('Raw counts'!P$4)))</f>
        <v/>
      </c>
      <c r="AL33" s="29" t="str">
        <f>IF(ISBLANK('Raw counts'!Q$4),"",IF(ISBLANK('Raw counts'!Q33),"",('Raw counts'!Q33)/('Raw counts'!Q$4)))</f>
        <v/>
      </c>
      <c r="AM33" s="29" t="str">
        <f>IF(ISBLANK('Raw counts'!R$4),"",IF(ISBLANK('Raw counts'!R33),"",('Raw counts'!R33)/('Raw counts'!R$4)))</f>
        <v/>
      </c>
      <c r="AN33" s="29" t="str">
        <f>IF(ISBLANK('Raw counts'!S$4),"",IF(ISBLANK('Raw counts'!S33),"",('Raw counts'!S33)/('Raw counts'!S$4)))</f>
        <v/>
      </c>
      <c r="AO33" s="29" t="str">
        <f>IF(ISBLANK('Raw counts'!T$4),"",IF(ISBLANK('Raw counts'!T33),"",('Raw counts'!T33)/('Raw counts'!T$4)))</f>
        <v/>
      </c>
      <c r="AP33" s="29" t="str">
        <f>IF(ISBLANK('Raw counts'!U$4),"",IF(ISBLANK('Raw counts'!U33),"",('Raw counts'!U33)/('Raw counts'!U$4)))</f>
        <v/>
      </c>
      <c r="AQ33" s="32" t="str">
        <f t="shared" si="4"/>
        <v/>
      </c>
      <c r="AR33" s="32" t="str">
        <f t="shared" si="5"/>
        <v/>
      </c>
    </row>
    <row r="34" spans="1:44" x14ac:dyDescent="0.15">
      <c r="A34" s="18" t="str">
        <f>IF(ISBLANK('Raw counts'!A34),"",'Raw counts'!A34)</f>
        <v>Attr30</v>
      </c>
      <c r="B34" s="20" t="str">
        <f t="shared" si="3"/>
        <v xml:space="preserve"> </v>
      </c>
      <c r="C34" s="20" t="str">
        <f t="shared" si="17"/>
        <v xml:space="preserve"> </v>
      </c>
      <c r="D34" s="20" t="str">
        <f t="shared" si="18"/>
        <v xml:space="preserve"> </v>
      </c>
      <c r="E34" s="20" t="str">
        <f t="shared" si="19"/>
        <v xml:space="preserve"> </v>
      </c>
      <c r="F34" s="20" t="str">
        <f t="shared" si="20"/>
        <v xml:space="preserve"> </v>
      </c>
      <c r="G34" s="20" t="str">
        <f t="shared" si="21"/>
        <v xml:space="preserve"> </v>
      </c>
      <c r="H34" s="20" t="str">
        <f t="shared" si="22"/>
        <v xml:space="preserve"> </v>
      </c>
      <c r="I34" s="20" t="str">
        <f t="shared" si="23"/>
        <v xml:space="preserve"> </v>
      </c>
      <c r="J34" s="20" t="str">
        <f t="shared" si="24"/>
        <v xml:space="preserve"> </v>
      </c>
      <c r="K34" s="20" t="str">
        <f t="shared" si="6"/>
        <v xml:space="preserve"> </v>
      </c>
      <c r="L34" s="20" t="str">
        <f t="shared" si="7"/>
        <v xml:space="preserve"> </v>
      </c>
      <c r="M34" s="20" t="str">
        <f t="shared" si="8"/>
        <v xml:space="preserve"> </v>
      </c>
      <c r="N34" s="20" t="str">
        <f t="shared" si="9"/>
        <v xml:space="preserve"> </v>
      </c>
      <c r="O34" s="20" t="str">
        <f t="shared" si="10"/>
        <v xml:space="preserve"> </v>
      </c>
      <c r="P34" s="20" t="str">
        <f t="shared" si="11"/>
        <v xml:space="preserve"> </v>
      </c>
      <c r="Q34" s="20" t="str">
        <f t="shared" si="12"/>
        <v xml:space="preserve"> </v>
      </c>
      <c r="R34" s="20" t="str">
        <f t="shared" si="13"/>
        <v xml:space="preserve"> </v>
      </c>
      <c r="S34" s="20" t="str">
        <f t="shared" si="14"/>
        <v xml:space="preserve"> </v>
      </c>
      <c r="T34" s="20" t="str">
        <f t="shared" si="15"/>
        <v xml:space="preserve"> </v>
      </c>
      <c r="U34" s="20" t="str">
        <f t="shared" si="16"/>
        <v xml:space="preserve"> </v>
      </c>
      <c r="V34" s="35"/>
      <c r="W34" s="29" t="str">
        <f>IF(ISBLANK('Raw counts'!B$4),"",IF(ISBLANK('Raw counts'!B34),"",('Raw counts'!B34)/('Raw counts'!B$4)))</f>
        <v/>
      </c>
      <c r="X34" s="29" t="str">
        <f>IF(ISBLANK('Raw counts'!C$4),"",IF(ISBLANK('Raw counts'!C34),"",('Raw counts'!C34)/('Raw counts'!C$4)))</f>
        <v/>
      </c>
      <c r="Y34" s="29" t="str">
        <f>IF(ISBLANK('Raw counts'!D$4),"",IF(ISBLANK('Raw counts'!D34),"",('Raw counts'!D34)/('Raw counts'!D$4)))</f>
        <v/>
      </c>
      <c r="Z34" s="29" t="str">
        <f>IF(ISBLANK('Raw counts'!E$4),"",IF(ISBLANK('Raw counts'!E34),"",('Raw counts'!E34)/('Raw counts'!E$4)))</f>
        <v/>
      </c>
      <c r="AA34" s="29" t="str">
        <f>IF(ISBLANK('Raw counts'!F$4),"",IF(ISBLANK('Raw counts'!F34),"",('Raw counts'!F34)/('Raw counts'!F$4)))</f>
        <v/>
      </c>
      <c r="AB34" s="29" t="str">
        <f>IF(ISBLANK('Raw counts'!G$4),"",IF(ISBLANK('Raw counts'!G34),"",('Raw counts'!G34)/('Raw counts'!G$4)))</f>
        <v/>
      </c>
      <c r="AC34" s="29" t="str">
        <f>IF(ISBLANK('Raw counts'!H$4),"",IF(ISBLANK('Raw counts'!H34),"",('Raw counts'!H34)/('Raw counts'!H$4)))</f>
        <v/>
      </c>
      <c r="AD34" s="29" t="str">
        <f>IF(ISBLANK('Raw counts'!I$4),"",IF(ISBLANK('Raw counts'!I34),"",('Raw counts'!I34)/('Raw counts'!I$4)))</f>
        <v/>
      </c>
      <c r="AE34" s="29" t="str">
        <f>IF(ISBLANK('Raw counts'!J$4),"",IF(ISBLANK('Raw counts'!J34),"",('Raw counts'!J34)/('Raw counts'!J$4)))</f>
        <v/>
      </c>
      <c r="AF34" s="29" t="str">
        <f>IF(ISBLANK('Raw counts'!K$4),"",IF(ISBLANK('Raw counts'!K34),"",('Raw counts'!K34)/('Raw counts'!K$4)))</f>
        <v/>
      </c>
      <c r="AG34" s="29" t="str">
        <f>IF(ISBLANK('Raw counts'!L$4),"",IF(ISBLANK('Raw counts'!L34),"",('Raw counts'!L34)/('Raw counts'!L$4)))</f>
        <v/>
      </c>
      <c r="AH34" s="29" t="str">
        <f>IF(ISBLANK('Raw counts'!M$4),"",IF(ISBLANK('Raw counts'!M34),"",('Raw counts'!M34)/('Raw counts'!M$4)))</f>
        <v/>
      </c>
      <c r="AI34" s="29" t="str">
        <f>IF(ISBLANK('Raw counts'!N$4),"",IF(ISBLANK('Raw counts'!N34),"",('Raw counts'!N34)/('Raw counts'!N$4)))</f>
        <v/>
      </c>
      <c r="AJ34" s="29" t="str">
        <f>IF(ISBLANK('Raw counts'!O$4),"",IF(ISBLANK('Raw counts'!O34),"",('Raw counts'!O34)/('Raw counts'!O$4)))</f>
        <v/>
      </c>
      <c r="AK34" s="29" t="str">
        <f>IF(ISBLANK('Raw counts'!P$4),"",IF(ISBLANK('Raw counts'!P34),"",('Raw counts'!P34)/('Raw counts'!P$4)))</f>
        <v/>
      </c>
      <c r="AL34" s="29" t="str">
        <f>IF(ISBLANK('Raw counts'!Q$4),"",IF(ISBLANK('Raw counts'!Q34),"",('Raw counts'!Q34)/('Raw counts'!Q$4)))</f>
        <v/>
      </c>
      <c r="AM34" s="29" t="str">
        <f>IF(ISBLANK('Raw counts'!R$4),"",IF(ISBLANK('Raw counts'!R34),"",('Raw counts'!R34)/('Raw counts'!R$4)))</f>
        <v/>
      </c>
      <c r="AN34" s="29" t="str">
        <f>IF(ISBLANK('Raw counts'!S$4),"",IF(ISBLANK('Raw counts'!S34),"",('Raw counts'!S34)/('Raw counts'!S$4)))</f>
        <v/>
      </c>
      <c r="AO34" s="29" t="str">
        <f>IF(ISBLANK('Raw counts'!T$4),"",IF(ISBLANK('Raw counts'!T34),"",('Raw counts'!T34)/('Raw counts'!T$4)))</f>
        <v/>
      </c>
      <c r="AP34" s="29" t="str">
        <f>IF(ISBLANK('Raw counts'!U$4),"",IF(ISBLANK('Raw counts'!U34),"",('Raw counts'!U34)/('Raw counts'!U$4)))</f>
        <v/>
      </c>
      <c r="AQ34" s="32" t="str">
        <f t="shared" si="4"/>
        <v/>
      </c>
      <c r="AR34" s="32" t="str">
        <f t="shared" si="5"/>
        <v/>
      </c>
    </row>
    <row r="35" spans="1:44" x14ac:dyDescent="0.15">
      <c r="A35" s="18" t="str">
        <f>IF(ISBLANK('Raw counts'!A35),"",'Raw counts'!A35)</f>
        <v>Attr31</v>
      </c>
      <c r="B35" s="20" t="str">
        <f t="shared" si="3"/>
        <v xml:space="preserve"> </v>
      </c>
      <c r="C35" s="20" t="str">
        <f t="shared" si="17"/>
        <v xml:space="preserve"> </v>
      </c>
      <c r="D35" s="20" t="str">
        <f t="shared" si="18"/>
        <v xml:space="preserve"> </v>
      </c>
      <c r="E35" s="20" t="str">
        <f t="shared" si="19"/>
        <v xml:space="preserve"> </v>
      </c>
      <c r="F35" s="20" t="str">
        <f t="shared" si="20"/>
        <v xml:space="preserve"> </v>
      </c>
      <c r="G35" s="20" t="str">
        <f t="shared" si="21"/>
        <v xml:space="preserve"> </v>
      </c>
      <c r="H35" s="20" t="str">
        <f t="shared" si="22"/>
        <v xml:space="preserve"> </v>
      </c>
      <c r="I35" s="20" t="str">
        <f t="shared" si="23"/>
        <v xml:space="preserve"> </v>
      </c>
      <c r="J35" s="20" t="str">
        <f t="shared" si="24"/>
        <v xml:space="preserve"> </v>
      </c>
      <c r="K35" s="20" t="str">
        <f t="shared" si="6"/>
        <v xml:space="preserve"> </v>
      </c>
      <c r="L35" s="20" t="str">
        <f t="shared" si="7"/>
        <v xml:space="preserve"> </v>
      </c>
      <c r="M35" s="20" t="str">
        <f t="shared" si="8"/>
        <v xml:space="preserve"> </v>
      </c>
      <c r="N35" s="20" t="str">
        <f t="shared" si="9"/>
        <v xml:space="preserve"> </v>
      </c>
      <c r="O35" s="20" t="str">
        <f t="shared" si="10"/>
        <v xml:space="preserve"> </v>
      </c>
      <c r="P35" s="20" t="str">
        <f t="shared" si="11"/>
        <v xml:space="preserve"> </v>
      </c>
      <c r="Q35" s="20" t="str">
        <f t="shared" si="12"/>
        <v xml:space="preserve"> </v>
      </c>
      <c r="R35" s="20" t="str">
        <f t="shared" si="13"/>
        <v xml:space="preserve"> </v>
      </c>
      <c r="S35" s="20" t="str">
        <f t="shared" si="14"/>
        <v xml:space="preserve"> </v>
      </c>
      <c r="T35" s="20" t="str">
        <f t="shared" si="15"/>
        <v xml:space="preserve"> </v>
      </c>
      <c r="U35" s="20" t="str">
        <f t="shared" si="16"/>
        <v xml:space="preserve"> </v>
      </c>
      <c r="V35" s="35"/>
      <c r="W35" s="29" t="str">
        <f>IF(ISBLANK('Raw counts'!B$4),"",IF(ISBLANK('Raw counts'!B35),"",('Raw counts'!B35)/('Raw counts'!B$4)))</f>
        <v/>
      </c>
      <c r="X35" s="29" t="str">
        <f>IF(ISBLANK('Raw counts'!C$4),"",IF(ISBLANK('Raw counts'!C35),"",('Raw counts'!C35)/('Raw counts'!C$4)))</f>
        <v/>
      </c>
      <c r="Y35" s="29" t="str">
        <f>IF(ISBLANK('Raw counts'!D$4),"",IF(ISBLANK('Raw counts'!D35),"",('Raw counts'!D35)/('Raw counts'!D$4)))</f>
        <v/>
      </c>
      <c r="Z35" s="29" t="str">
        <f>IF(ISBLANK('Raw counts'!E$4),"",IF(ISBLANK('Raw counts'!E35),"",('Raw counts'!E35)/('Raw counts'!E$4)))</f>
        <v/>
      </c>
      <c r="AA35" s="29" t="str">
        <f>IF(ISBLANK('Raw counts'!F$4),"",IF(ISBLANK('Raw counts'!F35),"",('Raw counts'!F35)/('Raw counts'!F$4)))</f>
        <v/>
      </c>
      <c r="AB35" s="29" t="str">
        <f>IF(ISBLANK('Raw counts'!G$4),"",IF(ISBLANK('Raw counts'!G35),"",('Raw counts'!G35)/('Raw counts'!G$4)))</f>
        <v/>
      </c>
      <c r="AC35" s="29" t="str">
        <f>IF(ISBLANK('Raw counts'!H$4),"",IF(ISBLANK('Raw counts'!H35),"",('Raw counts'!H35)/('Raw counts'!H$4)))</f>
        <v/>
      </c>
      <c r="AD35" s="29" t="str">
        <f>IF(ISBLANK('Raw counts'!I$4),"",IF(ISBLANK('Raw counts'!I35),"",('Raw counts'!I35)/('Raw counts'!I$4)))</f>
        <v/>
      </c>
      <c r="AE35" s="29" t="str">
        <f>IF(ISBLANK('Raw counts'!J$4),"",IF(ISBLANK('Raw counts'!J35),"",('Raw counts'!J35)/('Raw counts'!J$4)))</f>
        <v/>
      </c>
      <c r="AF35" s="29" t="str">
        <f>IF(ISBLANK('Raw counts'!K$4),"",IF(ISBLANK('Raw counts'!K35),"",('Raw counts'!K35)/('Raw counts'!K$4)))</f>
        <v/>
      </c>
      <c r="AG35" s="29" t="str">
        <f>IF(ISBLANK('Raw counts'!L$4),"",IF(ISBLANK('Raw counts'!L35),"",('Raw counts'!L35)/('Raw counts'!L$4)))</f>
        <v/>
      </c>
      <c r="AH35" s="29" t="str">
        <f>IF(ISBLANK('Raw counts'!M$4),"",IF(ISBLANK('Raw counts'!M35),"",('Raw counts'!M35)/('Raw counts'!M$4)))</f>
        <v/>
      </c>
      <c r="AI35" s="29" t="str">
        <f>IF(ISBLANK('Raw counts'!N$4),"",IF(ISBLANK('Raw counts'!N35),"",('Raw counts'!N35)/('Raw counts'!N$4)))</f>
        <v/>
      </c>
      <c r="AJ35" s="29" t="str">
        <f>IF(ISBLANK('Raw counts'!O$4),"",IF(ISBLANK('Raw counts'!O35),"",('Raw counts'!O35)/('Raw counts'!O$4)))</f>
        <v/>
      </c>
      <c r="AK35" s="29" t="str">
        <f>IF(ISBLANK('Raw counts'!P$4),"",IF(ISBLANK('Raw counts'!P35),"",('Raw counts'!P35)/('Raw counts'!P$4)))</f>
        <v/>
      </c>
      <c r="AL35" s="29" t="str">
        <f>IF(ISBLANK('Raw counts'!Q$4),"",IF(ISBLANK('Raw counts'!Q35),"",('Raw counts'!Q35)/('Raw counts'!Q$4)))</f>
        <v/>
      </c>
      <c r="AM35" s="29" t="str">
        <f>IF(ISBLANK('Raw counts'!R$4),"",IF(ISBLANK('Raw counts'!R35),"",('Raw counts'!R35)/('Raw counts'!R$4)))</f>
        <v/>
      </c>
      <c r="AN35" s="29" t="str">
        <f>IF(ISBLANK('Raw counts'!S$4),"",IF(ISBLANK('Raw counts'!S35),"",('Raw counts'!S35)/('Raw counts'!S$4)))</f>
        <v/>
      </c>
      <c r="AO35" s="29" t="str">
        <f>IF(ISBLANK('Raw counts'!T$4),"",IF(ISBLANK('Raw counts'!T35),"",('Raw counts'!T35)/('Raw counts'!T$4)))</f>
        <v/>
      </c>
      <c r="AP35" s="29" t="str">
        <f>IF(ISBLANK('Raw counts'!U$4),"",IF(ISBLANK('Raw counts'!U35),"",('Raw counts'!U35)/('Raw counts'!U$4)))</f>
        <v/>
      </c>
      <c r="AQ35" s="32" t="str">
        <f t="shared" si="4"/>
        <v/>
      </c>
      <c r="AR35" s="32" t="str">
        <f t="shared" si="5"/>
        <v/>
      </c>
    </row>
    <row r="36" spans="1:44" x14ac:dyDescent="0.15">
      <c r="A36" s="18" t="str">
        <f>IF(ISBLANK('Raw counts'!A36),"",'Raw counts'!A36)</f>
        <v>Attr32</v>
      </c>
      <c r="B36" s="20" t="str">
        <f t="shared" si="3"/>
        <v xml:space="preserve"> </v>
      </c>
      <c r="C36" s="20" t="str">
        <f t="shared" si="17"/>
        <v xml:space="preserve"> </v>
      </c>
      <c r="D36" s="20" t="str">
        <f t="shared" si="18"/>
        <v xml:space="preserve"> </v>
      </c>
      <c r="E36" s="20" t="str">
        <f t="shared" si="19"/>
        <v xml:space="preserve"> </v>
      </c>
      <c r="F36" s="20" t="str">
        <f t="shared" si="20"/>
        <v xml:space="preserve"> </v>
      </c>
      <c r="G36" s="20" t="str">
        <f t="shared" si="21"/>
        <v xml:space="preserve"> </v>
      </c>
      <c r="H36" s="20" t="str">
        <f t="shared" si="22"/>
        <v xml:space="preserve"> </v>
      </c>
      <c r="I36" s="20" t="str">
        <f t="shared" si="23"/>
        <v xml:space="preserve"> </v>
      </c>
      <c r="J36" s="20" t="str">
        <f t="shared" si="24"/>
        <v xml:space="preserve"> </v>
      </c>
      <c r="K36" s="20" t="str">
        <f t="shared" si="6"/>
        <v xml:space="preserve"> </v>
      </c>
      <c r="L36" s="20" t="str">
        <f t="shared" si="7"/>
        <v xml:space="preserve"> </v>
      </c>
      <c r="M36" s="20" t="str">
        <f t="shared" si="8"/>
        <v xml:space="preserve"> </v>
      </c>
      <c r="N36" s="20" t="str">
        <f t="shared" si="9"/>
        <v xml:space="preserve"> </v>
      </c>
      <c r="O36" s="20" t="str">
        <f t="shared" si="10"/>
        <v xml:space="preserve"> </v>
      </c>
      <c r="P36" s="20" t="str">
        <f t="shared" si="11"/>
        <v xml:space="preserve"> </v>
      </c>
      <c r="Q36" s="20" t="str">
        <f t="shared" si="12"/>
        <v xml:space="preserve"> </v>
      </c>
      <c r="R36" s="20" t="str">
        <f t="shared" si="13"/>
        <v xml:space="preserve"> </v>
      </c>
      <c r="S36" s="20" t="str">
        <f t="shared" si="14"/>
        <v xml:space="preserve"> </v>
      </c>
      <c r="T36" s="20" t="str">
        <f t="shared" si="15"/>
        <v xml:space="preserve"> </v>
      </c>
      <c r="U36" s="20" t="str">
        <f t="shared" si="16"/>
        <v xml:space="preserve"> </v>
      </c>
      <c r="V36" s="35"/>
      <c r="W36" s="29" t="str">
        <f>IF(ISBLANK('Raw counts'!B$4),"",IF(ISBLANK('Raw counts'!B36),"",('Raw counts'!B36)/('Raw counts'!B$4)))</f>
        <v/>
      </c>
      <c r="X36" s="29" t="str">
        <f>IF(ISBLANK('Raw counts'!C$4),"",IF(ISBLANK('Raw counts'!C36),"",('Raw counts'!C36)/('Raw counts'!C$4)))</f>
        <v/>
      </c>
      <c r="Y36" s="29" t="str">
        <f>IF(ISBLANK('Raw counts'!D$4),"",IF(ISBLANK('Raw counts'!D36),"",('Raw counts'!D36)/('Raw counts'!D$4)))</f>
        <v/>
      </c>
      <c r="Z36" s="29" t="str">
        <f>IF(ISBLANK('Raw counts'!E$4),"",IF(ISBLANK('Raw counts'!E36),"",('Raw counts'!E36)/('Raw counts'!E$4)))</f>
        <v/>
      </c>
      <c r="AA36" s="29" t="str">
        <f>IF(ISBLANK('Raw counts'!F$4),"",IF(ISBLANK('Raw counts'!F36),"",('Raw counts'!F36)/('Raw counts'!F$4)))</f>
        <v/>
      </c>
      <c r="AB36" s="29" t="str">
        <f>IF(ISBLANK('Raw counts'!G$4),"",IF(ISBLANK('Raw counts'!G36),"",('Raw counts'!G36)/('Raw counts'!G$4)))</f>
        <v/>
      </c>
      <c r="AC36" s="29" t="str">
        <f>IF(ISBLANK('Raw counts'!H$4),"",IF(ISBLANK('Raw counts'!H36),"",('Raw counts'!H36)/('Raw counts'!H$4)))</f>
        <v/>
      </c>
      <c r="AD36" s="29" t="str">
        <f>IF(ISBLANK('Raw counts'!I$4),"",IF(ISBLANK('Raw counts'!I36),"",('Raw counts'!I36)/('Raw counts'!I$4)))</f>
        <v/>
      </c>
      <c r="AE36" s="29" t="str">
        <f>IF(ISBLANK('Raw counts'!J$4),"",IF(ISBLANK('Raw counts'!J36),"",('Raw counts'!J36)/('Raw counts'!J$4)))</f>
        <v/>
      </c>
      <c r="AF36" s="29" t="str">
        <f>IF(ISBLANK('Raw counts'!K$4),"",IF(ISBLANK('Raw counts'!K36),"",('Raw counts'!K36)/('Raw counts'!K$4)))</f>
        <v/>
      </c>
      <c r="AG36" s="29" t="str">
        <f>IF(ISBLANK('Raw counts'!L$4),"",IF(ISBLANK('Raw counts'!L36),"",('Raw counts'!L36)/('Raw counts'!L$4)))</f>
        <v/>
      </c>
      <c r="AH36" s="29" t="str">
        <f>IF(ISBLANK('Raw counts'!M$4),"",IF(ISBLANK('Raw counts'!M36),"",('Raw counts'!M36)/('Raw counts'!M$4)))</f>
        <v/>
      </c>
      <c r="AI36" s="29" t="str">
        <f>IF(ISBLANK('Raw counts'!N$4),"",IF(ISBLANK('Raw counts'!N36),"",('Raw counts'!N36)/('Raw counts'!N$4)))</f>
        <v/>
      </c>
      <c r="AJ36" s="29" t="str">
        <f>IF(ISBLANK('Raw counts'!O$4),"",IF(ISBLANK('Raw counts'!O36),"",('Raw counts'!O36)/('Raw counts'!O$4)))</f>
        <v/>
      </c>
      <c r="AK36" s="29" t="str">
        <f>IF(ISBLANK('Raw counts'!P$4),"",IF(ISBLANK('Raw counts'!P36),"",('Raw counts'!P36)/('Raw counts'!P$4)))</f>
        <v/>
      </c>
      <c r="AL36" s="29" t="str">
        <f>IF(ISBLANK('Raw counts'!Q$4),"",IF(ISBLANK('Raw counts'!Q36),"",('Raw counts'!Q36)/('Raw counts'!Q$4)))</f>
        <v/>
      </c>
      <c r="AM36" s="29" t="str">
        <f>IF(ISBLANK('Raw counts'!R$4),"",IF(ISBLANK('Raw counts'!R36),"",('Raw counts'!R36)/('Raw counts'!R$4)))</f>
        <v/>
      </c>
      <c r="AN36" s="29" t="str">
        <f>IF(ISBLANK('Raw counts'!S$4),"",IF(ISBLANK('Raw counts'!S36),"",('Raw counts'!S36)/('Raw counts'!S$4)))</f>
        <v/>
      </c>
      <c r="AO36" s="29" t="str">
        <f>IF(ISBLANK('Raw counts'!T$4),"",IF(ISBLANK('Raw counts'!T36),"",('Raw counts'!T36)/('Raw counts'!T$4)))</f>
        <v/>
      </c>
      <c r="AP36" s="29" t="str">
        <f>IF(ISBLANK('Raw counts'!U$4),"",IF(ISBLANK('Raw counts'!U36),"",('Raw counts'!U36)/('Raw counts'!U$4)))</f>
        <v/>
      </c>
      <c r="AQ36" s="32" t="str">
        <f t="shared" si="4"/>
        <v/>
      </c>
      <c r="AR36" s="32" t="str">
        <f t="shared" si="5"/>
        <v/>
      </c>
    </row>
    <row r="37" spans="1:44" x14ac:dyDescent="0.15">
      <c r="A37" s="18" t="str">
        <f>IF(ISBLANK('Raw counts'!A37),"",'Raw counts'!A37)</f>
        <v>Attr33</v>
      </c>
      <c r="B37" s="20" t="str">
        <f t="shared" si="3"/>
        <v xml:space="preserve"> </v>
      </c>
      <c r="C37" s="20" t="str">
        <f t="shared" si="17"/>
        <v xml:space="preserve"> </v>
      </c>
      <c r="D37" s="20" t="str">
        <f t="shared" si="18"/>
        <v xml:space="preserve"> </v>
      </c>
      <c r="E37" s="20" t="str">
        <f t="shared" si="19"/>
        <v xml:space="preserve"> </v>
      </c>
      <c r="F37" s="20" t="str">
        <f t="shared" si="20"/>
        <v xml:space="preserve"> </v>
      </c>
      <c r="G37" s="20" t="str">
        <f t="shared" si="21"/>
        <v xml:space="preserve"> </v>
      </c>
      <c r="H37" s="20" t="str">
        <f t="shared" si="22"/>
        <v xml:space="preserve"> </v>
      </c>
      <c r="I37" s="20" t="str">
        <f t="shared" si="23"/>
        <v xml:space="preserve"> </v>
      </c>
      <c r="J37" s="20" t="str">
        <f t="shared" si="24"/>
        <v xml:space="preserve"> </v>
      </c>
      <c r="K37" s="20" t="str">
        <f t="shared" si="6"/>
        <v xml:space="preserve"> </v>
      </c>
      <c r="L37" s="20" t="str">
        <f t="shared" si="7"/>
        <v xml:space="preserve"> </v>
      </c>
      <c r="M37" s="20" t="str">
        <f t="shared" si="8"/>
        <v xml:space="preserve"> </v>
      </c>
      <c r="N37" s="20" t="str">
        <f t="shared" si="9"/>
        <v xml:space="preserve"> </v>
      </c>
      <c r="O37" s="20" t="str">
        <f t="shared" si="10"/>
        <v xml:space="preserve"> </v>
      </c>
      <c r="P37" s="20" t="str">
        <f t="shared" si="11"/>
        <v xml:space="preserve"> </v>
      </c>
      <c r="Q37" s="20" t="str">
        <f t="shared" si="12"/>
        <v xml:space="preserve"> </v>
      </c>
      <c r="R37" s="20" t="str">
        <f t="shared" si="13"/>
        <v xml:space="preserve"> </v>
      </c>
      <c r="S37" s="20" t="str">
        <f t="shared" si="14"/>
        <v xml:space="preserve"> </v>
      </c>
      <c r="T37" s="20" t="str">
        <f t="shared" si="15"/>
        <v xml:space="preserve"> </v>
      </c>
      <c r="U37" s="20" t="str">
        <f t="shared" si="16"/>
        <v xml:space="preserve"> </v>
      </c>
      <c r="V37" s="35"/>
      <c r="W37" s="29" t="str">
        <f>IF(ISBLANK('Raw counts'!B$4),"",IF(ISBLANK('Raw counts'!B37),"",('Raw counts'!B37)/('Raw counts'!B$4)))</f>
        <v/>
      </c>
      <c r="X37" s="29" t="str">
        <f>IF(ISBLANK('Raw counts'!C$4),"",IF(ISBLANK('Raw counts'!C37),"",('Raw counts'!C37)/('Raw counts'!C$4)))</f>
        <v/>
      </c>
      <c r="Y37" s="29" t="str">
        <f>IF(ISBLANK('Raw counts'!D$4),"",IF(ISBLANK('Raw counts'!D37),"",('Raw counts'!D37)/('Raw counts'!D$4)))</f>
        <v/>
      </c>
      <c r="Z37" s="29" t="str">
        <f>IF(ISBLANK('Raw counts'!E$4),"",IF(ISBLANK('Raw counts'!E37),"",('Raw counts'!E37)/('Raw counts'!E$4)))</f>
        <v/>
      </c>
      <c r="AA37" s="29" t="str">
        <f>IF(ISBLANK('Raw counts'!F$4),"",IF(ISBLANK('Raw counts'!F37),"",('Raw counts'!F37)/('Raw counts'!F$4)))</f>
        <v/>
      </c>
      <c r="AB37" s="29" t="str">
        <f>IF(ISBLANK('Raw counts'!G$4),"",IF(ISBLANK('Raw counts'!G37),"",('Raw counts'!G37)/('Raw counts'!G$4)))</f>
        <v/>
      </c>
      <c r="AC37" s="29" t="str">
        <f>IF(ISBLANK('Raw counts'!H$4),"",IF(ISBLANK('Raw counts'!H37),"",('Raw counts'!H37)/('Raw counts'!H$4)))</f>
        <v/>
      </c>
      <c r="AD37" s="29" t="str">
        <f>IF(ISBLANK('Raw counts'!I$4),"",IF(ISBLANK('Raw counts'!I37),"",('Raw counts'!I37)/('Raw counts'!I$4)))</f>
        <v/>
      </c>
      <c r="AE37" s="29" t="str">
        <f>IF(ISBLANK('Raw counts'!J$4),"",IF(ISBLANK('Raw counts'!J37),"",('Raw counts'!J37)/('Raw counts'!J$4)))</f>
        <v/>
      </c>
      <c r="AF37" s="29" t="str">
        <f>IF(ISBLANK('Raw counts'!K$4),"",IF(ISBLANK('Raw counts'!K37),"",('Raw counts'!K37)/('Raw counts'!K$4)))</f>
        <v/>
      </c>
      <c r="AG37" s="29" t="str">
        <f>IF(ISBLANK('Raw counts'!L$4),"",IF(ISBLANK('Raw counts'!L37),"",('Raw counts'!L37)/('Raw counts'!L$4)))</f>
        <v/>
      </c>
      <c r="AH37" s="29" t="str">
        <f>IF(ISBLANK('Raw counts'!M$4),"",IF(ISBLANK('Raw counts'!M37),"",('Raw counts'!M37)/('Raw counts'!M$4)))</f>
        <v/>
      </c>
      <c r="AI37" s="29" t="str">
        <f>IF(ISBLANK('Raw counts'!N$4),"",IF(ISBLANK('Raw counts'!N37),"",('Raw counts'!N37)/('Raw counts'!N$4)))</f>
        <v/>
      </c>
      <c r="AJ37" s="29" t="str">
        <f>IF(ISBLANK('Raw counts'!O$4),"",IF(ISBLANK('Raw counts'!O37),"",('Raw counts'!O37)/('Raw counts'!O$4)))</f>
        <v/>
      </c>
      <c r="AK37" s="29" t="str">
        <f>IF(ISBLANK('Raw counts'!P$4),"",IF(ISBLANK('Raw counts'!P37),"",('Raw counts'!P37)/('Raw counts'!P$4)))</f>
        <v/>
      </c>
      <c r="AL37" s="29" t="str">
        <f>IF(ISBLANK('Raw counts'!Q$4),"",IF(ISBLANK('Raw counts'!Q37),"",('Raw counts'!Q37)/('Raw counts'!Q$4)))</f>
        <v/>
      </c>
      <c r="AM37" s="29" t="str">
        <f>IF(ISBLANK('Raw counts'!R$4),"",IF(ISBLANK('Raw counts'!R37),"",('Raw counts'!R37)/('Raw counts'!R$4)))</f>
        <v/>
      </c>
      <c r="AN37" s="29" t="str">
        <f>IF(ISBLANK('Raw counts'!S$4),"",IF(ISBLANK('Raw counts'!S37),"",('Raw counts'!S37)/('Raw counts'!S$4)))</f>
        <v/>
      </c>
      <c r="AO37" s="29" t="str">
        <f>IF(ISBLANK('Raw counts'!T$4),"",IF(ISBLANK('Raw counts'!T37),"",('Raw counts'!T37)/('Raw counts'!T$4)))</f>
        <v/>
      </c>
      <c r="AP37" s="29" t="str">
        <f>IF(ISBLANK('Raw counts'!U$4),"",IF(ISBLANK('Raw counts'!U37),"",('Raw counts'!U37)/('Raw counts'!U$4)))</f>
        <v/>
      </c>
      <c r="AQ37" s="32" t="str">
        <f t="shared" si="4"/>
        <v/>
      </c>
      <c r="AR37" s="32" t="str">
        <f t="shared" si="5"/>
        <v/>
      </c>
    </row>
    <row r="38" spans="1:44" x14ac:dyDescent="0.15">
      <c r="A38" s="18" t="str">
        <f>IF(ISBLANK('Raw counts'!A38),"",'Raw counts'!A38)</f>
        <v>Attr34</v>
      </c>
      <c r="B38" s="20" t="str">
        <f t="shared" si="3"/>
        <v xml:space="preserve"> </v>
      </c>
      <c r="C38" s="20" t="str">
        <f t="shared" si="17"/>
        <v xml:space="preserve"> </v>
      </c>
      <c r="D38" s="20" t="str">
        <f t="shared" si="18"/>
        <v xml:space="preserve"> </v>
      </c>
      <c r="E38" s="20" t="str">
        <f t="shared" si="19"/>
        <v xml:space="preserve"> </v>
      </c>
      <c r="F38" s="20" t="str">
        <f t="shared" si="20"/>
        <v xml:space="preserve"> </v>
      </c>
      <c r="G38" s="20" t="str">
        <f t="shared" si="21"/>
        <v xml:space="preserve"> </v>
      </c>
      <c r="H38" s="20" t="str">
        <f t="shared" si="22"/>
        <v xml:space="preserve"> </v>
      </c>
      <c r="I38" s="20" t="str">
        <f t="shared" si="23"/>
        <v xml:space="preserve"> </v>
      </c>
      <c r="J38" s="20" t="str">
        <f t="shared" si="24"/>
        <v xml:space="preserve"> </v>
      </c>
      <c r="K38" s="20" t="str">
        <f t="shared" si="6"/>
        <v xml:space="preserve"> </v>
      </c>
      <c r="L38" s="20" t="str">
        <f t="shared" si="7"/>
        <v xml:space="preserve"> </v>
      </c>
      <c r="M38" s="20" t="str">
        <f t="shared" si="8"/>
        <v xml:space="preserve"> </v>
      </c>
      <c r="N38" s="20" t="str">
        <f t="shared" si="9"/>
        <v xml:space="preserve"> </v>
      </c>
      <c r="O38" s="20" t="str">
        <f t="shared" si="10"/>
        <v xml:space="preserve"> </v>
      </c>
      <c r="P38" s="20" t="str">
        <f t="shared" si="11"/>
        <v xml:space="preserve"> </v>
      </c>
      <c r="Q38" s="20" t="str">
        <f t="shared" si="12"/>
        <v xml:space="preserve"> </v>
      </c>
      <c r="R38" s="20" t="str">
        <f t="shared" si="13"/>
        <v xml:space="preserve"> </v>
      </c>
      <c r="S38" s="20" t="str">
        <f t="shared" si="14"/>
        <v xml:space="preserve"> </v>
      </c>
      <c r="T38" s="20" t="str">
        <f t="shared" si="15"/>
        <v xml:space="preserve"> </v>
      </c>
      <c r="U38" s="20" t="str">
        <f t="shared" si="16"/>
        <v xml:space="preserve"> </v>
      </c>
      <c r="V38" s="35"/>
      <c r="W38" s="29" t="str">
        <f>IF(ISBLANK('Raw counts'!B$4),"",IF(ISBLANK('Raw counts'!B38),"",('Raw counts'!B38)/('Raw counts'!B$4)))</f>
        <v/>
      </c>
      <c r="X38" s="29" t="str">
        <f>IF(ISBLANK('Raw counts'!C$4),"",IF(ISBLANK('Raw counts'!C38),"",('Raw counts'!C38)/('Raw counts'!C$4)))</f>
        <v/>
      </c>
      <c r="Y38" s="29" t="str">
        <f>IF(ISBLANK('Raw counts'!D$4),"",IF(ISBLANK('Raw counts'!D38),"",('Raw counts'!D38)/('Raw counts'!D$4)))</f>
        <v/>
      </c>
      <c r="Z38" s="29" t="str">
        <f>IF(ISBLANK('Raw counts'!E$4),"",IF(ISBLANK('Raw counts'!E38),"",('Raw counts'!E38)/('Raw counts'!E$4)))</f>
        <v/>
      </c>
      <c r="AA38" s="29" t="str">
        <f>IF(ISBLANK('Raw counts'!F$4),"",IF(ISBLANK('Raw counts'!F38),"",('Raw counts'!F38)/('Raw counts'!F$4)))</f>
        <v/>
      </c>
      <c r="AB38" s="29" t="str">
        <f>IF(ISBLANK('Raw counts'!G$4),"",IF(ISBLANK('Raw counts'!G38),"",('Raw counts'!G38)/('Raw counts'!G$4)))</f>
        <v/>
      </c>
      <c r="AC38" s="29" t="str">
        <f>IF(ISBLANK('Raw counts'!H$4),"",IF(ISBLANK('Raw counts'!H38),"",('Raw counts'!H38)/('Raw counts'!H$4)))</f>
        <v/>
      </c>
      <c r="AD38" s="29" t="str">
        <f>IF(ISBLANK('Raw counts'!I$4),"",IF(ISBLANK('Raw counts'!I38),"",('Raw counts'!I38)/('Raw counts'!I$4)))</f>
        <v/>
      </c>
      <c r="AE38" s="29" t="str">
        <f>IF(ISBLANK('Raw counts'!J$4),"",IF(ISBLANK('Raw counts'!J38),"",('Raw counts'!J38)/('Raw counts'!J$4)))</f>
        <v/>
      </c>
      <c r="AF38" s="29" t="str">
        <f>IF(ISBLANK('Raw counts'!K$4),"",IF(ISBLANK('Raw counts'!K38),"",('Raw counts'!K38)/('Raw counts'!K$4)))</f>
        <v/>
      </c>
      <c r="AG38" s="29" t="str">
        <f>IF(ISBLANK('Raw counts'!L$4),"",IF(ISBLANK('Raw counts'!L38),"",('Raw counts'!L38)/('Raw counts'!L$4)))</f>
        <v/>
      </c>
      <c r="AH38" s="29" t="str">
        <f>IF(ISBLANK('Raw counts'!M$4),"",IF(ISBLANK('Raw counts'!M38),"",('Raw counts'!M38)/('Raw counts'!M$4)))</f>
        <v/>
      </c>
      <c r="AI38" s="29" t="str">
        <f>IF(ISBLANK('Raw counts'!N$4),"",IF(ISBLANK('Raw counts'!N38),"",('Raw counts'!N38)/('Raw counts'!N$4)))</f>
        <v/>
      </c>
      <c r="AJ38" s="29" t="str">
        <f>IF(ISBLANK('Raw counts'!O$4),"",IF(ISBLANK('Raw counts'!O38),"",('Raw counts'!O38)/('Raw counts'!O$4)))</f>
        <v/>
      </c>
      <c r="AK38" s="29" t="str">
        <f>IF(ISBLANK('Raw counts'!P$4),"",IF(ISBLANK('Raw counts'!P38),"",('Raw counts'!P38)/('Raw counts'!P$4)))</f>
        <v/>
      </c>
      <c r="AL38" s="29" t="str">
        <f>IF(ISBLANK('Raw counts'!Q$4),"",IF(ISBLANK('Raw counts'!Q38),"",('Raw counts'!Q38)/('Raw counts'!Q$4)))</f>
        <v/>
      </c>
      <c r="AM38" s="29" t="str">
        <f>IF(ISBLANK('Raw counts'!R$4),"",IF(ISBLANK('Raw counts'!R38),"",('Raw counts'!R38)/('Raw counts'!R$4)))</f>
        <v/>
      </c>
      <c r="AN38" s="29" t="str">
        <f>IF(ISBLANK('Raw counts'!S$4),"",IF(ISBLANK('Raw counts'!S38),"",('Raw counts'!S38)/('Raw counts'!S$4)))</f>
        <v/>
      </c>
      <c r="AO38" s="29" t="str">
        <f>IF(ISBLANK('Raw counts'!T$4),"",IF(ISBLANK('Raw counts'!T38),"",('Raw counts'!T38)/('Raw counts'!T$4)))</f>
        <v/>
      </c>
      <c r="AP38" s="29" t="str">
        <f>IF(ISBLANK('Raw counts'!U$4),"",IF(ISBLANK('Raw counts'!U38),"",('Raw counts'!U38)/('Raw counts'!U$4)))</f>
        <v/>
      </c>
      <c r="AQ38" s="32" t="str">
        <f t="shared" si="4"/>
        <v/>
      </c>
      <c r="AR38" s="32" t="str">
        <f t="shared" si="5"/>
        <v/>
      </c>
    </row>
    <row r="39" spans="1:44" x14ac:dyDescent="0.15">
      <c r="A39" s="18" t="str">
        <f>IF(ISBLANK('Raw counts'!A39),"",'Raw counts'!A39)</f>
        <v>Attr35</v>
      </c>
      <c r="B39" s="20" t="str">
        <f t="shared" si="3"/>
        <v xml:space="preserve"> </v>
      </c>
      <c r="C39" s="20" t="str">
        <f t="shared" si="17"/>
        <v xml:space="preserve"> </v>
      </c>
      <c r="D39" s="20" t="str">
        <f t="shared" si="18"/>
        <v xml:space="preserve"> </v>
      </c>
      <c r="E39" s="20" t="str">
        <f t="shared" si="19"/>
        <v xml:space="preserve"> </v>
      </c>
      <c r="F39" s="20" t="str">
        <f t="shared" si="20"/>
        <v xml:space="preserve"> </v>
      </c>
      <c r="G39" s="20" t="str">
        <f t="shared" si="21"/>
        <v xml:space="preserve"> </v>
      </c>
      <c r="H39" s="20" t="str">
        <f t="shared" si="22"/>
        <v xml:space="preserve"> </v>
      </c>
      <c r="I39" s="20" t="str">
        <f t="shared" si="23"/>
        <v xml:space="preserve"> </v>
      </c>
      <c r="J39" s="20" t="str">
        <f t="shared" si="24"/>
        <v xml:space="preserve"> </v>
      </c>
      <c r="K39" s="20" t="str">
        <f t="shared" si="6"/>
        <v xml:space="preserve"> </v>
      </c>
      <c r="L39" s="20" t="str">
        <f t="shared" si="7"/>
        <v xml:space="preserve"> </v>
      </c>
      <c r="M39" s="20" t="str">
        <f t="shared" si="8"/>
        <v xml:space="preserve"> </v>
      </c>
      <c r="N39" s="20" t="str">
        <f t="shared" si="9"/>
        <v xml:space="preserve"> </v>
      </c>
      <c r="O39" s="20" t="str">
        <f t="shared" si="10"/>
        <v xml:space="preserve"> </v>
      </c>
      <c r="P39" s="20" t="str">
        <f t="shared" si="11"/>
        <v xml:space="preserve"> </v>
      </c>
      <c r="Q39" s="20" t="str">
        <f t="shared" si="12"/>
        <v xml:space="preserve"> </v>
      </c>
      <c r="R39" s="20" t="str">
        <f t="shared" si="13"/>
        <v xml:space="preserve"> </v>
      </c>
      <c r="S39" s="20" t="str">
        <f t="shared" si="14"/>
        <v xml:space="preserve"> </v>
      </c>
      <c r="T39" s="20" t="str">
        <f t="shared" si="15"/>
        <v xml:space="preserve"> </v>
      </c>
      <c r="U39" s="20" t="str">
        <f t="shared" si="16"/>
        <v xml:space="preserve"> </v>
      </c>
      <c r="V39" s="35"/>
      <c r="W39" s="29" t="str">
        <f>IF(ISBLANK('Raw counts'!B$4),"",IF(ISBLANK('Raw counts'!B39),"",('Raw counts'!B39)/('Raw counts'!B$4)))</f>
        <v/>
      </c>
      <c r="X39" s="29" t="str">
        <f>IF(ISBLANK('Raw counts'!C$4),"",IF(ISBLANK('Raw counts'!C39),"",('Raw counts'!C39)/('Raw counts'!C$4)))</f>
        <v/>
      </c>
      <c r="Y39" s="29" t="str">
        <f>IF(ISBLANK('Raw counts'!D$4),"",IF(ISBLANK('Raw counts'!D39),"",('Raw counts'!D39)/('Raw counts'!D$4)))</f>
        <v/>
      </c>
      <c r="Z39" s="29" t="str">
        <f>IF(ISBLANK('Raw counts'!E$4),"",IF(ISBLANK('Raw counts'!E39),"",('Raw counts'!E39)/('Raw counts'!E$4)))</f>
        <v/>
      </c>
      <c r="AA39" s="29" t="str">
        <f>IF(ISBLANK('Raw counts'!F$4),"",IF(ISBLANK('Raw counts'!F39),"",('Raw counts'!F39)/('Raw counts'!F$4)))</f>
        <v/>
      </c>
      <c r="AB39" s="29" t="str">
        <f>IF(ISBLANK('Raw counts'!G$4),"",IF(ISBLANK('Raw counts'!G39),"",('Raw counts'!G39)/('Raw counts'!G$4)))</f>
        <v/>
      </c>
      <c r="AC39" s="29" t="str">
        <f>IF(ISBLANK('Raw counts'!H$4),"",IF(ISBLANK('Raw counts'!H39),"",('Raw counts'!H39)/('Raw counts'!H$4)))</f>
        <v/>
      </c>
      <c r="AD39" s="29" t="str">
        <f>IF(ISBLANK('Raw counts'!I$4),"",IF(ISBLANK('Raw counts'!I39),"",('Raw counts'!I39)/('Raw counts'!I$4)))</f>
        <v/>
      </c>
      <c r="AE39" s="29" t="str">
        <f>IF(ISBLANK('Raw counts'!J$4),"",IF(ISBLANK('Raw counts'!J39),"",('Raw counts'!J39)/('Raw counts'!J$4)))</f>
        <v/>
      </c>
      <c r="AF39" s="29" t="str">
        <f>IF(ISBLANK('Raw counts'!K$4),"",IF(ISBLANK('Raw counts'!K39),"",('Raw counts'!K39)/('Raw counts'!K$4)))</f>
        <v/>
      </c>
      <c r="AG39" s="29" t="str">
        <f>IF(ISBLANK('Raw counts'!L$4),"",IF(ISBLANK('Raw counts'!L39),"",('Raw counts'!L39)/('Raw counts'!L$4)))</f>
        <v/>
      </c>
      <c r="AH39" s="29" t="str">
        <f>IF(ISBLANK('Raw counts'!M$4),"",IF(ISBLANK('Raw counts'!M39),"",('Raw counts'!M39)/('Raw counts'!M$4)))</f>
        <v/>
      </c>
      <c r="AI39" s="29" t="str">
        <f>IF(ISBLANK('Raw counts'!N$4),"",IF(ISBLANK('Raw counts'!N39),"",('Raw counts'!N39)/('Raw counts'!N$4)))</f>
        <v/>
      </c>
      <c r="AJ39" s="29" t="str">
        <f>IF(ISBLANK('Raw counts'!O$4),"",IF(ISBLANK('Raw counts'!O39),"",('Raw counts'!O39)/('Raw counts'!O$4)))</f>
        <v/>
      </c>
      <c r="AK39" s="29" t="str">
        <f>IF(ISBLANK('Raw counts'!P$4),"",IF(ISBLANK('Raw counts'!P39),"",('Raw counts'!P39)/('Raw counts'!P$4)))</f>
        <v/>
      </c>
      <c r="AL39" s="29" t="str">
        <f>IF(ISBLANK('Raw counts'!Q$4),"",IF(ISBLANK('Raw counts'!Q39),"",('Raw counts'!Q39)/('Raw counts'!Q$4)))</f>
        <v/>
      </c>
      <c r="AM39" s="29" t="str">
        <f>IF(ISBLANK('Raw counts'!R$4),"",IF(ISBLANK('Raw counts'!R39),"",('Raw counts'!R39)/('Raw counts'!R$4)))</f>
        <v/>
      </c>
      <c r="AN39" s="29" t="str">
        <f>IF(ISBLANK('Raw counts'!S$4),"",IF(ISBLANK('Raw counts'!S39),"",('Raw counts'!S39)/('Raw counts'!S$4)))</f>
        <v/>
      </c>
      <c r="AO39" s="29" t="str">
        <f>IF(ISBLANK('Raw counts'!T$4),"",IF(ISBLANK('Raw counts'!T39),"",('Raw counts'!T39)/('Raw counts'!T$4)))</f>
        <v/>
      </c>
      <c r="AP39" s="29" t="str">
        <f>IF(ISBLANK('Raw counts'!U$4),"",IF(ISBLANK('Raw counts'!U39),"",('Raw counts'!U39)/('Raw counts'!U$4)))</f>
        <v/>
      </c>
      <c r="AQ39" s="32" t="str">
        <f t="shared" si="4"/>
        <v/>
      </c>
      <c r="AR39" s="32" t="str">
        <f t="shared" si="5"/>
        <v/>
      </c>
    </row>
    <row r="40" spans="1:44" x14ac:dyDescent="0.15">
      <c r="A40" s="18" t="str">
        <f>IF(ISBLANK('Raw counts'!A40),"",'Raw counts'!A40)</f>
        <v>Attr36</v>
      </c>
      <c r="B40" s="20" t="str">
        <f t="shared" si="3"/>
        <v xml:space="preserve"> </v>
      </c>
      <c r="C40" s="20" t="str">
        <f t="shared" si="17"/>
        <v xml:space="preserve"> </v>
      </c>
      <c r="D40" s="20" t="str">
        <f t="shared" si="18"/>
        <v xml:space="preserve"> </v>
      </c>
      <c r="E40" s="20" t="str">
        <f t="shared" si="19"/>
        <v xml:space="preserve"> </v>
      </c>
      <c r="F40" s="20" t="str">
        <f t="shared" si="20"/>
        <v xml:space="preserve"> </v>
      </c>
      <c r="G40" s="20" t="str">
        <f t="shared" si="21"/>
        <v xml:space="preserve"> </v>
      </c>
      <c r="H40" s="20" t="str">
        <f t="shared" si="22"/>
        <v xml:space="preserve"> </v>
      </c>
      <c r="I40" s="20" t="str">
        <f t="shared" si="23"/>
        <v xml:space="preserve"> </v>
      </c>
      <c r="J40" s="20" t="str">
        <f t="shared" si="24"/>
        <v xml:space="preserve"> </v>
      </c>
      <c r="K40" s="20" t="str">
        <f t="shared" si="6"/>
        <v xml:space="preserve"> </v>
      </c>
      <c r="L40" s="20" t="str">
        <f t="shared" si="7"/>
        <v xml:space="preserve"> </v>
      </c>
      <c r="M40" s="20" t="str">
        <f t="shared" si="8"/>
        <v xml:space="preserve"> </v>
      </c>
      <c r="N40" s="20" t="str">
        <f t="shared" si="9"/>
        <v xml:space="preserve"> </v>
      </c>
      <c r="O40" s="20" t="str">
        <f t="shared" si="10"/>
        <v xml:space="preserve"> </v>
      </c>
      <c r="P40" s="20" t="str">
        <f t="shared" si="11"/>
        <v xml:space="preserve"> </v>
      </c>
      <c r="Q40" s="20" t="str">
        <f t="shared" si="12"/>
        <v xml:space="preserve"> </v>
      </c>
      <c r="R40" s="20" t="str">
        <f t="shared" si="13"/>
        <v xml:space="preserve"> </v>
      </c>
      <c r="S40" s="20" t="str">
        <f t="shared" si="14"/>
        <v xml:space="preserve"> </v>
      </c>
      <c r="T40" s="20" t="str">
        <f t="shared" si="15"/>
        <v xml:space="preserve"> </v>
      </c>
      <c r="U40" s="20" t="str">
        <f t="shared" si="16"/>
        <v xml:space="preserve"> </v>
      </c>
      <c r="V40" s="35"/>
      <c r="W40" s="29" t="str">
        <f>IF(ISBLANK('Raw counts'!B$4),"",IF(ISBLANK('Raw counts'!B40),"",('Raw counts'!B40)/('Raw counts'!B$4)))</f>
        <v/>
      </c>
      <c r="X40" s="29" t="str">
        <f>IF(ISBLANK('Raw counts'!C$4),"",IF(ISBLANK('Raw counts'!C40),"",('Raw counts'!C40)/('Raw counts'!C$4)))</f>
        <v/>
      </c>
      <c r="Y40" s="29" t="str">
        <f>IF(ISBLANK('Raw counts'!D$4),"",IF(ISBLANK('Raw counts'!D40),"",('Raw counts'!D40)/('Raw counts'!D$4)))</f>
        <v/>
      </c>
      <c r="Z40" s="29" t="str">
        <f>IF(ISBLANK('Raw counts'!E$4),"",IF(ISBLANK('Raw counts'!E40),"",('Raw counts'!E40)/('Raw counts'!E$4)))</f>
        <v/>
      </c>
      <c r="AA40" s="29" t="str">
        <f>IF(ISBLANK('Raw counts'!F$4),"",IF(ISBLANK('Raw counts'!F40),"",('Raw counts'!F40)/('Raw counts'!F$4)))</f>
        <v/>
      </c>
      <c r="AB40" s="29" t="str">
        <f>IF(ISBLANK('Raw counts'!G$4),"",IF(ISBLANK('Raw counts'!G40),"",('Raw counts'!G40)/('Raw counts'!G$4)))</f>
        <v/>
      </c>
      <c r="AC40" s="29" t="str">
        <f>IF(ISBLANK('Raw counts'!H$4),"",IF(ISBLANK('Raw counts'!H40),"",('Raw counts'!H40)/('Raw counts'!H$4)))</f>
        <v/>
      </c>
      <c r="AD40" s="29" t="str">
        <f>IF(ISBLANK('Raw counts'!I$4),"",IF(ISBLANK('Raw counts'!I40),"",('Raw counts'!I40)/('Raw counts'!I$4)))</f>
        <v/>
      </c>
      <c r="AE40" s="29" t="str">
        <f>IF(ISBLANK('Raw counts'!J$4),"",IF(ISBLANK('Raw counts'!J40),"",('Raw counts'!J40)/('Raw counts'!J$4)))</f>
        <v/>
      </c>
      <c r="AF40" s="29" t="str">
        <f>IF(ISBLANK('Raw counts'!K$4),"",IF(ISBLANK('Raw counts'!K40),"",('Raw counts'!K40)/('Raw counts'!K$4)))</f>
        <v/>
      </c>
      <c r="AG40" s="29" t="str">
        <f>IF(ISBLANK('Raw counts'!L$4),"",IF(ISBLANK('Raw counts'!L40),"",('Raw counts'!L40)/('Raw counts'!L$4)))</f>
        <v/>
      </c>
      <c r="AH40" s="29" t="str">
        <f>IF(ISBLANK('Raw counts'!M$4),"",IF(ISBLANK('Raw counts'!M40),"",('Raw counts'!M40)/('Raw counts'!M$4)))</f>
        <v/>
      </c>
      <c r="AI40" s="29" t="str">
        <f>IF(ISBLANK('Raw counts'!N$4),"",IF(ISBLANK('Raw counts'!N40),"",('Raw counts'!N40)/('Raw counts'!N$4)))</f>
        <v/>
      </c>
      <c r="AJ40" s="29" t="str">
        <f>IF(ISBLANK('Raw counts'!O$4),"",IF(ISBLANK('Raw counts'!O40),"",('Raw counts'!O40)/('Raw counts'!O$4)))</f>
        <v/>
      </c>
      <c r="AK40" s="29" t="str">
        <f>IF(ISBLANK('Raw counts'!P$4),"",IF(ISBLANK('Raw counts'!P40),"",('Raw counts'!P40)/('Raw counts'!P$4)))</f>
        <v/>
      </c>
      <c r="AL40" s="29" t="str">
        <f>IF(ISBLANK('Raw counts'!Q$4),"",IF(ISBLANK('Raw counts'!Q40),"",('Raw counts'!Q40)/('Raw counts'!Q$4)))</f>
        <v/>
      </c>
      <c r="AM40" s="29" t="str">
        <f>IF(ISBLANK('Raw counts'!R$4),"",IF(ISBLANK('Raw counts'!R40),"",('Raw counts'!R40)/('Raw counts'!R$4)))</f>
        <v/>
      </c>
      <c r="AN40" s="29" t="str">
        <f>IF(ISBLANK('Raw counts'!S$4),"",IF(ISBLANK('Raw counts'!S40),"",('Raw counts'!S40)/('Raw counts'!S$4)))</f>
        <v/>
      </c>
      <c r="AO40" s="29" t="str">
        <f>IF(ISBLANK('Raw counts'!T$4),"",IF(ISBLANK('Raw counts'!T40),"",('Raw counts'!T40)/('Raw counts'!T$4)))</f>
        <v/>
      </c>
      <c r="AP40" s="29" t="str">
        <f>IF(ISBLANK('Raw counts'!U$4),"",IF(ISBLANK('Raw counts'!U40),"",('Raw counts'!U40)/('Raw counts'!U$4)))</f>
        <v/>
      </c>
      <c r="AQ40" s="32" t="str">
        <f t="shared" si="4"/>
        <v/>
      </c>
      <c r="AR40" s="32" t="str">
        <f t="shared" si="5"/>
        <v/>
      </c>
    </row>
    <row r="41" spans="1:44" x14ac:dyDescent="0.15">
      <c r="A41" s="18" t="str">
        <f>IF(ISBLANK('Raw counts'!A41),"",'Raw counts'!A41)</f>
        <v>Attr37</v>
      </c>
      <c r="B41" s="20" t="str">
        <f t="shared" si="3"/>
        <v xml:space="preserve"> </v>
      </c>
      <c r="C41" s="20" t="str">
        <f t="shared" si="17"/>
        <v xml:space="preserve"> </v>
      </c>
      <c r="D41" s="20" t="str">
        <f t="shared" si="18"/>
        <v xml:space="preserve"> </v>
      </c>
      <c r="E41" s="20" t="str">
        <f t="shared" si="19"/>
        <v xml:space="preserve"> </v>
      </c>
      <c r="F41" s="20" t="str">
        <f t="shared" si="20"/>
        <v xml:space="preserve"> </v>
      </c>
      <c r="G41" s="20" t="str">
        <f t="shared" si="21"/>
        <v xml:space="preserve"> </v>
      </c>
      <c r="H41" s="20" t="str">
        <f t="shared" si="22"/>
        <v xml:space="preserve"> </v>
      </c>
      <c r="I41" s="20" t="str">
        <f t="shared" si="23"/>
        <v xml:space="preserve"> </v>
      </c>
      <c r="J41" s="20" t="str">
        <f t="shared" si="24"/>
        <v xml:space="preserve"> </v>
      </c>
      <c r="K41" s="20" t="str">
        <f t="shared" si="6"/>
        <v xml:space="preserve"> </v>
      </c>
      <c r="L41" s="20" t="str">
        <f t="shared" si="7"/>
        <v xml:space="preserve"> </v>
      </c>
      <c r="M41" s="20" t="str">
        <f t="shared" si="8"/>
        <v xml:space="preserve"> </v>
      </c>
      <c r="N41" s="20" t="str">
        <f t="shared" si="9"/>
        <v xml:space="preserve"> </v>
      </c>
      <c r="O41" s="20" t="str">
        <f t="shared" si="10"/>
        <v xml:space="preserve"> </v>
      </c>
      <c r="P41" s="20" t="str">
        <f t="shared" si="11"/>
        <v xml:space="preserve"> </v>
      </c>
      <c r="Q41" s="20" t="str">
        <f t="shared" si="12"/>
        <v xml:space="preserve"> </v>
      </c>
      <c r="R41" s="20" t="str">
        <f t="shared" si="13"/>
        <v xml:space="preserve"> </v>
      </c>
      <c r="S41" s="20" t="str">
        <f t="shared" si="14"/>
        <v xml:space="preserve"> </v>
      </c>
      <c r="T41" s="20" t="str">
        <f t="shared" si="15"/>
        <v xml:space="preserve"> </v>
      </c>
      <c r="U41" s="20" t="str">
        <f t="shared" si="16"/>
        <v xml:space="preserve"> </v>
      </c>
      <c r="V41" s="35"/>
      <c r="W41" s="29" t="str">
        <f>IF(ISBLANK('Raw counts'!B$4),"",IF(ISBLANK('Raw counts'!B41),"",('Raw counts'!B41)/('Raw counts'!B$4)))</f>
        <v/>
      </c>
      <c r="X41" s="29" t="str">
        <f>IF(ISBLANK('Raw counts'!C$4),"",IF(ISBLANK('Raw counts'!C41),"",('Raw counts'!C41)/('Raw counts'!C$4)))</f>
        <v/>
      </c>
      <c r="Y41" s="29" t="str">
        <f>IF(ISBLANK('Raw counts'!D$4),"",IF(ISBLANK('Raw counts'!D41),"",('Raw counts'!D41)/('Raw counts'!D$4)))</f>
        <v/>
      </c>
      <c r="Z41" s="29" t="str">
        <f>IF(ISBLANK('Raw counts'!E$4),"",IF(ISBLANK('Raw counts'!E41),"",('Raw counts'!E41)/('Raw counts'!E$4)))</f>
        <v/>
      </c>
      <c r="AA41" s="29" t="str">
        <f>IF(ISBLANK('Raw counts'!F$4),"",IF(ISBLANK('Raw counts'!F41),"",('Raw counts'!F41)/('Raw counts'!F$4)))</f>
        <v/>
      </c>
      <c r="AB41" s="29" t="str">
        <f>IF(ISBLANK('Raw counts'!G$4),"",IF(ISBLANK('Raw counts'!G41),"",('Raw counts'!G41)/('Raw counts'!G$4)))</f>
        <v/>
      </c>
      <c r="AC41" s="29" t="str">
        <f>IF(ISBLANK('Raw counts'!H$4),"",IF(ISBLANK('Raw counts'!H41),"",('Raw counts'!H41)/('Raw counts'!H$4)))</f>
        <v/>
      </c>
      <c r="AD41" s="29" t="str">
        <f>IF(ISBLANK('Raw counts'!I$4),"",IF(ISBLANK('Raw counts'!I41),"",('Raw counts'!I41)/('Raw counts'!I$4)))</f>
        <v/>
      </c>
      <c r="AE41" s="29" t="str">
        <f>IF(ISBLANK('Raw counts'!J$4),"",IF(ISBLANK('Raw counts'!J41),"",('Raw counts'!J41)/('Raw counts'!J$4)))</f>
        <v/>
      </c>
      <c r="AF41" s="29" t="str">
        <f>IF(ISBLANK('Raw counts'!K$4),"",IF(ISBLANK('Raw counts'!K41),"",('Raw counts'!K41)/('Raw counts'!K$4)))</f>
        <v/>
      </c>
      <c r="AG41" s="29" t="str">
        <f>IF(ISBLANK('Raw counts'!L$4),"",IF(ISBLANK('Raw counts'!L41),"",('Raw counts'!L41)/('Raw counts'!L$4)))</f>
        <v/>
      </c>
      <c r="AH41" s="29" t="str">
        <f>IF(ISBLANK('Raw counts'!M$4),"",IF(ISBLANK('Raw counts'!M41),"",('Raw counts'!M41)/('Raw counts'!M$4)))</f>
        <v/>
      </c>
      <c r="AI41" s="29" t="str">
        <f>IF(ISBLANK('Raw counts'!N$4),"",IF(ISBLANK('Raw counts'!N41),"",('Raw counts'!N41)/('Raw counts'!N$4)))</f>
        <v/>
      </c>
      <c r="AJ41" s="29" t="str">
        <f>IF(ISBLANK('Raw counts'!O$4),"",IF(ISBLANK('Raw counts'!O41),"",('Raw counts'!O41)/('Raw counts'!O$4)))</f>
        <v/>
      </c>
      <c r="AK41" s="29" t="str">
        <f>IF(ISBLANK('Raw counts'!P$4),"",IF(ISBLANK('Raw counts'!P41),"",('Raw counts'!P41)/('Raw counts'!P$4)))</f>
        <v/>
      </c>
      <c r="AL41" s="29" t="str">
        <f>IF(ISBLANK('Raw counts'!Q$4),"",IF(ISBLANK('Raw counts'!Q41),"",('Raw counts'!Q41)/('Raw counts'!Q$4)))</f>
        <v/>
      </c>
      <c r="AM41" s="29" t="str">
        <f>IF(ISBLANK('Raw counts'!R$4),"",IF(ISBLANK('Raw counts'!R41),"",('Raw counts'!R41)/('Raw counts'!R$4)))</f>
        <v/>
      </c>
      <c r="AN41" s="29" t="str">
        <f>IF(ISBLANK('Raw counts'!S$4),"",IF(ISBLANK('Raw counts'!S41),"",('Raw counts'!S41)/('Raw counts'!S$4)))</f>
        <v/>
      </c>
      <c r="AO41" s="29" t="str">
        <f>IF(ISBLANK('Raw counts'!T$4),"",IF(ISBLANK('Raw counts'!T41),"",('Raw counts'!T41)/('Raw counts'!T$4)))</f>
        <v/>
      </c>
      <c r="AP41" s="29" t="str">
        <f>IF(ISBLANK('Raw counts'!U$4),"",IF(ISBLANK('Raw counts'!U41),"",('Raw counts'!U41)/('Raw counts'!U$4)))</f>
        <v/>
      </c>
      <c r="AQ41" s="32" t="str">
        <f t="shared" si="4"/>
        <v/>
      </c>
      <c r="AR41" s="32" t="str">
        <f t="shared" si="5"/>
        <v/>
      </c>
    </row>
    <row r="42" spans="1:44" x14ac:dyDescent="0.15">
      <c r="A42" s="18" t="str">
        <f>IF(ISBLANK('Raw counts'!A42),"",'Raw counts'!A42)</f>
        <v>Attr38</v>
      </c>
      <c r="B42" s="20" t="str">
        <f t="shared" si="3"/>
        <v xml:space="preserve"> </v>
      </c>
      <c r="C42" s="20" t="str">
        <f t="shared" si="17"/>
        <v xml:space="preserve"> </v>
      </c>
      <c r="D42" s="20" t="str">
        <f t="shared" si="18"/>
        <v xml:space="preserve"> </v>
      </c>
      <c r="E42" s="20" t="str">
        <f t="shared" si="19"/>
        <v xml:space="preserve"> </v>
      </c>
      <c r="F42" s="20" t="str">
        <f t="shared" si="20"/>
        <v xml:space="preserve"> </v>
      </c>
      <c r="G42" s="20" t="str">
        <f t="shared" si="21"/>
        <v xml:space="preserve"> </v>
      </c>
      <c r="H42" s="20" t="str">
        <f t="shared" si="22"/>
        <v xml:space="preserve"> </v>
      </c>
      <c r="I42" s="20" t="str">
        <f t="shared" si="23"/>
        <v xml:space="preserve"> </v>
      </c>
      <c r="J42" s="20" t="str">
        <f t="shared" si="24"/>
        <v xml:space="preserve"> </v>
      </c>
      <c r="K42" s="20" t="str">
        <f t="shared" si="6"/>
        <v xml:space="preserve"> </v>
      </c>
      <c r="L42" s="20" t="str">
        <f t="shared" si="7"/>
        <v xml:space="preserve"> </v>
      </c>
      <c r="M42" s="20" t="str">
        <f t="shared" si="8"/>
        <v xml:space="preserve"> </v>
      </c>
      <c r="N42" s="20" t="str">
        <f t="shared" si="9"/>
        <v xml:space="preserve"> </v>
      </c>
      <c r="O42" s="20" t="str">
        <f t="shared" si="10"/>
        <v xml:space="preserve"> </v>
      </c>
      <c r="P42" s="20" t="str">
        <f t="shared" si="11"/>
        <v xml:space="preserve"> </v>
      </c>
      <c r="Q42" s="20" t="str">
        <f t="shared" si="12"/>
        <v xml:space="preserve"> </v>
      </c>
      <c r="R42" s="20" t="str">
        <f t="shared" si="13"/>
        <v xml:space="preserve"> </v>
      </c>
      <c r="S42" s="20" t="str">
        <f t="shared" si="14"/>
        <v xml:space="preserve"> </v>
      </c>
      <c r="T42" s="20" t="str">
        <f t="shared" si="15"/>
        <v xml:space="preserve"> </v>
      </c>
      <c r="U42" s="20" t="str">
        <f t="shared" si="16"/>
        <v xml:space="preserve"> </v>
      </c>
      <c r="V42" s="35"/>
      <c r="W42" s="29" t="str">
        <f>IF(ISBLANK('Raw counts'!B$4),"",IF(ISBLANK('Raw counts'!B42),"",('Raw counts'!B42)/('Raw counts'!B$4)))</f>
        <v/>
      </c>
      <c r="X42" s="29" t="str">
        <f>IF(ISBLANK('Raw counts'!C$4),"",IF(ISBLANK('Raw counts'!C42),"",('Raw counts'!C42)/('Raw counts'!C$4)))</f>
        <v/>
      </c>
      <c r="Y42" s="29" t="str">
        <f>IF(ISBLANK('Raw counts'!D$4),"",IF(ISBLANK('Raw counts'!D42),"",('Raw counts'!D42)/('Raw counts'!D$4)))</f>
        <v/>
      </c>
      <c r="Z42" s="29" t="str">
        <f>IF(ISBLANK('Raw counts'!E$4),"",IF(ISBLANK('Raw counts'!E42),"",('Raw counts'!E42)/('Raw counts'!E$4)))</f>
        <v/>
      </c>
      <c r="AA42" s="29" t="str">
        <f>IF(ISBLANK('Raw counts'!F$4),"",IF(ISBLANK('Raw counts'!F42),"",('Raw counts'!F42)/('Raw counts'!F$4)))</f>
        <v/>
      </c>
      <c r="AB42" s="29" t="str">
        <f>IF(ISBLANK('Raw counts'!G$4),"",IF(ISBLANK('Raw counts'!G42),"",('Raw counts'!G42)/('Raw counts'!G$4)))</f>
        <v/>
      </c>
      <c r="AC42" s="29" t="str">
        <f>IF(ISBLANK('Raw counts'!H$4),"",IF(ISBLANK('Raw counts'!H42),"",('Raw counts'!H42)/('Raw counts'!H$4)))</f>
        <v/>
      </c>
      <c r="AD42" s="29" t="str">
        <f>IF(ISBLANK('Raw counts'!I$4),"",IF(ISBLANK('Raw counts'!I42),"",('Raw counts'!I42)/('Raw counts'!I$4)))</f>
        <v/>
      </c>
      <c r="AE42" s="29" t="str">
        <f>IF(ISBLANK('Raw counts'!J$4),"",IF(ISBLANK('Raw counts'!J42),"",('Raw counts'!J42)/('Raw counts'!J$4)))</f>
        <v/>
      </c>
      <c r="AF42" s="29" t="str">
        <f>IF(ISBLANK('Raw counts'!K$4),"",IF(ISBLANK('Raw counts'!K42),"",('Raw counts'!K42)/('Raw counts'!K$4)))</f>
        <v/>
      </c>
      <c r="AG42" s="29" t="str">
        <f>IF(ISBLANK('Raw counts'!L$4),"",IF(ISBLANK('Raw counts'!L42),"",('Raw counts'!L42)/('Raw counts'!L$4)))</f>
        <v/>
      </c>
      <c r="AH42" s="29" t="str">
        <f>IF(ISBLANK('Raw counts'!M$4),"",IF(ISBLANK('Raw counts'!M42),"",('Raw counts'!M42)/('Raw counts'!M$4)))</f>
        <v/>
      </c>
      <c r="AI42" s="29" t="str">
        <f>IF(ISBLANK('Raw counts'!N$4),"",IF(ISBLANK('Raw counts'!N42),"",('Raw counts'!N42)/('Raw counts'!N$4)))</f>
        <v/>
      </c>
      <c r="AJ42" s="29" t="str">
        <f>IF(ISBLANK('Raw counts'!O$4),"",IF(ISBLANK('Raw counts'!O42),"",('Raw counts'!O42)/('Raw counts'!O$4)))</f>
        <v/>
      </c>
      <c r="AK42" s="29" t="str">
        <f>IF(ISBLANK('Raw counts'!P$4),"",IF(ISBLANK('Raw counts'!P42),"",('Raw counts'!P42)/('Raw counts'!P$4)))</f>
        <v/>
      </c>
      <c r="AL42" s="29" t="str">
        <f>IF(ISBLANK('Raw counts'!Q$4),"",IF(ISBLANK('Raw counts'!Q42),"",('Raw counts'!Q42)/('Raw counts'!Q$4)))</f>
        <v/>
      </c>
      <c r="AM42" s="29" t="str">
        <f>IF(ISBLANK('Raw counts'!R$4),"",IF(ISBLANK('Raw counts'!R42),"",('Raw counts'!R42)/('Raw counts'!R$4)))</f>
        <v/>
      </c>
      <c r="AN42" s="29" t="str">
        <f>IF(ISBLANK('Raw counts'!S$4),"",IF(ISBLANK('Raw counts'!S42),"",('Raw counts'!S42)/('Raw counts'!S$4)))</f>
        <v/>
      </c>
      <c r="AO42" s="29" t="str">
        <f>IF(ISBLANK('Raw counts'!T$4),"",IF(ISBLANK('Raw counts'!T42),"",('Raw counts'!T42)/('Raw counts'!T$4)))</f>
        <v/>
      </c>
      <c r="AP42" s="29" t="str">
        <f>IF(ISBLANK('Raw counts'!U$4),"",IF(ISBLANK('Raw counts'!U42),"",('Raw counts'!U42)/('Raw counts'!U$4)))</f>
        <v/>
      </c>
      <c r="AQ42" s="32" t="str">
        <f t="shared" si="4"/>
        <v/>
      </c>
      <c r="AR42" s="32" t="str">
        <f t="shared" si="5"/>
        <v/>
      </c>
    </row>
    <row r="43" spans="1:44" x14ac:dyDescent="0.15">
      <c r="A43" s="18" t="str">
        <f>IF(ISBLANK('Raw counts'!A43),"",'Raw counts'!A43)</f>
        <v>Attr39</v>
      </c>
      <c r="B43" s="20" t="str">
        <f t="shared" si="3"/>
        <v xml:space="preserve"> </v>
      </c>
      <c r="C43" s="20" t="str">
        <f t="shared" si="17"/>
        <v xml:space="preserve"> </v>
      </c>
      <c r="D43" s="20" t="str">
        <f t="shared" si="18"/>
        <v xml:space="preserve"> </v>
      </c>
      <c r="E43" s="20" t="str">
        <f t="shared" si="19"/>
        <v xml:space="preserve"> </v>
      </c>
      <c r="F43" s="20" t="str">
        <f t="shared" si="20"/>
        <v xml:space="preserve"> </v>
      </c>
      <c r="G43" s="20" t="str">
        <f t="shared" si="21"/>
        <v xml:space="preserve"> </v>
      </c>
      <c r="H43" s="20" t="str">
        <f t="shared" si="22"/>
        <v xml:space="preserve"> </v>
      </c>
      <c r="I43" s="20" t="str">
        <f t="shared" si="23"/>
        <v xml:space="preserve"> </v>
      </c>
      <c r="J43" s="20" t="str">
        <f t="shared" si="24"/>
        <v xml:space="preserve"> </v>
      </c>
      <c r="K43" s="20" t="str">
        <f t="shared" si="6"/>
        <v xml:space="preserve"> </v>
      </c>
      <c r="L43" s="20" t="str">
        <f t="shared" si="7"/>
        <v xml:space="preserve"> </v>
      </c>
      <c r="M43" s="20" t="str">
        <f t="shared" si="8"/>
        <v xml:space="preserve"> </v>
      </c>
      <c r="N43" s="20" t="str">
        <f t="shared" si="9"/>
        <v xml:space="preserve"> </v>
      </c>
      <c r="O43" s="20" t="str">
        <f t="shared" si="10"/>
        <v xml:space="preserve"> </v>
      </c>
      <c r="P43" s="20" t="str">
        <f t="shared" si="11"/>
        <v xml:space="preserve"> </v>
      </c>
      <c r="Q43" s="20" t="str">
        <f t="shared" si="12"/>
        <v xml:space="preserve"> </v>
      </c>
      <c r="R43" s="20" t="str">
        <f t="shared" si="13"/>
        <v xml:space="preserve"> </v>
      </c>
      <c r="S43" s="20" t="str">
        <f t="shared" si="14"/>
        <v xml:space="preserve"> </v>
      </c>
      <c r="T43" s="20" t="str">
        <f t="shared" si="15"/>
        <v xml:space="preserve"> </v>
      </c>
      <c r="U43" s="20" t="str">
        <f t="shared" si="16"/>
        <v xml:space="preserve"> </v>
      </c>
      <c r="V43" s="35"/>
      <c r="W43" s="29" t="str">
        <f>IF(ISBLANK('Raw counts'!B$4),"",IF(ISBLANK('Raw counts'!B43),"",('Raw counts'!B43)/('Raw counts'!B$4)))</f>
        <v/>
      </c>
      <c r="X43" s="29" t="str">
        <f>IF(ISBLANK('Raw counts'!C$4),"",IF(ISBLANK('Raw counts'!C43),"",('Raw counts'!C43)/('Raw counts'!C$4)))</f>
        <v/>
      </c>
      <c r="Y43" s="29" t="str">
        <f>IF(ISBLANK('Raw counts'!D$4),"",IF(ISBLANK('Raw counts'!D43),"",('Raw counts'!D43)/('Raw counts'!D$4)))</f>
        <v/>
      </c>
      <c r="Z43" s="29" t="str">
        <f>IF(ISBLANK('Raw counts'!E$4),"",IF(ISBLANK('Raw counts'!E43),"",('Raw counts'!E43)/('Raw counts'!E$4)))</f>
        <v/>
      </c>
      <c r="AA43" s="29" t="str">
        <f>IF(ISBLANK('Raw counts'!F$4),"",IF(ISBLANK('Raw counts'!F43),"",('Raw counts'!F43)/('Raw counts'!F$4)))</f>
        <v/>
      </c>
      <c r="AB43" s="29" t="str">
        <f>IF(ISBLANK('Raw counts'!G$4),"",IF(ISBLANK('Raw counts'!G43),"",('Raw counts'!G43)/('Raw counts'!G$4)))</f>
        <v/>
      </c>
      <c r="AC43" s="29" t="str">
        <f>IF(ISBLANK('Raw counts'!H$4),"",IF(ISBLANK('Raw counts'!H43),"",('Raw counts'!H43)/('Raw counts'!H$4)))</f>
        <v/>
      </c>
      <c r="AD43" s="29" t="str">
        <f>IF(ISBLANK('Raw counts'!I$4),"",IF(ISBLANK('Raw counts'!I43),"",('Raw counts'!I43)/('Raw counts'!I$4)))</f>
        <v/>
      </c>
      <c r="AE43" s="29" t="str">
        <f>IF(ISBLANK('Raw counts'!J$4),"",IF(ISBLANK('Raw counts'!J43),"",('Raw counts'!J43)/('Raw counts'!J$4)))</f>
        <v/>
      </c>
      <c r="AF43" s="29" t="str">
        <f>IF(ISBLANK('Raw counts'!K$4),"",IF(ISBLANK('Raw counts'!K43),"",('Raw counts'!K43)/('Raw counts'!K$4)))</f>
        <v/>
      </c>
      <c r="AG43" s="29" t="str">
        <f>IF(ISBLANK('Raw counts'!L$4),"",IF(ISBLANK('Raw counts'!L43),"",('Raw counts'!L43)/('Raw counts'!L$4)))</f>
        <v/>
      </c>
      <c r="AH43" s="29" t="str">
        <f>IF(ISBLANK('Raw counts'!M$4),"",IF(ISBLANK('Raw counts'!M43),"",('Raw counts'!M43)/('Raw counts'!M$4)))</f>
        <v/>
      </c>
      <c r="AI43" s="29" t="str">
        <f>IF(ISBLANK('Raw counts'!N$4),"",IF(ISBLANK('Raw counts'!N43),"",('Raw counts'!N43)/('Raw counts'!N$4)))</f>
        <v/>
      </c>
      <c r="AJ43" s="29" t="str">
        <f>IF(ISBLANK('Raw counts'!O$4),"",IF(ISBLANK('Raw counts'!O43),"",('Raw counts'!O43)/('Raw counts'!O$4)))</f>
        <v/>
      </c>
      <c r="AK43" s="29" t="str">
        <f>IF(ISBLANK('Raw counts'!P$4),"",IF(ISBLANK('Raw counts'!P43),"",('Raw counts'!P43)/('Raw counts'!P$4)))</f>
        <v/>
      </c>
      <c r="AL43" s="29" t="str">
        <f>IF(ISBLANK('Raw counts'!Q$4),"",IF(ISBLANK('Raw counts'!Q43),"",('Raw counts'!Q43)/('Raw counts'!Q$4)))</f>
        <v/>
      </c>
      <c r="AM43" s="29" t="str">
        <f>IF(ISBLANK('Raw counts'!R$4),"",IF(ISBLANK('Raw counts'!R43),"",('Raw counts'!R43)/('Raw counts'!R$4)))</f>
        <v/>
      </c>
      <c r="AN43" s="29" t="str">
        <f>IF(ISBLANK('Raw counts'!S$4),"",IF(ISBLANK('Raw counts'!S43),"",('Raw counts'!S43)/('Raw counts'!S$4)))</f>
        <v/>
      </c>
      <c r="AO43" s="29" t="str">
        <f>IF(ISBLANK('Raw counts'!T$4),"",IF(ISBLANK('Raw counts'!T43),"",('Raw counts'!T43)/('Raw counts'!T$4)))</f>
        <v/>
      </c>
      <c r="AP43" s="29" t="str">
        <f>IF(ISBLANK('Raw counts'!U$4),"",IF(ISBLANK('Raw counts'!U43),"",('Raw counts'!U43)/('Raw counts'!U$4)))</f>
        <v/>
      </c>
      <c r="AQ43" s="32" t="str">
        <f t="shared" si="4"/>
        <v/>
      </c>
      <c r="AR43" s="32" t="str">
        <f t="shared" si="5"/>
        <v/>
      </c>
    </row>
    <row r="44" spans="1:44" x14ac:dyDescent="0.15">
      <c r="A44" s="18" t="str">
        <f>IF(ISBLANK('Raw counts'!A44),"",'Raw counts'!A44)</f>
        <v>Attr40</v>
      </c>
      <c r="B44" s="20" t="str">
        <f t="shared" si="3"/>
        <v xml:space="preserve"> </v>
      </c>
      <c r="C44" s="20" t="str">
        <f t="shared" si="17"/>
        <v xml:space="preserve"> </v>
      </c>
      <c r="D44" s="20" t="str">
        <f t="shared" si="18"/>
        <v xml:space="preserve"> </v>
      </c>
      <c r="E44" s="20" t="str">
        <f t="shared" si="19"/>
        <v xml:space="preserve"> </v>
      </c>
      <c r="F44" s="20" t="str">
        <f t="shared" si="20"/>
        <v xml:space="preserve"> </v>
      </c>
      <c r="G44" s="20" t="str">
        <f t="shared" si="21"/>
        <v xml:space="preserve"> </v>
      </c>
      <c r="H44" s="20" t="str">
        <f t="shared" si="22"/>
        <v xml:space="preserve"> </v>
      </c>
      <c r="I44" s="20" t="str">
        <f t="shared" si="23"/>
        <v xml:space="preserve"> </v>
      </c>
      <c r="J44" s="20" t="str">
        <f t="shared" si="24"/>
        <v xml:space="preserve"> </v>
      </c>
      <c r="K44" s="20" t="str">
        <f t="shared" si="6"/>
        <v xml:space="preserve"> </v>
      </c>
      <c r="L44" s="20" t="str">
        <f t="shared" si="7"/>
        <v xml:space="preserve"> </v>
      </c>
      <c r="M44" s="20" t="str">
        <f t="shared" si="8"/>
        <v xml:space="preserve"> </v>
      </c>
      <c r="N44" s="20" t="str">
        <f t="shared" si="9"/>
        <v xml:space="preserve"> </v>
      </c>
      <c r="O44" s="20" t="str">
        <f t="shared" si="10"/>
        <v xml:space="preserve"> </v>
      </c>
      <c r="P44" s="20" t="str">
        <f t="shared" si="11"/>
        <v xml:space="preserve"> </v>
      </c>
      <c r="Q44" s="20" t="str">
        <f t="shared" si="12"/>
        <v xml:space="preserve"> </v>
      </c>
      <c r="R44" s="20" t="str">
        <f t="shared" si="13"/>
        <v xml:space="preserve"> </v>
      </c>
      <c r="S44" s="20" t="str">
        <f t="shared" si="14"/>
        <v xml:space="preserve"> </v>
      </c>
      <c r="T44" s="20" t="str">
        <f t="shared" si="15"/>
        <v xml:space="preserve"> </v>
      </c>
      <c r="U44" s="20" t="str">
        <f t="shared" si="16"/>
        <v xml:space="preserve"> </v>
      </c>
      <c r="V44" s="35"/>
      <c r="W44" s="29" t="str">
        <f>IF(ISBLANK('Raw counts'!B$4),"",IF(ISBLANK('Raw counts'!B44),"",('Raw counts'!B44)/('Raw counts'!B$4)))</f>
        <v/>
      </c>
      <c r="X44" s="29" t="str">
        <f>IF(ISBLANK('Raw counts'!C$4),"",IF(ISBLANK('Raw counts'!C44),"",('Raw counts'!C44)/('Raw counts'!C$4)))</f>
        <v/>
      </c>
      <c r="Y44" s="29" t="str">
        <f>IF(ISBLANK('Raw counts'!D$4),"",IF(ISBLANK('Raw counts'!D44),"",('Raw counts'!D44)/('Raw counts'!D$4)))</f>
        <v/>
      </c>
      <c r="Z44" s="29" t="str">
        <f>IF(ISBLANK('Raw counts'!E$4),"",IF(ISBLANK('Raw counts'!E44),"",('Raw counts'!E44)/('Raw counts'!E$4)))</f>
        <v/>
      </c>
      <c r="AA44" s="29" t="str">
        <f>IF(ISBLANK('Raw counts'!F$4),"",IF(ISBLANK('Raw counts'!F44),"",('Raw counts'!F44)/('Raw counts'!F$4)))</f>
        <v/>
      </c>
      <c r="AB44" s="29" t="str">
        <f>IF(ISBLANK('Raw counts'!G$4),"",IF(ISBLANK('Raw counts'!G44),"",('Raw counts'!G44)/('Raw counts'!G$4)))</f>
        <v/>
      </c>
      <c r="AC44" s="29" t="str">
        <f>IF(ISBLANK('Raw counts'!H$4),"",IF(ISBLANK('Raw counts'!H44),"",('Raw counts'!H44)/('Raw counts'!H$4)))</f>
        <v/>
      </c>
      <c r="AD44" s="29" t="str">
        <f>IF(ISBLANK('Raw counts'!I$4),"",IF(ISBLANK('Raw counts'!I44),"",('Raw counts'!I44)/('Raw counts'!I$4)))</f>
        <v/>
      </c>
      <c r="AE44" s="29" t="str">
        <f>IF(ISBLANK('Raw counts'!J$4),"",IF(ISBLANK('Raw counts'!J44),"",('Raw counts'!J44)/('Raw counts'!J$4)))</f>
        <v/>
      </c>
      <c r="AF44" s="29" t="str">
        <f>IF(ISBLANK('Raw counts'!K$4),"",IF(ISBLANK('Raw counts'!K44),"",('Raw counts'!K44)/('Raw counts'!K$4)))</f>
        <v/>
      </c>
      <c r="AG44" s="29" t="str">
        <f>IF(ISBLANK('Raw counts'!L$4),"",IF(ISBLANK('Raw counts'!L44),"",('Raw counts'!L44)/('Raw counts'!L$4)))</f>
        <v/>
      </c>
      <c r="AH44" s="29" t="str">
        <f>IF(ISBLANK('Raw counts'!M$4),"",IF(ISBLANK('Raw counts'!M44),"",('Raw counts'!M44)/('Raw counts'!M$4)))</f>
        <v/>
      </c>
      <c r="AI44" s="29" t="str">
        <f>IF(ISBLANK('Raw counts'!N$4),"",IF(ISBLANK('Raw counts'!N44),"",('Raw counts'!N44)/('Raw counts'!N$4)))</f>
        <v/>
      </c>
      <c r="AJ44" s="29" t="str">
        <f>IF(ISBLANK('Raw counts'!O$4),"",IF(ISBLANK('Raw counts'!O44),"",('Raw counts'!O44)/('Raw counts'!O$4)))</f>
        <v/>
      </c>
      <c r="AK44" s="29" t="str">
        <f>IF(ISBLANK('Raw counts'!P$4),"",IF(ISBLANK('Raw counts'!P44),"",('Raw counts'!P44)/('Raw counts'!P$4)))</f>
        <v/>
      </c>
      <c r="AL44" s="29" t="str">
        <f>IF(ISBLANK('Raw counts'!Q$4),"",IF(ISBLANK('Raw counts'!Q44),"",('Raw counts'!Q44)/('Raw counts'!Q$4)))</f>
        <v/>
      </c>
      <c r="AM44" s="29" t="str">
        <f>IF(ISBLANK('Raw counts'!R$4),"",IF(ISBLANK('Raw counts'!R44),"",('Raw counts'!R44)/('Raw counts'!R$4)))</f>
        <v/>
      </c>
      <c r="AN44" s="29" t="str">
        <f>IF(ISBLANK('Raw counts'!S$4),"",IF(ISBLANK('Raw counts'!S44),"",('Raw counts'!S44)/('Raw counts'!S$4)))</f>
        <v/>
      </c>
      <c r="AO44" s="29" t="str">
        <f>IF(ISBLANK('Raw counts'!T$4),"",IF(ISBLANK('Raw counts'!T44),"",('Raw counts'!T44)/('Raw counts'!T$4)))</f>
        <v/>
      </c>
      <c r="AP44" s="29" t="str">
        <f>IF(ISBLANK('Raw counts'!U$4),"",IF(ISBLANK('Raw counts'!U44),"",('Raw counts'!U44)/('Raw counts'!U$4)))</f>
        <v/>
      </c>
      <c r="AQ44" s="32" t="str">
        <f t="shared" si="4"/>
        <v/>
      </c>
      <c r="AR44" s="32" t="str">
        <f t="shared" si="5"/>
        <v/>
      </c>
    </row>
    <row r="45" spans="1:44" x14ac:dyDescent="0.15">
      <c r="A45" s="18" t="str">
        <f>IF(ISBLANK('Raw counts'!A45),"",'Raw counts'!A45)</f>
        <v>Attr41</v>
      </c>
      <c r="B45" s="20" t="str">
        <f t="shared" si="3"/>
        <v xml:space="preserve"> </v>
      </c>
      <c r="C45" s="20" t="str">
        <f t="shared" si="17"/>
        <v xml:space="preserve"> </v>
      </c>
      <c r="D45" s="20" t="str">
        <f t="shared" si="18"/>
        <v xml:space="preserve"> </v>
      </c>
      <c r="E45" s="20" t="str">
        <f t="shared" si="19"/>
        <v xml:space="preserve"> </v>
      </c>
      <c r="F45" s="20" t="str">
        <f t="shared" si="20"/>
        <v xml:space="preserve"> </v>
      </c>
      <c r="G45" s="20" t="str">
        <f t="shared" si="21"/>
        <v xml:space="preserve"> </v>
      </c>
      <c r="H45" s="20" t="str">
        <f t="shared" si="22"/>
        <v xml:space="preserve"> </v>
      </c>
      <c r="I45" s="20" t="str">
        <f t="shared" si="23"/>
        <v xml:space="preserve"> </v>
      </c>
      <c r="J45" s="20" t="str">
        <f t="shared" si="24"/>
        <v xml:space="preserve"> </v>
      </c>
      <c r="K45" s="20" t="str">
        <f t="shared" si="6"/>
        <v xml:space="preserve"> </v>
      </c>
      <c r="L45" s="20" t="str">
        <f t="shared" si="7"/>
        <v xml:space="preserve"> </v>
      </c>
      <c r="M45" s="20" t="str">
        <f t="shared" si="8"/>
        <v xml:space="preserve"> </v>
      </c>
      <c r="N45" s="20" t="str">
        <f t="shared" si="9"/>
        <v xml:space="preserve"> </v>
      </c>
      <c r="O45" s="20" t="str">
        <f t="shared" si="10"/>
        <v xml:space="preserve"> </v>
      </c>
      <c r="P45" s="20" t="str">
        <f t="shared" si="11"/>
        <v xml:space="preserve"> </v>
      </c>
      <c r="Q45" s="20" t="str">
        <f t="shared" si="12"/>
        <v xml:space="preserve"> </v>
      </c>
      <c r="R45" s="20" t="str">
        <f t="shared" si="13"/>
        <v xml:space="preserve"> </v>
      </c>
      <c r="S45" s="20" t="str">
        <f t="shared" si="14"/>
        <v xml:space="preserve"> </v>
      </c>
      <c r="T45" s="20" t="str">
        <f t="shared" si="15"/>
        <v xml:space="preserve"> </v>
      </c>
      <c r="U45" s="20" t="str">
        <f t="shared" si="16"/>
        <v xml:space="preserve"> </v>
      </c>
      <c r="V45" s="35"/>
      <c r="W45" s="29" t="str">
        <f>IF(ISBLANK('Raw counts'!B$4),"",IF(ISBLANK('Raw counts'!B45),"",('Raw counts'!B45)/('Raw counts'!B$4)))</f>
        <v/>
      </c>
      <c r="X45" s="29" t="str">
        <f>IF(ISBLANK('Raw counts'!C$4),"",IF(ISBLANK('Raw counts'!C45),"",('Raw counts'!C45)/('Raw counts'!C$4)))</f>
        <v/>
      </c>
      <c r="Y45" s="29" t="str">
        <f>IF(ISBLANK('Raw counts'!D$4),"",IF(ISBLANK('Raw counts'!D45),"",('Raw counts'!D45)/('Raw counts'!D$4)))</f>
        <v/>
      </c>
      <c r="Z45" s="29" t="str">
        <f>IF(ISBLANK('Raw counts'!E$4),"",IF(ISBLANK('Raw counts'!E45),"",('Raw counts'!E45)/('Raw counts'!E$4)))</f>
        <v/>
      </c>
      <c r="AA45" s="29" t="str">
        <f>IF(ISBLANK('Raw counts'!F$4),"",IF(ISBLANK('Raw counts'!F45),"",('Raw counts'!F45)/('Raw counts'!F$4)))</f>
        <v/>
      </c>
      <c r="AB45" s="29" t="str">
        <f>IF(ISBLANK('Raw counts'!G$4),"",IF(ISBLANK('Raw counts'!G45),"",('Raw counts'!G45)/('Raw counts'!G$4)))</f>
        <v/>
      </c>
      <c r="AC45" s="29" t="str">
        <f>IF(ISBLANK('Raw counts'!H$4),"",IF(ISBLANK('Raw counts'!H45),"",('Raw counts'!H45)/('Raw counts'!H$4)))</f>
        <v/>
      </c>
      <c r="AD45" s="29" t="str">
        <f>IF(ISBLANK('Raw counts'!I$4),"",IF(ISBLANK('Raw counts'!I45),"",('Raw counts'!I45)/('Raw counts'!I$4)))</f>
        <v/>
      </c>
      <c r="AE45" s="29" t="str">
        <f>IF(ISBLANK('Raw counts'!J$4),"",IF(ISBLANK('Raw counts'!J45),"",('Raw counts'!J45)/('Raw counts'!J$4)))</f>
        <v/>
      </c>
      <c r="AF45" s="29" t="str">
        <f>IF(ISBLANK('Raw counts'!K$4),"",IF(ISBLANK('Raw counts'!K45),"",('Raw counts'!K45)/('Raw counts'!K$4)))</f>
        <v/>
      </c>
      <c r="AG45" s="29" t="str">
        <f>IF(ISBLANK('Raw counts'!L$4),"",IF(ISBLANK('Raw counts'!L45),"",('Raw counts'!L45)/('Raw counts'!L$4)))</f>
        <v/>
      </c>
      <c r="AH45" s="29" t="str">
        <f>IF(ISBLANK('Raw counts'!M$4),"",IF(ISBLANK('Raw counts'!M45),"",('Raw counts'!M45)/('Raw counts'!M$4)))</f>
        <v/>
      </c>
      <c r="AI45" s="29" t="str">
        <f>IF(ISBLANK('Raw counts'!N$4),"",IF(ISBLANK('Raw counts'!N45),"",('Raw counts'!N45)/('Raw counts'!N$4)))</f>
        <v/>
      </c>
      <c r="AJ45" s="29" t="str">
        <f>IF(ISBLANK('Raw counts'!O$4),"",IF(ISBLANK('Raw counts'!O45),"",('Raw counts'!O45)/('Raw counts'!O$4)))</f>
        <v/>
      </c>
      <c r="AK45" s="29" t="str">
        <f>IF(ISBLANK('Raw counts'!P$4),"",IF(ISBLANK('Raw counts'!P45),"",('Raw counts'!P45)/('Raw counts'!P$4)))</f>
        <v/>
      </c>
      <c r="AL45" s="29" t="str">
        <f>IF(ISBLANK('Raw counts'!Q$4),"",IF(ISBLANK('Raw counts'!Q45),"",('Raw counts'!Q45)/('Raw counts'!Q$4)))</f>
        <v/>
      </c>
      <c r="AM45" s="29" t="str">
        <f>IF(ISBLANK('Raw counts'!R$4),"",IF(ISBLANK('Raw counts'!R45),"",('Raw counts'!R45)/('Raw counts'!R$4)))</f>
        <v/>
      </c>
      <c r="AN45" s="29" t="str">
        <f>IF(ISBLANK('Raw counts'!S$4),"",IF(ISBLANK('Raw counts'!S45),"",('Raw counts'!S45)/('Raw counts'!S$4)))</f>
        <v/>
      </c>
      <c r="AO45" s="29" t="str">
        <f>IF(ISBLANK('Raw counts'!T$4),"",IF(ISBLANK('Raw counts'!T45),"",('Raw counts'!T45)/('Raw counts'!T$4)))</f>
        <v/>
      </c>
      <c r="AP45" s="29" t="str">
        <f>IF(ISBLANK('Raw counts'!U$4),"",IF(ISBLANK('Raw counts'!U45),"",('Raw counts'!U45)/('Raw counts'!U$4)))</f>
        <v/>
      </c>
      <c r="AQ45" s="32" t="str">
        <f t="shared" si="4"/>
        <v/>
      </c>
      <c r="AR45" s="32" t="str">
        <f t="shared" si="5"/>
        <v/>
      </c>
    </row>
    <row r="46" spans="1:44" x14ac:dyDescent="0.15">
      <c r="A46" s="18" t="str">
        <f>IF(ISBLANK('Raw counts'!A46),"",'Raw counts'!A46)</f>
        <v>Attr42</v>
      </c>
      <c r="B46" s="20" t="str">
        <f t="shared" si="3"/>
        <v xml:space="preserve"> </v>
      </c>
      <c r="C46" s="20" t="str">
        <f t="shared" si="17"/>
        <v xml:space="preserve"> </v>
      </c>
      <c r="D46" s="20" t="str">
        <f t="shared" si="18"/>
        <v xml:space="preserve"> </v>
      </c>
      <c r="E46" s="20" t="str">
        <f t="shared" si="19"/>
        <v xml:space="preserve"> </v>
      </c>
      <c r="F46" s="20" t="str">
        <f t="shared" si="20"/>
        <v xml:space="preserve"> </v>
      </c>
      <c r="G46" s="20" t="str">
        <f t="shared" si="21"/>
        <v xml:space="preserve"> </v>
      </c>
      <c r="H46" s="20" t="str">
        <f t="shared" si="22"/>
        <v xml:space="preserve"> </v>
      </c>
      <c r="I46" s="20" t="str">
        <f t="shared" si="23"/>
        <v xml:space="preserve"> </v>
      </c>
      <c r="J46" s="20" t="str">
        <f t="shared" si="24"/>
        <v xml:space="preserve"> </v>
      </c>
      <c r="K46" s="20" t="str">
        <f t="shared" si="6"/>
        <v xml:space="preserve"> </v>
      </c>
      <c r="L46" s="20" t="str">
        <f t="shared" si="7"/>
        <v xml:space="preserve"> </v>
      </c>
      <c r="M46" s="20" t="str">
        <f t="shared" si="8"/>
        <v xml:space="preserve"> </v>
      </c>
      <c r="N46" s="20" t="str">
        <f t="shared" si="9"/>
        <v xml:space="preserve"> </v>
      </c>
      <c r="O46" s="20" t="str">
        <f t="shared" si="10"/>
        <v xml:space="preserve"> </v>
      </c>
      <c r="P46" s="20" t="str">
        <f t="shared" si="11"/>
        <v xml:space="preserve"> </v>
      </c>
      <c r="Q46" s="20" t="str">
        <f t="shared" si="12"/>
        <v xml:space="preserve"> </v>
      </c>
      <c r="R46" s="20" t="str">
        <f t="shared" si="13"/>
        <v xml:space="preserve"> </v>
      </c>
      <c r="S46" s="20" t="str">
        <f t="shared" si="14"/>
        <v xml:space="preserve"> </v>
      </c>
      <c r="T46" s="20" t="str">
        <f t="shared" si="15"/>
        <v xml:space="preserve"> </v>
      </c>
      <c r="U46" s="20" t="str">
        <f t="shared" si="16"/>
        <v xml:space="preserve"> </v>
      </c>
      <c r="V46" s="35"/>
      <c r="W46" s="29" t="str">
        <f>IF(ISBLANK('Raw counts'!B$4),"",IF(ISBLANK('Raw counts'!B46),"",('Raw counts'!B46)/('Raw counts'!B$4)))</f>
        <v/>
      </c>
      <c r="X46" s="29" t="str">
        <f>IF(ISBLANK('Raw counts'!C$4),"",IF(ISBLANK('Raw counts'!C46),"",('Raw counts'!C46)/('Raw counts'!C$4)))</f>
        <v/>
      </c>
      <c r="Y46" s="29" t="str">
        <f>IF(ISBLANK('Raw counts'!D$4),"",IF(ISBLANK('Raw counts'!D46),"",('Raw counts'!D46)/('Raw counts'!D$4)))</f>
        <v/>
      </c>
      <c r="Z46" s="29" t="str">
        <f>IF(ISBLANK('Raw counts'!E$4),"",IF(ISBLANK('Raw counts'!E46),"",('Raw counts'!E46)/('Raw counts'!E$4)))</f>
        <v/>
      </c>
      <c r="AA46" s="29" t="str">
        <f>IF(ISBLANK('Raw counts'!F$4),"",IF(ISBLANK('Raw counts'!F46),"",('Raw counts'!F46)/('Raw counts'!F$4)))</f>
        <v/>
      </c>
      <c r="AB46" s="29" t="str">
        <f>IF(ISBLANK('Raw counts'!G$4),"",IF(ISBLANK('Raw counts'!G46),"",('Raw counts'!G46)/('Raw counts'!G$4)))</f>
        <v/>
      </c>
      <c r="AC46" s="29" t="str">
        <f>IF(ISBLANK('Raw counts'!H$4),"",IF(ISBLANK('Raw counts'!H46),"",('Raw counts'!H46)/('Raw counts'!H$4)))</f>
        <v/>
      </c>
      <c r="AD46" s="29" t="str">
        <f>IF(ISBLANK('Raw counts'!I$4),"",IF(ISBLANK('Raw counts'!I46),"",('Raw counts'!I46)/('Raw counts'!I$4)))</f>
        <v/>
      </c>
      <c r="AE46" s="29" t="str">
        <f>IF(ISBLANK('Raw counts'!J$4),"",IF(ISBLANK('Raw counts'!J46),"",('Raw counts'!J46)/('Raw counts'!J$4)))</f>
        <v/>
      </c>
      <c r="AF46" s="29" t="str">
        <f>IF(ISBLANK('Raw counts'!K$4),"",IF(ISBLANK('Raw counts'!K46),"",('Raw counts'!K46)/('Raw counts'!K$4)))</f>
        <v/>
      </c>
      <c r="AG46" s="29" t="str">
        <f>IF(ISBLANK('Raw counts'!L$4),"",IF(ISBLANK('Raw counts'!L46),"",('Raw counts'!L46)/('Raw counts'!L$4)))</f>
        <v/>
      </c>
      <c r="AH46" s="29" t="str">
        <f>IF(ISBLANK('Raw counts'!M$4),"",IF(ISBLANK('Raw counts'!M46),"",('Raw counts'!M46)/('Raw counts'!M$4)))</f>
        <v/>
      </c>
      <c r="AI46" s="29" t="str">
        <f>IF(ISBLANK('Raw counts'!N$4),"",IF(ISBLANK('Raw counts'!N46),"",('Raw counts'!N46)/('Raw counts'!N$4)))</f>
        <v/>
      </c>
      <c r="AJ46" s="29" t="str">
        <f>IF(ISBLANK('Raw counts'!O$4),"",IF(ISBLANK('Raw counts'!O46),"",('Raw counts'!O46)/('Raw counts'!O$4)))</f>
        <v/>
      </c>
      <c r="AK46" s="29" t="str">
        <f>IF(ISBLANK('Raw counts'!P$4),"",IF(ISBLANK('Raw counts'!P46),"",('Raw counts'!P46)/('Raw counts'!P$4)))</f>
        <v/>
      </c>
      <c r="AL46" s="29" t="str">
        <f>IF(ISBLANK('Raw counts'!Q$4),"",IF(ISBLANK('Raw counts'!Q46),"",('Raw counts'!Q46)/('Raw counts'!Q$4)))</f>
        <v/>
      </c>
      <c r="AM46" s="29" t="str">
        <f>IF(ISBLANK('Raw counts'!R$4),"",IF(ISBLANK('Raw counts'!R46),"",('Raw counts'!R46)/('Raw counts'!R$4)))</f>
        <v/>
      </c>
      <c r="AN46" s="29" t="str">
        <f>IF(ISBLANK('Raw counts'!S$4),"",IF(ISBLANK('Raw counts'!S46),"",('Raw counts'!S46)/('Raw counts'!S$4)))</f>
        <v/>
      </c>
      <c r="AO46" s="29" t="str">
        <f>IF(ISBLANK('Raw counts'!T$4),"",IF(ISBLANK('Raw counts'!T46),"",('Raw counts'!T46)/('Raw counts'!T$4)))</f>
        <v/>
      </c>
      <c r="AP46" s="29" t="str">
        <f>IF(ISBLANK('Raw counts'!U$4),"",IF(ISBLANK('Raw counts'!U46),"",('Raw counts'!U46)/('Raw counts'!U$4)))</f>
        <v/>
      </c>
      <c r="AQ46" s="32" t="str">
        <f t="shared" si="4"/>
        <v/>
      </c>
      <c r="AR46" s="32" t="str">
        <f t="shared" si="5"/>
        <v/>
      </c>
    </row>
    <row r="47" spans="1:44" x14ac:dyDescent="0.15">
      <c r="A47" s="18" t="str">
        <f>IF(ISBLANK('Raw counts'!A47),"",'Raw counts'!A47)</f>
        <v>Attr43</v>
      </c>
      <c r="B47" s="20" t="str">
        <f t="shared" si="3"/>
        <v xml:space="preserve"> </v>
      </c>
      <c r="C47" s="20" t="str">
        <f t="shared" si="17"/>
        <v xml:space="preserve"> </v>
      </c>
      <c r="D47" s="20" t="str">
        <f t="shared" si="18"/>
        <v xml:space="preserve"> </v>
      </c>
      <c r="E47" s="20" t="str">
        <f t="shared" si="19"/>
        <v xml:space="preserve"> </v>
      </c>
      <c r="F47" s="20" t="str">
        <f t="shared" si="20"/>
        <v xml:space="preserve"> </v>
      </c>
      <c r="G47" s="20" t="str">
        <f t="shared" si="21"/>
        <v xml:space="preserve"> </v>
      </c>
      <c r="H47" s="20" t="str">
        <f t="shared" si="22"/>
        <v xml:space="preserve"> </v>
      </c>
      <c r="I47" s="20" t="str">
        <f t="shared" si="23"/>
        <v xml:space="preserve"> </v>
      </c>
      <c r="J47" s="20" t="str">
        <f t="shared" si="24"/>
        <v xml:space="preserve"> </v>
      </c>
      <c r="K47" s="20" t="str">
        <f t="shared" si="6"/>
        <v xml:space="preserve"> </v>
      </c>
      <c r="L47" s="20" t="str">
        <f t="shared" si="7"/>
        <v xml:space="preserve"> </v>
      </c>
      <c r="M47" s="20" t="str">
        <f t="shared" si="8"/>
        <v xml:space="preserve"> </v>
      </c>
      <c r="N47" s="20" t="str">
        <f t="shared" si="9"/>
        <v xml:space="preserve"> </v>
      </c>
      <c r="O47" s="20" t="str">
        <f t="shared" si="10"/>
        <v xml:space="preserve"> </v>
      </c>
      <c r="P47" s="20" t="str">
        <f t="shared" si="11"/>
        <v xml:space="preserve"> </v>
      </c>
      <c r="Q47" s="20" t="str">
        <f t="shared" si="12"/>
        <v xml:space="preserve"> </v>
      </c>
      <c r="R47" s="20" t="str">
        <f t="shared" si="13"/>
        <v xml:space="preserve"> </v>
      </c>
      <c r="S47" s="20" t="str">
        <f t="shared" si="14"/>
        <v xml:space="preserve"> </v>
      </c>
      <c r="T47" s="20" t="str">
        <f t="shared" si="15"/>
        <v xml:space="preserve"> </v>
      </c>
      <c r="U47" s="20" t="str">
        <f t="shared" si="16"/>
        <v xml:space="preserve"> </v>
      </c>
      <c r="V47" s="35"/>
      <c r="W47" s="29" t="str">
        <f>IF(ISBLANK('Raw counts'!B$4),"",IF(ISBLANK('Raw counts'!B47),"",('Raw counts'!B47)/('Raw counts'!B$4)))</f>
        <v/>
      </c>
      <c r="X47" s="29" t="str">
        <f>IF(ISBLANK('Raw counts'!C$4),"",IF(ISBLANK('Raw counts'!C47),"",('Raw counts'!C47)/('Raw counts'!C$4)))</f>
        <v/>
      </c>
      <c r="Y47" s="29" t="str">
        <f>IF(ISBLANK('Raw counts'!D$4),"",IF(ISBLANK('Raw counts'!D47),"",('Raw counts'!D47)/('Raw counts'!D$4)))</f>
        <v/>
      </c>
      <c r="Z47" s="29" t="str">
        <f>IF(ISBLANK('Raw counts'!E$4),"",IF(ISBLANK('Raw counts'!E47),"",('Raw counts'!E47)/('Raw counts'!E$4)))</f>
        <v/>
      </c>
      <c r="AA47" s="29" t="str">
        <f>IF(ISBLANK('Raw counts'!F$4),"",IF(ISBLANK('Raw counts'!F47),"",('Raw counts'!F47)/('Raw counts'!F$4)))</f>
        <v/>
      </c>
      <c r="AB47" s="29" t="str">
        <f>IF(ISBLANK('Raw counts'!G$4),"",IF(ISBLANK('Raw counts'!G47),"",('Raw counts'!G47)/('Raw counts'!G$4)))</f>
        <v/>
      </c>
      <c r="AC47" s="29" t="str">
        <f>IF(ISBLANK('Raw counts'!H$4),"",IF(ISBLANK('Raw counts'!H47),"",('Raw counts'!H47)/('Raw counts'!H$4)))</f>
        <v/>
      </c>
      <c r="AD47" s="29" t="str">
        <f>IF(ISBLANK('Raw counts'!I$4),"",IF(ISBLANK('Raw counts'!I47),"",('Raw counts'!I47)/('Raw counts'!I$4)))</f>
        <v/>
      </c>
      <c r="AE47" s="29" t="str">
        <f>IF(ISBLANK('Raw counts'!J$4),"",IF(ISBLANK('Raw counts'!J47),"",('Raw counts'!J47)/('Raw counts'!J$4)))</f>
        <v/>
      </c>
      <c r="AF47" s="29" t="str">
        <f>IF(ISBLANK('Raw counts'!K$4),"",IF(ISBLANK('Raw counts'!K47),"",('Raw counts'!K47)/('Raw counts'!K$4)))</f>
        <v/>
      </c>
      <c r="AG47" s="29" t="str">
        <f>IF(ISBLANK('Raw counts'!L$4),"",IF(ISBLANK('Raw counts'!L47),"",('Raw counts'!L47)/('Raw counts'!L$4)))</f>
        <v/>
      </c>
      <c r="AH47" s="29" t="str">
        <f>IF(ISBLANK('Raw counts'!M$4),"",IF(ISBLANK('Raw counts'!M47),"",('Raw counts'!M47)/('Raw counts'!M$4)))</f>
        <v/>
      </c>
      <c r="AI47" s="29" t="str">
        <f>IF(ISBLANK('Raw counts'!N$4),"",IF(ISBLANK('Raw counts'!N47),"",('Raw counts'!N47)/('Raw counts'!N$4)))</f>
        <v/>
      </c>
      <c r="AJ47" s="29" t="str">
        <f>IF(ISBLANK('Raw counts'!O$4),"",IF(ISBLANK('Raw counts'!O47),"",('Raw counts'!O47)/('Raw counts'!O$4)))</f>
        <v/>
      </c>
      <c r="AK47" s="29" t="str">
        <f>IF(ISBLANK('Raw counts'!P$4),"",IF(ISBLANK('Raw counts'!P47),"",('Raw counts'!P47)/('Raw counts'!P$4)))</f>
        <v/>
      </c>
      <c r="AL47" s="29" t="str">
        <f>IF(ISBLANK('Raw counts'!Q$4),"",IF(ISBLANK('Raw counts'!Q47),"",('Raw counts'!Q47)/('Raw counts'!Q$4)))</f>
        <v/>
      </c>
      <c r="AM47" s="29" t="str">
        <f>IF(ISBLANK('Raw counts'!R$4),"",IF(ISBLANK('Raw counts'!R47),"",('Raw counts'!R47)/('Raw counts'!R$4)))</f>
        <v/>
      </c>
      <c r="AN47" s="29" t="str">
        <f>IF(ISBLANK('Raw counts'!S$4),"",IF(ISBLANK('Raw counts'!S47),"",('Raw counts'!S47)/('Raw counts'!S$4)))</f>
        <v/>
      </c>
      <c r="AO47" s="29" t="str">
        <f>IF(ISBLANK('Raw counts'!T$4),"",IF(ISBLANK('Raw counts'!T47),"",('Raw counts'!T47)/('Raw counts'!T$4)))</f>
        <v/>
      </c>
      <c r="AP47" s="29" t="str">
        <f>IF(ISBLANK('Raw counts'!U$4),"",IF(ISBLANK('Raw counts'!U47),"",('Raw counts'!U47)/('Raw counts'!U$4)))</f>
        <v/>
      </c>
      <c r="AQ47" s="32" t="str">
        <f t="shared" si="4"/>
        <v/>
      </c>
      <c r="AR47" s="32" t="str">
        <f t="shared" si="5"/>
        <v/>
      </c>
    </row>
    <row r="48" spans="1:44" x14ac:dyDescent="0.15">
      <c r="A48" s="18" t="str">
        <f>IF(ISBLANK('Raw counts'!A48),"",'Raw counts'!A48)</f>
        <v>Attr44</v>
      </c>
      <c r="B48" s="20" t="str">
        <f t="shared" si="3"/>
        <v xml:space="preserve"> </v>
      </c>
      <c r="C48" s="20" t="str">
        <f t="shared" si="17"/>
        <v xml:space="preserve"> </v>
      </c>
      <c r="D48" s="20" t="str">
        <f t="shared" si="18"/>
        <v xml:space="preserve"> </v>
      </c>
      <c r="E48" s="20" t="str">
        <f t="shared" si="19"/>
        <v xml:space="preserve"> </v>
      </c>
      <c r="F48" s="20" t="str">
        <f t="shared" si="20"/>
        <v xml:space="preserve"> </v>
      </c>
      <c r="G48" s="20" t="str">
        <f t="shared" si="21"/>
        <v xml:space="preserve"> </v>
      </c>
      <c r="H48" s="20" t="str">
        <f t="shared" si="22"/>
        <v xml:space="preserve"> </v>
      </c>
      <c r="I48" s="20" t="str">
        <f t="shared" si="23"/>
        <v xml:space="preserve"> </v>
      </c>
      <c r="J48" s="20" t="str">
        <f t="shared" si="24"/>
        <v xml:space="preserve"> </v>
      </c>
      <c r="K48" s="20" t="str">
        <f t="shared" si="6"/>
        <v xml:space="preserve"> </v>
      </c>
      <c r="L48" s="20" t="str">
        <f t="shared" si="7"/>
        <v xml:space="preserve"> </v>
      </c>
      <c r="M48" s="20" t="str">
        <f t="shared" si="8"/>
        <v xml:space="preserve"> </v>
      </c>
      <c r="N48" s="20" t="str">
        <f t="shared" si="9"/>
        <v xml:space="preserve"> </v>
      </c>
      <c r="O48" s="20" t="str">
        <f t="shared" si="10"/>
        <v xml:space="preserve"> </v>
      </c>
      <c r="P48" s="20" t="str">
        <f t="shared" si="11"/>
        <v xml:space="preserve"> </v>
      </c>
      <c r="Q48" s="20" t="str">
        <f t="shared" si="12"/>
        <v xml:space="preserve"> </v>
      </c>
      <c r="R48" s="20" t="str">
        <f t="shared" si="13"/>
        <v xml:space="preserve"> </v>
      </c>
      <c r="S48" s="20" t="str">
        <f t="shared" si="14"/>
        <v xml:space="preserve"> </v>
      </c>
      <c r="T48" s="20" t="str">
        <f t="shared" si="15"/>
        <v xml:space="preserve"> </v>
      </c>
      <c r="U48" s="20" t="str">
        <f t="shared" si="16"/>
        <v xml:space="preserve"> </v>
      </c>
      <c r="V48" s="35"/>
      <c r="W48" s="29" t="str">
        <f>IF(ISBLANK('Raw counts'!B$4),"",IF(ISBLANK('Raw counts'!B48),"",('Raw counts'!B48)/('Raw counts'!B$4)))</f>
        <v/>
      </c>
      <c r="X48" s="29" t="str">
        <f>IF(ISBLANK('Raw counts'!C$4),"",IF(ISBLANK('Raw counts'!C48),"",('Raw counts'!C48)/('Raw counts'!C$4)))</f>
        <v/>
      </c>
      <c r="Y48" s="29" t="str">
        <f>IF(ISBLANK('Raw counts'!D$4),"",IF(ISBLANK('Raw counts'!D48),"",('Raw counts'!D48)/('Raw counts'!D$4)))</f>
        <v/>
      </c>
      <c r="Z48" s="29" t="str">
        <f>IF(ISBLANK('Raw counts'!E$4),"",IF(ISBLANK('Raw counts'!E48),"",('Raw counts'!E48)/('Raw counts'!E$4)))</f>
        <v/>
      </c>
      <c r="AA48" s="29" t="str">
        <f>IF(ISBLANK('Raw counts'!F$4),"",IF(ISBLANK('Raw counts'!F48),"",('Raw counts'!F48)/('Raw counts'!F$4)))</f>
        <v/>
      </c>
      <c r="AB48" s="29" t="str">
        <f>IF(ISBLANK('Raw counts'!G$4),"",IF(ISBLANK('Raw counts'!G48),"",('Raw counts'!G48)/('Raw counts'!G$4)))</f>
        <v/>
      </c>
      <c r="AC48" s="29" t="str">
        <f>IF(ISBLANK('Raw counts'!H$4),"",IF(ISBLANK('Raw counts'!H48),"",('Raw counts'!H48)/('Raw counts'!H$4)))</f>
        <v/>
      </c>
      <c r="AD48" s="29" t="str">
        <f>IF(ISBLANK('Raw counts'!I$4),"",IF(ISBLANK('Raw counts'!I48),"",('Raw counts'!I48)/('Raw counts'!I$4)))</f>
        <v/>
      </c>
      <c r="AE48" s="29" t="str">
        <f>IF(ISBLANK('Raw counts'!J$4),"",IF(ISBLANK('Raw counts'!J48),"",('Raw counts'!J48)/('Raw counts'!J$4)))</f>
        <v/>
      </c>
      <c r="AF48" s="29" t="str">
        <f>IF(ISBLANK('Raw counts'!K$4),"",IF(ISBLANK('Raw counts'!K48),"",('Raw counts'!K48)/('Raw counts'!K$4)))</f>
        <v/>
      </c>
      <c r="AG48" s="29" t="str">
        <f>IF(ISBLANK('Raw counts'!L$4),"",IF(ISBLANK('Raw counts'!L48),"",('Raw counts'!L48)/('Raw counts'!L$4)))</f>
        <v/>
      </c>
      <c r="AH48" s="29" t="str">
        <f>IF(ISBLANK('Raw counts'!M$4),"",IF(ISBLANK('Raw counts'!M48),"",('Raw counts'!M48)/('Raw counts'!M$4)))</f>
        <v/>
      </c>
      <c r="AI48" s="29" t="str">
        <f>IF(ISBLANK('Raw counts'!N$4),"",IF(ISBLANK('Raw counts'!N48),"",('Raw counts'!N48)/('Raw counts'!N$4)))</f>
        <v/>
      </c>
      <c r="AJ48" s="29" t="str">
        <f>IF(ISBLANK('Raw counts'!O$4),"",IF(ISBLANK('Raw counts'!O48),"",('Raw counts'!O48)/('Raw counts'!O$4)))</f>
        <v/>
      </c>
      <c r="AK48" s="29" t="str">
        <f>IF(ISBLANK('Raw counts'!P$4),"",IF(ISBLANK('Raw counts'!P48),"",('Raw counts'!P48)/('Raw counts'!P$4)))</f>
        <v/>
      </c>
      <c r="AL48" s="29" t="str">
        <f>IF(ISBLANK('Raw counts'!Q$4),"",IF(ISBLANK('Raw counts'!Q48),"",('Raw counts'!Q48)/('Raw counts'!Q$4)))</f>
        <v/>
      </c>
      <c r="AM48" s="29" t="str">
        <f>IF(ISBLANK('Raw counts'!R$4),"",IF(ISBLANK('Raw counts'!R48),"",('Raw counts'!R48)/('Raw counts'!R$4)))</f>
        <v/>
      </c>
      <c r="AN48" s="29" t="str">
        <f>IF(ISBLANK('Raw counts'!S$4),"",IF(ISBLANK('Raw counts'!S48),"",('Raw counts'!S48)/('Raw counts'!S$4)))</f>
        <v/>
      </c>
      <c r="AO48" s="29" t="str">
        <f>IF(ISBLANK('Raw counts'!T$4),"",IF(ISBLANK('Raw counts'!T48),"",('Raw counts'!T48)/('Raw counts'!T$4)))</f>
        <v/>
      </c>
      <c r="AP48" s="29" t="str">
        <f>IF(ISBLANK('Raw counts'!U$4),"",IF(ISBLANK('Raw counts'!U48),"",('Raw counts'!U48)/('Raw counts'!U$4)))</f>
        <v/>
      </c>
      <c r="AQ48" s="32" t="str">
        <f t="shared" si="4"/>
        <v/>
      </c>
      <c r="AR48" s="32" t="str">
        <f t="shared" si="5"/>
        <v/>
      </c>
    </row>
    <row r="49" spans="1:44" x14ac:dyDescent="0.15">
      <c r="A49" s="18" t="str">
        <f>IF(ISBLANK('Raw counts'!A49),"",'Raw counts'!A49)</f>
        <v>Attr45</v>
      </c>
      <c r="B49" s="20" t="str">
        <f t="shared" si="3"/>
        <v xml:space="preserve"> </v>
      </c>
      <c r="C49" s="20" t="str">
        <f t="shared" si="17"/>
        <v xml:space="preserve"> </v>
      </c>
      <c r="D49" s="20" t="str">
        <f t="shared" si="18"/>
        <v xml:space="preserve"> </v>
      </c>
      <c r="E49" s="20" t="str">
        <f t="shared" si="19"/>
        <v xml:space="preserve"> </v>
      </c>
      <c r="F49" s="20" t="str">
        <f t="shared" si="20"/>
        <v xml:space="preserve"> </v>
      </c>
      <c r="G49" s="20" t="str">
        <f t="shared" si="21"/>
        <v xml:space="preserve"> </v>
      </c>
      <c r="H49" s="20" t="str">
        <f t="shared" si="22"/>
        <v xml:space="preserve"> </v>
      </c>
      <c r="I49" s="20" t="str">
        <f t="shared" si="23"/>
        <v xml:space="preserve"> </v>
      </c>
      <c r="J49" s="20" t="str">
        <f t="shared" si="24"/>
        <v xml:space="preserve"> </v>
      </c>
      <c r="K49" s="20" t="str">
        <f t="shared" si="6"/>
        <v xml:space="preserve"> </v>
      </c>
      <c r="L49" s="20" t="str">
        <f t="shared" si="7"/>
        <v xml:space="preserve"> </v>
      </c>
      <c r="M49" s="20" t="str">
        <f t="shared" si="8"/>
        <v xml:space="preserve"> </v>
      </c>
      <c r="N49" s="20" t="str">
        <f t="shared" si="9"/>
        <v xml:space="preserve"> </v>
      </c>
      <c r="O49" s="20" t="str">
        <f t="shared" si="10"/>
        <v xml:space="preserve"> </v>
      </c>
      <c r="P49" s="20" t="str">
        <f t="shared" si="11"/>
        <v xml:space="preserve"> </v>
      </c>
      <c r="Q49" s="20" t="str">
        <f t="shared" si="12"/>
        <v xml:space="preserve"> </v>
      </c>
      <c r="R49" s="20" t="str">
        <f t="shared" si="13"/>
        <v xml:space="preserve"> </v>
      </c>
      <c r="S49" s="20" t="str">
        <f t="shared" si="14"/>
        <v xml:space="preserve"> </v>
      </c>
      <c r="T49" s="20" t="str">
        <f t="shared" si="15"/>
        <v xml:space="preserve"> </v>
      </c>
      <c r="U49" s="20" t="str">
        <f t="shared" si="16"/>
        <v xml:space="preserve"> </v>
      </c>
      <c r="V49" s="35"/>
      <c r="W49" s="29" t="str">
        <f>IF(ISBLANK('Raw counts'!B$4),"",IF(ISBLANK('Raw counts'!B49),"",('Raw counts'!B49)/('Raw counts'!B$4)))</f>
        <v/>
      </c>
      <c r="X49" s="29" t="str">
        <f>IF(ISBLANK('Raw counts'!C$4),"",IF(ISBLANK('Raw counts'!C49),"",('Raw counts'!C49)/('Raw counts'!C$4)))</f>
        <v/>
      </c>
      <c r="Y49" s="29" t="str">
        <f>IF(ISBLANK('Raw counts'!D$4),"",IF(ISBLANK('Raw counts'!D49),"",('Raw counts'!D49)/('Raw counts'!D$4)))</f>
        <v/>
      </c>
      <c r="Z49" s="29" t="str">
        <f>IF(ISBLANK('Raw counts'!E$4),"",IF(ISBLANK('Raw counts'!E49),"",('Raw counts'!E49)/('Raw counts'!E$4)))</f>
        <v/>
      </c>
      <c r="AA49" s="29" t="str">
        <f>IF(ISBLANK('Raw counts'!F$4),"",IF(ISBLANK('Raw counts'!F49),"",('Raw counts'!F49)/('Raw counts'!F$4)))</f>
        <v/>
      </c>
      <c r="AB49" s="29" t="str">
        <f>IF(ISBLANK('Raw counts'!G$4),"",IF(ISBLANK('Raw counts'!G49),"",('Raw counts'!G49)/('Raw counts'!G$4)))</f>
        <v/>
      </c>
      <c r="AC49" s="29" t="str">
        <f>IF(ISBLANK('Raw counts'!H$4),"",IF(ISBLANK('Raw counts'!H49),"",('Raw counts'!H49)/('Raw counts'!H$4)))</f>
        <v/>
      </c>
      <c r="AD49" s="29" t="str">
        <f>IF(ISBLANK('Raw counts'!I$4),"",IF(ISBLANK('Raw counts'!I49),"",('Raw counts'!I49)/('Raw counts'!I$4)))</f>
        <v/>
      </c>
      <c r="AE49" s="29" t="str">
        <f>IF(ISBLANK('Raw counts'!J$4),"",IF(ISBLANK('Raw counts'!J49),"",('Raw counts'!J49)/('Raw counts'!J$4)))</f>
        <v/>
      </c>
      <c r="AF49" s="29" t="str">
        <f>IF(ISBLANK('Raw counts'!K$4),"",IF(ISBLANK('Raw counts'!K49),"",('Raw counts'!K49)/('Raw counts'!K$4)))</f>
        <v/>
      </c>
      <c r="AG49" s="29" t="str">
        <f>IF(ISBLANK('Raw counts'!L$4),"",IF(ISBLANK('Raw counts'!L49),"",('Raw counts'!L49)/('Raw counts'!L$4)))</f>
        <v/>
      </c>
      <c r="AH49" s="29" t="str">
        <f>IF(ISBLANK('Raw counts'!M$4),"",IF(ISBLANK('Raw counts'!M49),"",('Raw counts'!M49)/('Raw counts'!M$4)))</f>
        <v/>
      </c>
      <c r="AI49" s="29" t="str">
        <f>IF(ISBLANK('Raw counts'!N$4),"",IF(ISBLANK('Raw counts'!N49),"",('Raw counts'!N49)/('Raw counts'!N$4)))</f>
        <v/>
      </c>
      <c r="AJ49" s="29" t="str">
        <f>IF(ISBLANK('Raw counts'!O$4),"",IF(ISBLANK('Raw counts'!O49),"",('Raw counts'!O49)/('Raw counts'!O$4)))</f>
        <v/>
      </c>
      <c r="AK49" s="29" t="str">
        <f>IF(ISBLANK('Raw counts'!P$4),"",IF(ISBLANK('Raw counts'!P49),"",('Raw counts'!P49)/('Raw counts'!P$4)))</f>
        <v/>
      </c>
      <c r="AL49" s="29" t="str">
        <f>IF(ISBLANK('Raw counts'!Q$4),"",IF(ISBLANK('Raw counts'!Q49),"",('Raw counts'!Q49)/('Raw counts'!Q$4)))</f>
        <v/>
      </c>
      <c r="AM49" s="29" t="str">
        <f>IF(ISBLANK('Raw counts'!R$4),"",IF(ISBLANK('Raw counts'!R49),"",('Raw counts'!R49)/('Raw counts'!R$4)))</f>
        <v/>
      </c>
      <c r="AN49" s="29" t="str">
        <f>IF(ISBLANK('Raw counts'!S$4),"",IF(ISBLANK('Raw counts'!S49),"",('Raw counts'!S49)/('Raw counts'!S$4)))</f>
        <v/>
      </c>
      <c r="AO49" s="29" t="str">
        <f>IF(ISBLANK('Raw counts'!T$4),"",IF(ISBLANK('Raw counts'!T49),"",('Raw counts'!T49)/('Raw counts'!T$4)))</f>
        <v/>
      </c>
      <c r="AP49" s="29" t="str">
        <f>IF(ISBLANK('Raw counts'!U$4),"",IF(ISBLANK('Raw counts'!U49),"",('Raw counts'!U49)/('Raw counts'!U$4)))</f>
        <v/>
      </c>
      <c r="AQ49" s="32" t="str">
        <f t="shared" si="4"/>
        <v/>
      </c>
      <c r="AR49" s="32" t="str">
        <f t="shared" si="5"/>
        <v/>
      </c>
    </row>
    <row r="50" spans="1:44" x14ac:dyDescent="0.15">
      <c r="A50" s="18" t="str">
        <f>IF(ISBLANK('Raw counts'!A50),"",'Raw counts'!A50)</f>
        <v>Attr46</v>
      </c>
      <c r="B50" s="20" t="str">
        <f t="shared" si="3"/>
        <v xml:space="preserve"> </v>
      </c>
      <c r="C50" s="20" t="str">
        <f t="shared" si="17"/>
        <v xml:space="preserve"> </v>
      </c>
      <c r="D50" s="20" t="str">
        <f t="shared" si="18"/>
        <v xml:space="preserve"> </v>
      </c>
      <c r="E50" s="20" t="str">
        <f t="shared" si="19"/>
        <v xml:space="preserve"> </v>
      </c>
      <c r="F50" s="20" t="str">
        <f t="shared" si="20"/>
        <v xml:space="preserve"> </v>
      </c>
      <c r="G50" s="20" t="str">
        <f t="shared" si="21"/>
        <v xml:space="preserve"> </v>
      </c>
      <c r="H50" s="20" t="str">
        <f t="shared" si="22"/>
        <v xml:space="preserve"> </v>
      </c>
      <c r="I50" s="20" t="str">
        <f t="shared" si="23"/>
        <v xml:space="preserve"> </v>
      </c>
      <c r="J50" s="20" t="str">
        <f t="shared" si="24"/>
        <v xml:space="preserve"> </v>
      </c>
      <c r="K50" s="20" t="str">
        <f t="shared" si="6"/>
        <v xml:space="preserve"> </v>
      </c>
      <c r="L50" s="20" t="str">
        <f t="shared" si="7"/>
        <v xml:space="preserve"> </v>
      </c>
      <c r="M50" s="20" t="str">
        <f t="shared" si="8"/>
        <v xml:space="preserve"> </v>
      </c>
      <c r="N50" s="20" t="str">
        <f t="shared" si="9"/>
        <v xml:space="preserve"> </v>
      </c>
      <c r="O50" s="20" t="str">
        <f t="shared" si="10"/>
        <v xml:space="preserve"> </v>
      </c>
      <c r="P50" s="20" t="str">
        <f t="shared" si="11"/>
        <v xml:space="preserve"> </v>
      </c>
      <c r="Q50" s="20" t="str">
        <f t="shared" si="12"/>
        <v xml:space="preserve"> </v>
      </c>
      <c r="R50" s="20" t="str">
        <f t="shared" si="13"/>
        <v xml:space="preserve"> </v>
      </c>
      <c r="S50" s="20" t="str">
        <f t="shared" si="14"/>
        <v xml:space="preserve"> </v>
      </c>
      <c r="T50" s="20" t="str">
        <f t="shared" si="15"/>
        <v xml:space="preserve"> </v>
      </c>
      <c r="U50" s="20" t="str">
        <f t="shared" si="16"/>
        <v xml:space="preserve"> </v>
      </c>
      <c r="V50" s="35"/>
      <c r="W50" s="29" t="str">
        <f>IF(ISBLANK('Raw counts'!B$4),"",IF(ISBLANK('Raw counts'!B50),"",('Raw counts'!B50)/('Raw counts'!B$4)))</f>
        <v/>
      </c>
      <c r="X50" s="29" t="str">
        <f>IF(ISBLANK('Raw counts'!C$4),"",IF(ISBLANK('Raw counts'!C50),"",('Raw counts'!C50)/('Raw counts'!C$4)))</f>
        <v/>
      </c>
      <c r="Y50" s="29" t="str">
        <f>IF(ISBLANK('Raw counts'!D$4),"",IF(ISBLANK('Raw counts'!D50),"",('Raw counts'!D50)/('Raw counts'!D$4)))</f>
        <v/>
      </c>
      <c r="Z50" s="29" t="str">
        <f>IF(ISBLANK('Raw counts'!E$4),"",IF(ISBLANK('Raw counts'!E50),"",('Raw counts'!E50)/('Raw counts'!E$4)))</f>
        <v/>
      </c>
      <c r="AA50" s="29" t="str">
        <f>IF(ISBLANK('Raw counts'!F$4),"",IF(ISBLANK('Raw counts'!F50),"",('Raw counts'!F50)/('Raw counts'!F$4)))</f>
        <v/>
      </c>
      <c r="AB50" s="29" t="str">
        <f>IF(ISBLANK('Raw counts'!G$4),"",IF(ISBLANK('Raw counts'!G50),"",('Raw counts'!G50)/('Raw counts'!G$4)))</f>
        <v/>
      </c>
      <c r="AC50" s="29" t="str">
        <f>IF(ISBLANK('Raw counts'!H$4),"",IF(ISBLANK('Raw counts'!H50),"",('Raw counts'!H50)/('Raw counts'!H$4)))</f>
        <v/>
      </c>
      <c r="AD50" s="29" t="str">
        <f>IF(ISBLANK('Raw counts'!I$4),"",IF(ISBLANK('Raw counts'!I50),"",('Raw counts'!I50)/('Raw counts'!I$4)))</f>
        <v/>
      </c>
      <c r="AE50" s="29" t="str">
        <f>IF(ISBLANK('Raw counts'!J$4),"",IF(ISBLANK('Raw counts'!J50),"",('Raw counts'!J50)/('Raw counts'!J$4)))</f>
        <v/>
      </c>
      <c r="AF50" s="29" t="str">
        <f>IF(ISBLANK('Raw counts'!K$4),"",IF(ISBLANK('Raw counts'!K50),"",('Raw counts'!K50)/('Raw counts'!K$4)))</f>
        <v/>
      </c>
      <c r="AG50" s="29" t="str">
        <f>IF(ISBLANK('Raw counts'!L$4),"",IF(ISBLANK('Raw counts'!L50),"",('Raw counts'!L50)/('Raw counts'!L$4)))</f>
        <v/>
      </c>
      <c r="AH50" s="29" t="str">
        <f>IF(ISBLANK('Raw counts'!M$4),"",IF(ISBLANK('Raw counts'!M50),"",('Raw counts'!M50)/('Raw counts'!M$4)))</f>
        <v/>
      </c>
      <c r="AI50" s="29" t="str">
        <f>IF(ISBLANK('Raw counts'!N$4),"",IF(ISBLANK('Raw counts'!N50),"",('Raw counts'!N50)/('Raw counts'!N$4)))</f>
        <v/>
      </c>
      <c r="AJ50" s="29" t="str">
        <f>IF(ISBLANK('Raw counts'!O$4),"",IF(ISBLANK('Raw counts'!O50),"",('Raw counts'!O50)/('Raw counts'!O$4)))</f>
        <v/>
      </c>
      <c r="AK50" s="29" t="str">
        <f>IF(ISBLANK('Raw counts'!P$4),"",IF(ISBLANK('Raw counts'!P50),"",('Raw counts'!P50)/('Raw counts'!P$4)))</f>
        <v/>
      </c>
      <c r="AL50" s="29" t="str">
        <f>IF(ISBLANK('Raw counts'!Q$4),"",IF(ISBLANK('Raw counts'!Q50),"",('Raw counts'!Q50)/('Raw counts'!Q$4)))</f>
        <v/>
      </c>
      <c r="AM50" s="29" t="str">
        <f>IF(ISBLANK('Raw counts'!R$4),"",IF(ISBLANK('Raw counts'!R50),"",('Raw counts'!R50)/('Raw counts'!R$4)))</f>
        <v/>
      </c>
      <c r="AN50" s="29" t="str">
        <f>IF(ISBLANK('Raw counts'!S$4),"",IF(ISBLANK('Raw counts'!S50),"",('Raw counts'!S50)/('Raw counts'!S$4)))</f>
        <v/>
      </c>
      <c r="AO50" s="29" t="str">
        <f>IF(ISBLANK('Raw counts'!T$4),"",IF(ISBLANK('Raw counts'!T50),"",('Raw counts'!T50)/('Raw counts'!T$4)))</f>
        <v/>
      </c>
      <c r="AP50" s="29" t="str">
        <f>IF(ISBLANK('Raw counts'!U$4),"",IF(ISBLANK('Raw counts'!U50),"",('Raw counts'!U50)/('Raw counts'!U$4)))</f>
        <v/>
      </c>
      <c r="AQ50" s="32" t="str">
        <f t="shared" si="4"/>
        <v/>
      </c>
      <c r="AR50" s="32" t="str">
        <f t="shared" si="5"/>
        <v/>
      </c>
    </row>
    <row r="51" spans="1:44" x14ac:dyDescent="0.15">
      <c r="A51" s="18" t="str">
        <f>IF(ISBLANK('Raw counts'!A51),"",'Raw counts'!A51)</f>
        <v>Attr47</v>
      </c>
      <c r="B51" s="20" t="str">
        <f t="shared" si="3"/>
        <v xml:space="preserve"> </v>
      </c>
      <c r="C51" s="20" t="str">
        <f t="shared" si="17"/>
        <v xml:space="preserve"> </v>
      </c>
      <c r="D51" s="20" t="str">
        <f t="shared" si="18"/>
        <v xml:space="preserve"> </v>
      </c>
      <c r="E51" s="20" t="str">
        <f t="shared" si="19"/>
        <v xml:space="preserve"> </v>
      </c>
      <c r="F51" s="20" t="str">
        <f t="shared" si="20"/>
        <v xml:space="preserve"> </v>
      </c>
      <c r="G51" s="20" t="str">
        <f t="shared" si="21"/>
        <v xml:space="preserve"> </v>
      </c>
      <c r="H51" s="20" t="str">
        <f t="shared" si="22"/>
        <v xml:space="preserve"> </v>
      </c>
      <c r="I51" s="20" t="str">
        <f t="shared" si="23"/>
        <v xml:space="preserve"> </v>
      </c>
      <c r="J51" s="20" t="str">
        <f t="shared" si="24"/>
        <v xml:space="preserve"> </v>
      </c>
      <c r="K51" s="20" t="str">
        <f t="shared" si="6"/>
        <v xml:space="preserve"> </v>
      </c>
      <c r="L51" s="20" t="str">
        <f t="shared" si="7"/>
        <v xml:space="preserve"> </v>
      </c>
      <c r="M51" s="20" t="str">
        <f t="shared" si="8"/>
        <v xml:space="preserve"> </v>
      </c>
      <c r="N51" s="20" t="str">
        <f t="shared" si="9"/>
        <v xml:space="preserve"> </v>
      </c>
      <c r="O51" s="20" t="str">
        <f t="shared" si="10"/>
        <v xml:space="preserve"> </v>
      </c>
      <c r="P51" s="20" t="str">
        <f t="shared" si="11"/>
        <v xml:space="preserve"> </v>
      </c>
      <c r="Q51" s="20" t="str">
        <f t="shared" si="12"/>
        <v xml:space="preserve"> </v>
      </c>
      <c r="R51" s="20" t="str">
        <f t="shared" si="13"/>
        <v xml:space="preserve"> </v>
      </c>
      <c r="S51" s="20" t="str">
        <f t="shared" si="14"/>
        <v xml:space="preserve"> </v>
      </c>
      <c r="T51" s="20" t="str">
        <f t="shared" si="15"/>
        <v xml:space="preserve"> </v>
      </c>
      <c r="U51" s="20" t="str">
        <f t="shared" si="16"/>
        <v xml:space="preserve"> </v>
      </c>
      <c r="V51" s="35"/>
      <c r="W51" s="29" t="str">
        <f>IF(ISBLANK('Raw counts'!B$4),"",IF(ISBLANK('Raw counts'!B51),"",('Raw counts'!B51)/('Raw counts'!B$4)))</f>
        <v/>
      </c>
      <c r="X51" s="29" t="str">
        <f>IF(ISBLANK('Raw counts'!C$4),"",IF(ISBLANK('Raw counts'!C51),"",('Raw counts'!C51)/('Raw counts'!C$4)))</f>
        <v/>
      </c>
      <c r="Y51" s="29" t="str">
        <f>IF(ISBLANK('Raw counts'!D$4),"",IF(ISBLANK('Raw counts'!D51),"",('Raw counts'!D51)/('Raw counts'!D$4)))</f>
        <v/>
      </c>
      <c r="Z51" s="29" t="str">
        <f>IF(ISBLANK('Raw counts'!E$4),"",IF(ISBLANK('Raw counts'!E51),"",('Raw counts'!E51)/('Raw counts'!E$4)))</f>
        <v/>
      </c>
      <c r="AA51" s="29" t="str">
        <f>IF(ISBLANK('Raw counts'!F$4),"",IF(ISBLANK('Raw counts'!F51),"",('Raw counts'!F51)/('Raw counts'!F$4)))</f>
        <v/>
      </c>
      <c r="AB51" s="29" t="str">
        <f>IF(ISBLANK('Raw counts'!G$4),"",IF(ISBLANK('Raw counts'!G51),"",('Raw counts'!G51)/('Raw counts'!G$4)))</f>
        <v/>
      </c>
      <c r="AC51" s="29" t="str">
        <f>IF(ISBLANK('Raw counts'!H$4),"",IF(ISBLANK('Raw counts'!H51),"",('Raw counts'!H51)/('Raw counts'!H$4)))</f>
        <v/>
      </c>
      <c r="AD51" s="29" t="str">
        <f>IF(ISBLANK('Raw counts'!I$4),"",IF(ISBLANK('Raw counts'!I51),"",('Raw counts'!I51)/('Raw counts'!I$4)))</f>
        <v/>
      </c>
      <c r="AE51" s="29" t="str">
        <f>IF(ISBLANK('Raw counts'!J$4),"",IF(ISBLANK('Raw counts'!J51),"",('Raw counts'!J51)/('Raw counts'!J$4)))</f>
        <v/>
      </c>
      <c r="AF51" s="29" t="str">
        <f>IF(ISBLANK('Raw counts'!K$4),"",IF(ISBLANK('Raw counts'!K51),"",('Raw counts'!K51)/('Raw counts'!K$4)))</f>
        <v/>
      </c>
      <c r="AG51" s="29" t="str">
        <f>IF(ISBLANK('Raw counts'!L$4),"",IF(ISBLANK('Raw counts'!L51),"",('Raw counts'!L51)/('Raw counts'!L$4)))</f>
        <v/>
      </c>
      <c r="AH51" s="29" t="str">
        <f>IF(ISBLANK('Raw counts'!M$4),"",IF(ISBLANK('Raw counts'!M51),"",('Raw counts'!M51)/('Raw counts'!M$4)))</f>
        <v/>
      </c>
      <c r="AI51" s="29" t="str">
        <f>IF(ISBLANK('Raw counts'!N$4),"",IF(ISBLANK('Raw counts'!N51),"",('Raw counts'!N51)/('Raw counts'!N$4)))</f>
        <v/>
      </c>
      <c r="AJ51" s="29" t="str">
        <f>IF(ISBLANK('Raw counts'!O$4),"",IF(ISBLANK('Raw counts'!O51),"",('Raw counts'!O51)/('Raw counts'!O$4)))</f>
        <v/>
      </c>
      <c r="AK51" s="29" t="str">
        <f>IF(ISBLANK('Raw counts'!P$4),"",IF(ISBLANK('Raw counts'!P51),"",('Raw counts'!P51)/('Raw counts'!P$4)))</f>
        <v/>
      </c>
      <c r="AL51" s="29" t="str">
        <f>IF(ISBLANK('Raw counts'!Q$4),"",IF(ISBLANK('Raw counts'!Q51),"",('Raw counts'!Q51)/('Raw counts'!Q$4)))</f>
        <v/>
      </c>
      <c r="AM51" s="29" t="str">
        <f>IF(ISBLANK('Raw counts'!R$4),"",IF(ISBLANK('Raw counts'!R51),"",('Raw counts'!R51)/('Raw counts'!R$4)))</f>
        <v/>
      </c>
      <c r="AN51" s="29" t="str">
        <f>IF(ISBLANK('Raw counts'!S$4),"",IF(ISBLANK('Raw counts'!S51),"",('Raw counts'!S51)/('Raw counts'!S$4)))</f>
        <v/>
      </c>
      <c r="AO51" s="29" t="str">
        <f>IF(ISBLANK('Raw counts'!T$4),"",IF(ISBLANK('Raw counts'!T51),"",('Raw counts'!T51)/('Raw counts'!T$4)))</f>
        <v/>
      </c>
      <c r="AP51" s="29" t="str">
        <f>IF(ISBLANK('Raw counts'!U$4),"",IF(ISBLANK('Raw counts'!U51),"",('Raw counts'!U51)/('Raw counts'!U$4)))</f>
        <v/>
      </c>
      <c r="AQ51" s="32" t="str">
        <f t="shared" si="4"/>
        <v/>
      </c>
      <c r="AR51" s="32" t="str">
        <f t="shared" si="5"/>
        <v/>
      </c>
    </row>
    <row r="52" spans="1:44" x14ac:dyDescent="0.15">
      <c r="A52" s="18" t="str">
        <f>IF(ISBLANK('Raw counts'!A52),"",'Raw counts'!A52)</f>
        <v>Attr48</v>
      </c>
      <c r="B52" s="20" t="str">
        <f t="shared" si="3"/>
        <v xml:space="preserve"> </v>
      </c>
      <c r="C52" s="20" t="str">
        <f t="shared" si="17"/>
        <v xml:space="preserve"> </v>
      </c>
      <c r="D52" s="20" t="str">
        <f t="shared" si="18"/>
        <v xml:space="preserve"> </v>
      </c>
      <c r="E52" s="20" t="str">
        <f t="shared" si="19"/>
        <v xml:space="preserve"> </v>
      </c>
      <c r="F52" s="20" t="str">
        <f t="shared" si="20"/>
        <v xml:space="preserve"> </v>
      </c>
      <c r="G52" s="20" t="str">
        <f t="shared" si="21"/>
        <v xml:space="preserve"> </v>
      </c>
      <c r="H52" s="20" t="str">
        <f t="shared" si="22"/>
        <v xml:space="preserve"> </v>
      </c>
      <c r="I52" s="20" t="str">
        <f t="shared" si="23"/>
        <v xml:space="preserve"> </v>
      </c>
      <c r="J52" s="20" t="str">
        <f t="shared" si="24"/>
        <v xml:space="preserve"> </v>
      </c>
      <c r="K52" s="20" t="str">
        <f t="shared" si="6"/>
        <v xml:space="preserve"> </v>
      </c>
      <c r="L52" s="20" t="str">
        <f t="shared" si="7"/>
        <v xml:space="preserve"> </v>
      </c>
      <c r="M52" s="20" t="str">
        <f t="shared" si="8"/>
        <v xml:space="preserve"> </v>
      </c>
      <c r="N52" s="20" t="str">
        <f t="shared" si="9"/>
        <v xml:space="preserve"> </v>
      </c>
      <c r="O52" s="20" t="str">
        <f t="shared" si="10"/>
        <v xml:space="preserve"> </v>
      </c>
      <c r="P52" s="20" t="str">
        <f t="shared" si="11"/>
        <v xml:space="preserve"> </v>
      </c>
      <c r="Q52" s="20" t="str">
        <f t="shared" si="12"/>
        <v xml:space="preserve"> </v>
      </c>
      <c r="R52" s="20" t="str">
        <f t="shared" si="13"/>
        <v xml:space="preserve"> </v>
      </c>
      <c r="S52" s="20" t="str">
        <f t="shared" si="14"/>
        <v xml:space="preserve"> </v>
      </c>
      <c r="T52" s="20" t="str">
        <f t="shared" si="15"/>
        <v xml:space="preserve"> </v>
      </c>
      <c r="U52" s="20" t="str">
        <f t="shared" si="16"/>
        <v xml:space="preserve"> </v>
      </c>
      <c r="V52" s="35"/>
      <c r="W52" s="29" t="str">
        <f>IF(ISBLANK('Raw counts'!B$4),"",IF(ISBLANK('Raw counts'!B52),"",('Raw counts'!B52)/('Raw counts'!B$4)))</f>
        <v/>
      </c>
      <c r="X52" s="29" t="str">
        <f>IF(ISBLANK('Raw counts'!C$4),"",IF(ISBLANK('Raw counts'!C52),"",('Raw counts'!C52)/('Raw counts'!C$4)))</f>
        <v/>
      </c>
      <c r="Y52" s="29" t="str">
        <f>IF(ISBLANK('Raw counts'!D$4),"",IF(ISBLANK('Raw counts'!D52),"",('Raw counts'!D52)/('Raw counts'!D$4)))</f>
        <v/>
      </c>
      <c r="Z52" s="29" t="str">
        <f>IF(ISBLANK('Raw counts'!E$4),"",IF(ISBLANK('Raw counts'!E52),"",('Raw counts'!E52)/('Raw counts'!E$4)))</f>
        <v/>
      </c>
      <c r="AA52" s="29" t="str">
        <f>IF(ISBLANK('Raw counts'!F$4),"",IF(ISBLANK('Raw counts'!F52),"",('Raw counts'!F52)/('Raw counts'!F$4)))</f>
        <v/>
      </c>
      <c r="AB52" s="29" t="str">
        <f>IF(ISBLANK('Raw counts'!G$4),"",IF(ISBLANK('Raw counts'!G52),"",('Raw counts'!G52)/('Raw counts'!G$4)))</f>
        <v/>
      </c>
      <c r="AC52" s="29" t="str">
        <f>IF(ISBLANK('Raw counts'!H$4),"",IF(ISBLANK('Raw counts'!H52),"",('Raw counts'!H52)/('Raw counts'!H$4)))</f>
        <v/>
      </c>
      <c r="AD52" s="29" t="str">
        <f>IF(ISBLANK('Raw counts'!I$4),"",IF(ISBLANK('Raw counts'!I52),"",('Raw counts'!I52)/('Raw counts'!I$4)))</f>
        <v/>
      </c>
      <c r="AE52" s="29" t="str">
        <f>IF(ISBLANK('Raw counts'!J$4),"",IF(ISBLANK('Raw counts'!J52),"",('Raw counts'!J52)/('Raw counts'!J$4)))</f>
        <v/>
      </c>
      <c r="AF52" s="29" t="str">
        <f>IF(ISBLANK('Raw counts'!K$4),"",IF(ISBLANK('Raw counts'!K52),"",('Raw counts'!K52)/('Raw counts'!K$4)))</f>
        <v/>
      </c>
      <c r="AG52" s="29" t="str">
        <f>IF(ISBLANK('Raw counts'!L$4),"",IF(ISBLANK('Raw counts'!L52),"",('Raw counts'!L52)/('Raw counts'!L$4)))</f>
        <v/>
      </c>
      <c r="AH52" s="29" t="str">
        <f>IF(ISBLANK('Raw counts'!M$4),"",IF(ISBLANK('Raw counts'!M52),"",('Raw counts'!M52)/('Raw counts'!M$4)))</f>
        <v/>
      </c>
      <c r="AI52" s="29" t="str">
        <f>IF(ISBLANK('Raw counts'!N$4),"",IF(ISBLANK('Raw counts'!N52),"",('Raw counts'!N52)/('Raw counts'!N$4)))</f>
        <v/>
      </c>
      <c r="AJ52" s="29" t="str">
        <f>IF(ISBLANK('Raw counts'!O$4),"",IF(ISBLANK('Raw counts'!O52),"",('Raw counts'!O52)/('Raw counts'!O$4)))</f>
        <v/>
      </c>
      <c r="AK52" s="29" t="str">
        <f>IF(ISBLANK('Raw counts'!P$4),"",IF(ISBLANK('Raw counts'!P52),"",('Raw counts'!P52)/('Raw counts'!P$4)))</f>
        <v/>
      </c>
      <c r="AL52" s="29" t="str">
        <f>IF(ISBLANK('Raw counts'!Q$4),"",IF(ISBLANK('Raw counts'!Q52),"",('Raw counts'!Q52)/('Raw counts'!Q$4)))</f>
        <v/>
      </c>
      <c r="AM52" s="29" t="str">
        <f>IF(ISBLANK('Raw counts'!R$4),"",IF(ISBLANK('Raw counts'!R52),"",('Raw counts'!R52)/('Raw counts'!R$4)))</f>
        <v/>
      </c>
      <c r="AN52" s="29" t="str">
        <f>IF(ISBLANK('Raw counts'!S$4),"",IF(ISBLANK('Raw counts'!S52),"",('Raw counts'!S52)/('Raw counts'!S$4)))</f>
        <v/>
      </c>
      <c r="AO52" s="29" t="str">
        <f>IF(ISBLANK('Raw counts'!T$4),"",IF(ISBLANK('Raw counts'!T52),"",('Raw counts'!T52)/('Raw counts'!T$4)))</f>
        <v/>
      </c>
      <c r="AP52" s="29" t="str">
        <f>IF(ISBLANK('Raw counts'!U$4),"",IF(ISBLANK('Raw counts'!U52),"",('Raw counts'!U52)/('Raw counts'!U$4)))</f>
        <v/>
      </c>
      <c r="AQ52" s="32" t="str">
        <f t="shared" si="4"/>
        <v/>
      </c>
      <c r="AR52" s="32" t="str">
        <f t="shared" si="5"/>
        <v/>
      </c>
    </row>
    <row r="53" spans="1:44" x14ac:dyDescent="0.15">
      <c r="A53" s="18" t="str">
        <f>IF(ISBLANK('Raw counts'!A53),"",'Raw counts'!A53)</f>
        <v>Attr49</v>
      </c>
      <c r="B53" s="20" t="str">
        <f t="shared" si="3"/>
        <v xml:space="preserve"> </v>
      </c>
      <c r="C53" s="20" t="str">
        <f t="shared" si="17"/>
        <v xml:space="preserve"> </v>
      </c>
      <c r="D53" s="20" t="str">
        <f t="shared" si="18"/>
        <v xml:space="preserve"> </v>
      </c>
      <c r="E53" s="20" t="str">
        <f t="shared" si="19"/>
        <v xml:space="preserve"> </v>
      </c>
      <c r="F53" s="20" t="str">
        <f t="shared" si="20"/>
        <v xml:space="preserve"> </v>
      </c>
      <c r="G53" s="20" t="str">
        <f t="shared" si="21"/>
        <v xml:space="preserve"> </v>
      </c>
      <c r="H53" s="20" t="str">
        <f t="shared" si="22"/>
        <v xml:space="preserve"> </v>
      </c>
      <c r="I53" s="20" t="str">
        <f t="shared" si="23"/>
        <v xml:space="preserve"> </v>
      </c>
      <c r="J53" s="20" t="str">
        <f t="shared" si="24"/>
        <v xml:space="preserve"> </v>
      </c>
      <c r="K53" s="20" t="str">
        <f t="shared" si="6"/>
        <v xml:space="preserve"> </v>
      </c>
      <c r="L53" s="20" t="str">
        <f t="shared" si="7"/>
        <v xml:space="preserve"> </v>
      </c>
      <c r="M53" s="20" t="str">
        <f t="shared" si="8"/>
        <v xml:space="preserve"> </v>
      </c>
      <c r="N53" s="20" t="str">
        <f t="shared" si="9"/>
        <v xml:space="preserve"> </v>
      </c>
      <c r="O53" s="20" t="str">
        <f t="shared" si="10"/>
        <v xml:space="preserve"> </v>
      </c>
      <c r="P53" s="20" t="str">
        <f t="shared" si="11"/>
        <v xml:space="preserve"> </v>
      </c>
      <c r="Q53" s="20" t="str">
        <f t="shared" si="12"/>
        <v xml:space="preserve"> </v>
      </c>
      <c r="R53" s="20" t="str">
        <f t="shared" si="13"/>
        <v xml:space="preserve"> </v>
      </c>
      <c r="S53" s="20" t="str">
        <f t="shared" si="14"/>
        <v xml:space="preserve"> </v>
      </c>
      <c r="T53" s="20" t="str">
        <f t="shared" si="15"/>
        <v xml:space="preserve"> </v>
      </c>
      <c r="U53" s="20" t="str">
        <f t="shared" si="16"/>
        <v xml:space="preserve"> </v>
      </c>
      <c r="V53" s="35"/>
      <c r="W53" s="29" t="str">
        <f>IF(ISBLANK('Raw counts'!B$4),"",IF(ISBLANK('Raw counts'!B53),"",('Raw counts'!B53)/('Raw counts'!B$4)))</f>
        <v/>
      </c>
      <c r="X53" s="29" t="str">
        <f>IF(ISBLANK('Raw counts'!C$4),"",IF(ISBLANK('Raw counts'!C53),"",('Raw counts'!C53)/('Raw counts'!C$4)))</f>
        <v/>
      </c>
      <c r="Y53" s="29" t="str">
        <f>IF(ISBLANK('Raw counts'!D$4),"",IF(ISBLANK('Raw counts'!D53),"",('Raw counts'!D53)/('Raw counts'!D$4)))</f>
        <v/>
      </c>
      <c r="Z53" s="29" t="str">
        <f>IF(ISBLANK('Raw counts'!E$4),"",IF(ISBLANK('Raw counts'!E53),"",('Raw counts'!E53)/('Raw counts'!E$4)))</f>
        <v/>
      </c>
      <c r="AA53" s="29" t="str">
        <f>IF(ISBLANK('Raw counts'!F$4),"",IF(ISBLANK('Raw counts'!F53),"",('Raw counts'!F53)/('Raw counts'!F$4)))</f>
        <v/>
      </c>
      <c r="AB53" s="29" t="str">
        <f>IF(ISBLANK('Raw counts'!G$4),"",IF(ISBLANK('Raw counts'!G53),"",('Raw counts'!G53)/('Raw counts'!G$4)))</f>
        <v/>
      </c>
      <c r="AC53" s="29" t="str">
        <f>IF(ISBLANK('Raw counts'!H$4),"",IF(ISBLANK('Raw counts'!H53),"",('Raw counts'!H53)/('Raw counts'!H$4)))</f>
        <v/>
      </c>
      <c r="AD53" s="29" t="str">
        <f>IF(ISBLANK('Raw counts'!I$4),"",IF(ISBLANK('Raw counts'!I53),"",('Raw counts'!I53)/('Raw counts'!I$4)))</f>
        <v/>
      </c>
      <c r="AE53" s="29" t="str">
        <f>IF(ISBLANK('Raw counts'!J$4),"",IF(ISBLANK('Raw counts'!J53),"",('Raw counts'!J53)/('Raw counts'!J$4)))</f>
        <v/>
      </c>
      <c r="AF53" s="29" t="str">
        <f>IF(ISBLANK('Raw counts'!K$4),"",IF(ISBLANK('Raw counts'!K53),"",('Raw counts'!K53)/('Raw counts'!K$4)))</f>
        <v/>
      </c>
      <c r="AG53" s="29" t="str">
        <f>IF(ISBLANK('Raw counts'!L$4),"",IF(ISBLANK('Raw counts'!L53),"",('Raw counts'!L53)/('Raw counts'!L$4)))</f>
        <v/>
      </c>
      <c r="AH53" s="29" t="str">
        <f>IF(ISBLANK('Raw counts'!M$4),"",IF(ISBLANK('Raw counts'!M53),"",('Raw counts'!M53)/('Raw counts'!M$4)))</f>
        <v/>
      </c>
      <c r="AI53" s="29" t="str">
        <f>IF(ISBLANK('Raw counts'!N$4),"",IF(ISBLANK('Raw counts'!N53),"",('Raw counts'!N53)/('Raw counts'!N$4)))</f>
        <v/>
      </c>
      <c r="AJ53" s="29" t="str">
        <f>IF(ISBLANK('Raw counts'!O$4),"",IF(ISBLANK('Raw counts'!O53),"",('Raw counts'!O53)/('Raw counts'!O$4)))</f>
        <v/>
      </c>
      <c r="AK53" s="29" t="str">
        <f>IF(ISBLANK('Raw counts'!P$4),"",IF(ISBLANK('Raw counts'!P53),"",('Raw counts'!P53)/('Raw counts'!P$4)))</f>
        <v/>
      </c>
      <c r="AL53" s="29" t="str">
        <f>IF(ISBLANK('Raw counts'!Q$4),"",IF(ISBLANK('Raw counts'!Q53),"",('Raw counts'!Q53)/('Raw counts'!Q$4)))</f>
        <v/>
      </c>
      <c r="AM53" s="29" t="str">
        <f>IF(ISBLANK('Raw counts'!R$4),"",IF(ISBLANK('Raw counts'!R53),"",('Raw counts'!R53)/('Raw counts'!R$4)))</f>
        <v/>
      </c>
      <c r="AN53" s="29" t="str">
        <f>IF(ISBLANK('Raw counts'!S$4),"",IF(ISBLANK('Raw counts'!S53),"",('Raw counts'!S53)/('Raw counts'!S$4)))</f>
        <v/>
      </c>
      <c r="AO53" s="29" t="str">
        <f>IF(ISBLANK('Raw counts'!T$4),"",IF(ISBLANK('Raw counts'!T53),"",('Raw counts'!T53)/('Raw counts'!T$4)))</f>
        <v/>
      </c>
      <c r="AP53" s="29" t="str">
        <f>IF(ISBLANK('Raw counts'!U$4),"",IF(ISBLANK('Raw counts'!U53),"",('Raw counts'!U53)/('Raw counts'!U$4)))</f>
        <v/>
      </c>
      <c r="AQ53" s="32" t="str">
        <f t="shared" si="4"/>
        <v/>
      </c>
      <c r="AR53" s="32" t="str">
        <f t="shared" si="5"/>
        <v/>
      </c>
    </row>
    <row r="54" spans="1:44" x14ac:dyDescent="0.15">
      <c r="A54" s="18" t="str">
        <f>IF(ISBLANK('Raw counts'!A54),"",'Raw counts'!A54)</f>
        <v>Attr50</v>
      </c>
      <c r="B54" s="20" t="str">
        <f t="shared" si="3"/>
        <v xml:space="preserve"> </v>
      </c>
      <c r="C54" s="20" t="str">
        <f t="shared" si="17"/>
        <v xml:space="preserve"> </v>
      </c>
      <c r="D54" s="20" t="str">
        <f t="shared" si="18"/>
        <v xml:space="preserve"> </v>
      </c>
      <c r="E54" s="20" t="str">
        <f t="shared" si="19"/>
        <v xml:space="preserve"> </v>
      </c>
      <c r="F54" s="20" t="str">
        <f t="shared" si="20"/>
        <v xml:space="preserve"> </v>
      </c>
      <c r="G54" s="20" t="str">
        <f t="shared" si="21"/>
        <v xml:space="preserve"> </v>
      </c>
      <c r="H54" s="20" t="str">
        <f t="shared" si="22"/>
        <v xml:space="preserve"> </v>
      </c>
      <c r="I54" s="20" t="str">
        <f t="shared" si="23"/>
        <v xml:space="preserve"> </v>
      </c>
      <c r="J54" s="20" t="str">
        <f t="shared" si="24"/>
        <v xml:space="preserve"> </v>
      </c>
      <c r="K54" s="20" t="str">
        <f t="shared" si="6"/>
        <v xml:space="preserve"> </v>
      </c>
      <c r="L54" s="20" t="str">
        <f t="shared" si="7"/>
        <v xml:space="preserve"> </v>
      </c>
      <c r="M54" s="20" t="str">
        <f t="shared" si="8"/>
        <v xml:space="preserve"> </v>
      </c>
      <c r="N54" s="20" t="str">
        <f t="shared" si="9"/>
        <v xml:space="preserve"> </v>
      </c>
      <c r="O54" s="20" t="str">
        <f t="shared" si="10"/>
        <v xml:space="preserve"> </v>
      </c>
      <c r="P54" s="20" t="str">
        <f t="shared" si="11"/>
        <v xml:space="preserve"> </v>
      </c>
      <c r="Q54" s="20" t="str">
        <f t="shared" si="12"/>
        <v xml:space="preserve"> </v>
      </c>
      <c r="R54" s="20" t="str">
        <f t="shared" si="13"/>
        <v xml:space="preserve"> </v>
      </c>
      <c r="S54" s="20" t="str">
        <f t="shared" si="14"/>
        <v xml:space="preserve"> </v>
      </c>
      <c r="T54" s="20" t="str">
        <f t="shared" si="15"/>
        <v xml:space="preserve"> </v>
      </c>
      <c r="U54" s="20" t="str">
        <f t="shared" si="16"/>
        <v xml:space="preserve"> </v>
      </c>
      <c r="V54" s="35"/>
      <c r="W54" s="29" t="str">
        <f>IF(ISBLANK('Raw counts'!B$4),"",IF(ISBLANK('Raw counts'!B54),"",('Raw counts'!B54)/('Raw counts'!B$4)))</f>
        <v/>
      </c>
      <c r="X54" s="29" t="str">
        <f>IF(ISBLANK('Raw counts'!C$4),"",IF(ISBLANK('Raw counts'!C54),"",('Raw counts'!C54)/('Raw counts'!C$4)))</f>
        <v/>
      </c>
      <c r="Y54" s="29" t="str">
        <f>IF(ISBLANK('Raw counts'!D$4),"",IF(ISBLANK('Raw counts'!D54),"",('Raw counts'!D54)/('Raw counts'!D$4)))</f>
        <v/>
      </c>
      <c r="Z54" s="29" t="str">
        <f>IF(ISBLANK('Raw counts'!E$4),"",IF(ISBLANK('Raw counts'!E54),"",('Raw counts'!E54)/('Raw counts'!E$4)))</f>
        <v/>
      </c>
      <c r="AA54" s="29" t="str">
        <f>IF(ISBLANK('Raw counts'!F$4),"",IF(ISBLANK('Raw counts'!F54),"",('Raw counts'!F54)/('Raw counts'!F$4)))</f>
        <v/>
      </c>
      <c r="AB54" s="29" t="str">
        <f>IF(ISBLANK('Raw counts'!G$4),"",IF(ISBLANK('Raw counts'!G54),"",('Raw counts'!G54)/('Raw counts'!G$4)))</f>
        <v/>
      </c>
      <c r="AC54" s="29" t="str">
        <f>IF(ISBLANK('Raw counts'!H$4),"",IF(ISBLANK('Raw counts'!H54),"",('Raw counts'!H54)/('Raw counts'!H$4)))</f>
        <v/>
      </c>
      <c r="AD54" s="29" t="str">
        <f>IF(ISBLANK('Raw counts'!I$4),"",IF(ISBLANK('Raw counts'!I54),"",('Raw counts'!I54)/('Raw counts'!I$4)))</f>
        <v/>
      </c>
      <c r="AE54" s="29" t="str">
        <f>IF(ISBLANK('Raw counts'!J$4),"",IF(ISBLANK('Raw counts'!J54),"",('Raw counts'!J54)/('Raw counts'!J$4)))</f>
        <v/>
      </c>
      <c r="AF54" s="29" t="str">
        <f>IF(ISBLANK('Raw counts'!K$4),"",IF(ISBLANK('Raw counts'!K54),"",('Raw counts'!K54)/('Raw counts'!K$4)))</f>
        <v/>
      </c>
      <c r="AG54" s="29" t="str">
        <f>IF(ISBLANK('Raw counts'!L$4),"",IF(ISBLANK('Raw counts'!L54),"",('Raw counts'!L54)/('Raw counts'!L$4)))</f>
        <v/>
      </c>
      <c r="AH54" s="29" t="str">
        <f>IF(ISBLANK('Raw counts'!M$4),"",IF(ISBLANK('Raw counts'!M54),"",('Raw counts'!M54)/('Raw counts'!M$4)))</f>
        <v/>
      </c>
      <c r="AI54" s="29" t="str">
        <f>IF(ISBLANK('Raw counts'!N$4),"",IF(ISBLANK('Raw counts'!N54),"",('Raw counts'!N54)/('Raw counts'!N$4)))</f>
        <v/>
      </c>
      <c r="AJ54" s="29" t="str">
        <f>IF(ISBLANK('Raw counts'!O$4),"",IF(ISBLANK('Raw counts'!O54),"",('Raw counts'!O54)/('Raw counts'!O$4)))</f>
        <v/>
      </c>
      <c r="AK54" s="29" t="str">
        <f>IF(ISBLANK('Raw counts'!P$4),"",IF(ISBLANK('Raw counts'!P54),"",('Raw counts'!P54)/('Raw counts'!P$4)))</f>
        <v/>
      </c>
      <c r="AL54" s="29" t="str">
        <f>IF(ISBLANK('Raw counts'!Q$4),"",IF(ISBLANK('Raw counts'!Q54),"",('Raw counts'!Q54)/('Raw counts'!Q$4)))</f>
        <v/>
      </c>
      <c r="AM54" s="29" t="str">
        <f>IF(ISBLANK('Raw counts'!R$4),"",IF(ISBLANK('Raw counts'!R54),"",('Raw counts'!R54)/('Raw counts'!R$4)))</f>
        <v/>
      </c>
      <c r="AN54" s="29" t="str">
        <f>IF(ISBLANK('Raw counts'!S$4),"",IF(ISBLANK('Raw counts'!S54),"",('Raw counts'!S54)/('Raw counts'!S$4)))</f>
        <v/>
      </c>
      <c r="AO54" s="29" t="str">
        <f>IF(ISBLANK('Raw counts'!T$4),"",IF(ISBLANK('Raw counts'!T54),"",('Raw counts'!T54)/('Raw counts'!T$4)))</f>
        <v/>
      </c>
      <c r="AP54" s="29" t="str">
        <f>IF(ISBLANK('Raw counts'!U$4),"",IF(ISBLANK('Raw counts'!U54),"",('Raw counts'!U54)/('Raw counts'!U$4)))</f>
        <v/>
      </c>
      <c r="AQ54" s="32" t="str">
        <f t="shared" si="4"/>
        <v/>
      </c>
      <c r="AR54" s="32" t="str">
        <f t="shared" si="5"/>
        <v/>
      </c>
    </row>
    <row r="55" spans="1:44" x14ac:dyDescent="0.15">
      <c r="A55" s="18" t="str">
        <f>IF(ISBLANK('Raw counts'!A55),"",'Raw counts'!A55)</f>
        <v>Attr51</v>
      </c>
      <c r="B55" s="20" t="str">
        <f t="shared" si="3"/>
        <v xml:space="preserve"> </v>
      </c>
      <c r="C55" s="20" t="str">
        <f t="shared" si="17"/>
        <v xml:space="preserve"> </v>
      </c>
      <c r="D55" s="20" t="str">
        <f t="shared" si="18"/>
        <v xml:space="preserve"> </v>
      </c>
      <c r="E55" s="20" t="str">
        <f t="shared" si="19"/>
        <v xml:space="preserve"> </v>
      </c>
      <c r="F55" s="20" t="str">
        <f t="shared" si="20"/>
        <v xml:space="preserve"> </v>
      </c>
      <c r="G55" s="20" t="str">
        <f t="shared" si="21"/>
        <v xml:space="preserve"> </v>
      </c>
      <c r="H55" s="20" t="str">
        <f t="shared" si="22"/>
        <v xml:space="preserve"> </v>
      </c>
      <c r="I55" s="20" t="str">
        <f t="shared" si="23"/>
        <v xml:space="preserve"> </v>
      </c>
      <c r="J55" s="20" t="str">
        <f t="shared" si="24"/>
        <v xml:space="preserve"> </v>
      </c>
      <c r="K55" s="20" t="str">
        <f t="shared" si="6"/>
        <v xml:space="preserve"> </v>
      </c>
      <c r="L55" s="20" t="str">
        <f t="shared" si="7"/>
        <v xml:space="preserve"> </v>
      </c>
      <c r="M55" s="20" t="str">
        <f t="shared" si="8"/>
        <v xml:space="preserve"> </v>
      </c>
      <c r="N55" s="20" t="str">
        <f t="shared" si="9"/>
        <v xml:space="preserve"> </v>
      </c>
      <c r="O55" s="20" t="str">
        <f t="shared" si="10"/>
        <v xml:space="preserve"> </v>
      </c>
      <c r="P55" s="20" t="str">
        <f t="shared" si="11"/>
        <v xml:space="preserve"> </v>
      </c>
      <c r="Q55" s="20" t="str">
        <f t="shared" si="12"/>
        <v xml:space="preserve"> </v>
      </c>
      <c r="R55" s="20" t="str">
        <f t="shared" si="13"/>
        <v xml:space="preserve"> </v>
      </c>
      <c r="S55" s="20" t="str">
        <f t="shared" si="14"/>
        <v xml:space="preserve"> </v>
      </c>
      <c r="T55" s="20" t="str">
        <f t="shared" si="15"/>
        <v xml:space="preserve"> </v>
      </c>
      <c r="U55" s="20" t="str">
        <f t="shared" si="16"/>
        <v xml:space="preserve"> </v>
      </c>
      <c r="V55" s="35"/>
      <c r="W55" s="29" t="str">
        <f>IF(ISBLANK('Raw counts'!B$4),"",IF(ISBLANK('Raw counts'!B55),"",('Raw counts'!B55)/('Raw counts'!B$4)))</f>
        <v/>
      </c>
      <c r="X55" s="29" t="str">
        <f>IF(ISBLANK('Raw counts'!C$4),"",IF(ISBLANK('Raw counts'!C55),"",('Raw counts'!C55)/('Raw counts'!C$4)))</f>
        <v/>
      </c>
      <c r="Y55" s="29" t="str">
        <f>IF(ISBLANK('Raw counts'!D$4),"",IF(ISBLANK('Raw counts'!D55),"",('Raw counts'!D55)/('Raw counts'!D$4)))</f>
        <v/>
      </c>
      <c r="Z55" s="29" t="str">
        <f>IF(ISBLANK('Raw counts'!E$4),"",IF(ISBLANK('Raw counts'!E55),"",('Raw counts'!E55)/('Raw counts'!E$4)))</f>
        <v/>
      </c>
      <c r="AA55" s="29" t="str">
        <f>IF(ISBLANK('Raw counts'!F$4),"",IF(ISBLANK('Raw counts'!F55),"",('Raw counts'!F55)/('Raw counts'!F$4)))</f>
        <v/>
      </c>
      <c r="AB55" s="29" t="str">
        <f>IF(ISBLANK('Raw counts'!G$4),"",IF(ISBLANK('Raw counts'!G55),"",('Raw counts'!G55)/('Raw counts'!G$4)))</f>
        <v/>
      </c>
      <c r="AC55" s="29" t="str">
        <f>IF(ISBLANK('Raw counts'!H$4),"",IF(ISBLANK('Raw counts'!H55),"",('Raw counts'!H55)/('Raw counts'!H$4)))</f>
        <v/>
      </c>
      <c r="AD55" s="29" t="str">
        <f>IF(ISBLANK('Raw counts'!I$4),"",IF(ISBLANK('Raw counts'!I55),"",('Raw counts'!I55)/('Raw counts'!I$4)))</f>
        <v/>
      </c>
      <c r="AE55" s="29" t="str">
        <f>IF(ISBLANK('Raw counts'!J$4),"",IF(ISBLANK('Raw counts'!J55),"",('Raw counts'!J55)/('Raw counts'!J$4)))</f>
        <v/>
      </c>
      <c r="AF55" s="29" t="str">
        <f>IF(ISBLANK('Raw counts'!K$4),"",IF(ISBLANK('Raw counts'!K55),"",('Raw counts'!K55)/('Raw counts'!K$4)))</f>
        <v/>
      </c>
      <c r="AG55" s="29" t="str">
        <f>IF(ISBLANK('Raw counts'!L$4),"",IF(ISBLANK('Raw counts'!L55),"",('Raw counts'!L55)/('Raw counts'!L$4)))</f>
        <v/>
      </c>
      <c r="AH55" s="29" t="str">
        <f>IF(ISBLANK('Raw counts'!M$4),"",IF(ISBLANK('Raw counts'!M55),"",('Raw counts'!M55)/('Raw counts'!M$4)))</f>
        <v/>
      </c>
      <c r="AI55" s="29" t="str">
        <f>IF(ISBLANK('Raw counts'!N$4),"",IF(ISBLANK('Raw counts'!N55),"",('Raw counts'!N55)/('Raw counts'!N$4)))</f>
        <v/>
      </c>
      <c r="AJ55" s="29" t="str">
        <f>IF(ISBLANK('Raw counts'!O$4),"",IF(ISBLANK('Raw counts'!O55),"",('Raw counts'!O55)/('Raw counts'!O$4)))</f>
        <v/>
      </c>
      <c r="AK55" s="29" t="str">
        <f>IF(ISBLANK('Raw counts'!P$4),"",IF(ISBLANK('Raw counts'!P55),"",('Raw counts'!P55)/('Raw counts'!P$4)))</f>
        <v/>
      </c>
      <c r="AL55" s="29" t="str">
        <f>IF(ISBLANK('Raw counts'!Q$4),"",IF(ISBLANK('Raw counts'!Q55),"",('Raw counts'!Q55)/('Raw counts'!Q$4)))</f>
        <v/>
      </c>
      <c r="AM55" s="29" t="str">
        <f>IF(ISBLANK('Raw counts'!R$4),"",IF(ISBLANK('Raw counts'!R55),"",('Raw counts'!R55)/('Raw counts'!R$4)))</f>
        <v/>
      </c>
      <c r="AN55" s="29" t="str">
        <f>IF(ISBLANK('Raw counts'!S$4),"",IF(ISBLANK('Raw counts'!S55),"",('Raw counts'!S55)/('Raw counts'!S$4)))</f>
        <v/>
      </c>
      <c r="AO55" s="29" t="str">
        <f>IF(ISBLANK('Raw counts'!T$4),"",IF(ISBLANK('Raw counts'!T55),"",('Raw counts'!T55)/('Raw counts'!T$4)))</f>
        <v/>
      </c>
      <c r="AP55" s="29" t="str">
        <f>IF(ISBLANK('Raw counts'!U$4),"",IF(ISBLANK('Raw counts'!U55),"",('Raw counts'!U55)/('Raw counts'!U$4)))</f>
        <v/>
      </c>
      <c r="AQ55" s="32" t="str">
        <f t="shared" si="4"/>
        <v/>
      </c>
      <c r="AR55" s="32" t="str">
        <f t="shared" si="5"/>
        <v/>
      </c>
    </row>
    <row r="56" spans="1:44" x14ac:dyDescent="0.15">
      <c r="A56" s="18" t="str">
        <f>IF(ISBLANK('Raw counts'!A56),"",'Raw counts'!A56)</f>
        <v>Attr52</v>
      </c>
      <c r="B56" s="20" t="str">
        <f t="shared" si="3"/>
        <v xml:space="preserve"> </v>
      </c>
      <c r="C56" s="20" t="str">
        <f t="shared" si="17"/>
        <v xml:space="preserve"> </v>
      </c>
      <c r="D56" s="20" t="str">
        <f t="shared" si="18"/>
        <v xml:space="preserve"> </v>
      </c>
      <c r="E56" s="20" t="str">
        <f t="shared" si="19"/>
        <v xml:space="preserve"> </v>
      </c>
      <c r="F56" s="20" t="str">
        <f t="shared" si="20"/>
        <v xml:space="preserve"> </v>
      </c>
      <c r="G56" s="20" t="str">
        <f t="shared" si="21"/>
        <v xml:space="preserve"> </v>
      </c>
      <c r="H56" s="20" t="str">
        <f t="shared" si="22"/>
        <v xml:space="preserve"> </v>
      </c>
      <c r="I56" s="20" t="str">
        <f t="shared" si="23"/>
        <v xml:space="preserve"> </v>
      </c>
      <c r="J56" s="20" t="str">
        <f t="shared" si="24"/>
        <v xml:space="preserve"> </v>
      </c>
      <c r="K56" s="20" t="str">
        <f t="shared" si="6"/>
        <v xml:space="preserve"> </v>
      </c>
      <c r="L56" s="20" t="str">
        <f t="shared" si="7"/>
        <v xml:space="preserve"> </v>
      </c>
      <c r="M56" s="20" t="str">
        <f t="shared" si="8"/>
        <v xml:space="preserve"> </v>
      </c>
      <c r="N56" s="20" t="str">
        <f t="shared" si="9"/>
        <v xml:space="preserve"> </v>
      </c>
      <c r="O56" s="20" t="str">
        <f t="shared" si="10"/>
        <v xml:space="preserve"> </v>
      </c>
      <c r="P56" s="20" t="str">
        <f t="shared" si="11"/>
        <v xml:space="preserve"> </v>
      </c>
      <c r="Q56" s="20" t="str">
        <f t="shared" si="12"/>
        <v xml:space="preserve"> </v>
      </c>
      <c r="R56" s="20" t="str">
        <f t="shared" si="13"/>
        <v xml:space="preserve"> </v>
      </c>
      <c r="S56" s="20" t="str">
        <f t="shared" si="14"/>
        <v xml:space="preserve"> </v>
      </c>
      <c r="T56" s="20" t="str">
        <f t="shared" si="15"/>
        <v xml:space="preserve"> </v>
      </c>
      <c r="U56" s="20" t="str">
        <f t="shared" si="16"/>
        <v xml:space="preserve"> </v>
      </c>
      <c r="V56" s="35"/>
      <c r="W56" s="29" t="str">
        <f>IF(ISBLANK('Raw counts'!B$4),"",IF(ISBLANK('Raw counts'!B56),"",('Raw counts'!B56)/('Raw counts'!B$4)))</f>
        <v/>
      </c>
      <c r="X56" s="29" t="str">
        <f>IF(ISBLANK('Raw counts'!C$4),"",IF(ISBLANK('Raw counts'!C56),"",('Raw counts'!C56)/('Raw counts'!C$4)))</f>
        <v/>
      </c>
      <c r="Y56" s="29" t="str">
        <f>IF(ISBLANK('Raw counts'!D$4),"",IF(ISBLANK('Raw counts'!D56),"",('Raw counts'!D56)/('Raw counts'!D$4)))</f>
        <v/>
      </c>
      <c r="Z56" s="29" t="str">
        <f>IF(ISBLANK('Raw counts'!E$4),"",IF(ISBLANK('Raw counts'!E56),"",('Raw counts'!E56)/('Raw counts'!E$4)))</f>
        <v/>
      </c>
      <c r="AA56" s="29" t="str">
        <f>IF(ISBLANK('Raw counts'!F$4),"",IF(ISBLANK('Raw counts'!F56),"",('Raw counts'!F56)/('Raw counts'!F$4)))</f>
        <v/>
      </c>
      <c r="AB56" s="29" t="str">
        <f>IF(ISBLANK('Raw counts'!G$4),"",IF(ISBLANK('Raw counts'!G56),"",('Raw counts'!G56)/('Raw counts'!G$4)))</f>
        <v/>
      </c>
      <c r="AC56" s="29" t="str">
        <f>IF(ISBLANK('Raw counts'!H$4),"",IF(ISBLANK('Raw counts'!H56),"",('Raw counts'!H56)/('Raw counts'!H$4)))</f>
        <v/>
      </c>
      <c r="AD56" s="29" t="str">
        <f>IF(ISBLANK('Raw counts'!I$4),"",IF(ISBLANK('Raw counts'!I56),"",('Raw counts'!I56)/('Raw counts'!I$4)))</f>
        <v/>
      </c>
      <c r="AE56" s="29" t="str">
        <f>IF(ISBLANK('Raw counts'!J$4),"",IF(ISBLANK('Raw counts'!J56),"",('Raw counts'!J56)/('Raw counts'!J$4)))</f>
        <v/>
      </c>
      <c r="AF56" s="29" t="str">
        <f>IF(ISBLANK('Raw counts'!K$4),"",IF(ISBLANK('Raw counts'!K56),"",('Raw counts'!K56)/('Raw counts'!K$4)))</f>
        <v/>
      </c>
      <c r="AG56" s="29" t="str">
        <f>IF(ISBLANK('Raw counts'!L$4),"",IF(ISBLANK('Raw counts'!L56),"",('Raw counts'!L56)/('Raw counts'!L$4)))</f>
        <v/>
      </c>
      <c r="AH56" s="29" t="str">
        <f>IF(ISBLANK('Raw counts'!M$4),"",IF(ISBLANK('Raw counts'!M56),"",('Raw counts'!M56)/('Raw counts'!M$4)))</f>
        <v/>
      </c>
      <c r="AI56" s="29" t="str">
        <f>IF(ISBLANK('Raw counts'!N$4),"",IF(ISBLANK('Raw counts'!N56),"",('Raw counts'!N56)/('Raw counts'!N$4)))</f>
        <v/>
      </c>
      <c r="AJ56" s="29" t="str">
        <f>IF(ISBLANK('Raw counts'!O$4),"",IF(ISBLANK('Raw counts'!O56),"",('Raw counts'!O56)/('Raw counts'!O$4)))</f>
        <v/>
      </c>
      <c r="AK56" s="29" t="str">
        <f>IF(ISBLANK('Raw counts'!P$4),"",IF(ISBLANK('Raw counts'!P56),"",('Raw counts'!P56)/('Raw counts'!P$4)))</f>
        <v/>
      </c>
      <c r="AL56" s="29" t="str">
        <f>IF(ISBLANK('Raw counts'!Q$4),"",IF(ISBLANK('Raw counts'!Q56),"",('Raw counts'!Q56)/('Raw counts'!Q$4)))</f>
        <v/>
      </c>
      <c r="AM56" s="29" t="str">
        <f>IF(ISBLANK('Raw counts'!R$4),"",IF(ISBLANK('Raw counts'!R56),"",('Raw counts'!R56)/('Raw counts'!R$4)))</f>
        <v/>
      </c>
      <c r="AN56" s="29" t="str">
        <f>IF(ISBLANK('Raw counts'!S$4),"",IF(ISBLANK('Raw counts'!S56),"",('Raw counts'!S56)/('Raw counts'!S$4)))</f>
        <v/>
      </c>
      <c r="AO56" s="29" t="str">
        <f>IF(ISBLANK('Raw counts'!T$4),"",IF(ISBLANK('Raw counts'!T56),"",('Raw counts'!T56)/('Raw counts'!T$4)))</f>
        <v/>
      </c>
      <c r="AP56" s="29" t="str">
        <f>IF(ISBLANK('Raw counts'!U$4),"",IF(ISBLANK('Raw counts'!U56),"",('Raw counts'!U56)/('Raw counts'!U$4)))</f>
        <v/>
      </c>
      <c r="AQ56" s="32" t="str">
        <f t="shared" si="4"/>
        <v/>
      </c>
      <c r="AR56" s="32" t="str">
        <f t="shared" si="5"/>
        <v/>
      </c>
    </row>
    <row r="57" spans="1:44" x14ac:dyDescent="0.15">
      <c r="A57" s="18" t="str">
        <f>IF(ISBLANK('Raw counts'!A57),"",'Raw counts'!A57)</f>
        <v>Attr53</v>
      </c>
      <c r="B57" s="20" t="str">
        <f t="shared" si="3"/>
        <v xml:space="preserve"> </v>
      </c>
      <c r="C57" s="20" t="str">
        <f t="shared" si="17"/>
        <v xml:space="preserve"> </v>
      </c>
      <c r="D57" s="20" t="str">
        <f t="shared" si="18"/>
        <v xml:space="preserve"> </v>
      </c>
      <c r="E57" s="20" t="str">
        <f t="shared" si="19"/>
        <v xml:space="preserve"> </v>
      </c>
      <c r="F57" s="20" t="str">
        <f t="shared" si="20"/>
        <v xml:space="preserve"> </v>
      </c>
      <c r="G57" s="20" t="str">
        <f t="shared" si="21"/>
        <v xml:space="preserve"> </v>
      </c>
      <c r="H57" s="20" t="str">
        <f t="shared" si="22"/>
        <v xml:space="preserve"> </v>
      </c>
      <c r="I57" s="20" t="str">
        <f t="shared" si="23"/>
        <v xml:space="preserve"> </v>
      </c>
      <c r="J57" s="20" t="str">
        <f t="shared" si="24"/>
        <v xml:space="preserve"> </v>
      </c>
      <c r="K57" s="20" t="str">
        <f t="shared" si="6"/>
        <v xml:space="preserve"> </v>
      </c>
      <c r="L57" s="20" t="str">
        <f t="shared" si="7"/>
        <v xml:space="preserve"> </v>
      </c>
      <c r="M57" s="20" t="str">
        <f t="shared" si="8"/>
        <v xml:space="preserve"> </v>
      </c>
      <c r="N57" s="20" t="str">
        <f t="shared" si="9"/>
        <v xml:space="preserve"> </v>
      </c>
      <c r="O57" s="20" t="str">
        <f t="shared" si="10"/>
        <v xml:space="preserve"> </v>
      </c>
      <c r="P57" s="20" t="str">
        <f t="shared" si="11"/>
        <v xml:space="preserve"> </v>
      </c>
      <c r="Q57" s="20" t="str">
        <f t="shared" si="12"/>
        <v xml:space="preserve"> </v>
      </c>
      <c r="R57" s="20" t="str">
        <f t="shared" si="13"/>
        <v xml:space="preserve"> </v>
      </c>
      <c r="S57" s="20" t="str">
        <f t="shared" si="14"/>
        <v xml:space="preserve"> </v>
      </c>
      <c r="T57" s="20" t="str">
        <f t="shared" si="15"/>
        <v xml:space="preserve"> </v>
      </c>
      <c r="U57" s="20" t="str">
        <f t="shared" si="16"/>
        <v xml:space="preserve"> </v>
      </c>
      <c r="V57" s="35"/>
      <c r="W57" s="29" t="str">
        <f>IF(ISBLANK('Raw counts'!B$4),"",IF(ISBLANK('Raw counts'!B57),"",('Raw counts'!B57)/('Raw counts'!B$4)))</f>
        <v/>
      </c>
      <c r="X57" s="29" t="str">
        <f>IF(ISBLANK('Raw counts'!C$4),"",IF(ISBLANK('Raw counts'!C57),"",('Raw counts'!C57)/('Raw counts'!C$4)))</f>
        <v/>
      </c>
      <c r="Y57" s="29" t="str">
        <f>IF(ISBLANK('Raw counts'!D$4),"",IF(ISBLANK('Raw counts'!D57),"",('Raw counts'!D57)/('Raw counts'!D$4)))</f>
        <v/>
      </c>
      <c r="Z57" s="29" t="str">
        <f>IF(ISBLANK('Raw counts'!E$4),"",IF(ISBLANK('Raw counts'!E57),"",('Raw counts'!E57)/('Raw counts'!E$4)))</f>
        <v/>
      </c>
      <c r="AA57" s="29" t="str">
        <f>IF(ISBLANK('Raw counts'!F$4),"",IF(ISBLANK('Raw counts'!F57),"",('Raw counts'!F57)/('Raw counts'!F$4)))</f>
        <v/>
      </c>
      <c r="AB57" s="29" t="str">
        <f>IF(ISBLANK('Raw counts'!G$4),"",IF(ISBLANK('Raw counts'!G57),"",('Raw counts'!G57)/('Raw counts'!G$4)))</f>
        <v/>
      </c>
      <c r="AC57" s="29" t="str">
        <f>IF(ISBLANK('Raw counts'!H$4),"",IF(ISBLANK('Raw counts'!H57),"",('Raw counts'!H57)/('Raw counts'!H$4)))</f>
        <v/>
      </c>
      <c r="AD57" s="29" t="str">
        <f>IF(ISBLANK('Raw counts'!I$4),"",IF(ISBLANK('Raw counts'!I57),"",('Raw counts'!I57)/('Raw counts'!I$4)))</f>
        <v/>
      </c>
      <c r="AE57" s="29" t="str">
        <f>IF(ISBLANK('Raw counts'!J$4),"",IF(ISBLANK('Raw counts'!J57),"",('Raw counts'!J57)/('Raw counts'!J$4)))</f>
        <v/>
      </c>
      <c r="AF57" s="29" t="str">
        <f>IF(ISBLANK('Raw counts'!K$4),"",IF(ISBLANK('Raw counts'!K57),"",('Raw counts'!K57)/('Raw counts'!K$4)))</f>
        <v/>
      </c>
      <c r="AG57" s="29" t="str">
        <f>IF(ISBLANK('Raw counts'!L$4),"",IF(ISBLANK('Raw counts'!L57),"",('Raw counts'!L57)/('Raw counts'!L$4)))</f>
        <v/>
      </c>
      <c r="AH57" s="29" t="str">
        <f>IF(ISBLANK('Raw counts'!M$4),"",IF(ISBLANK('Raw counts'!M57),"",('Raw counts'!M57)/('Raw counts'!M$4)))</f>
        <v/>
      </c>
      <c r="AI57" s="29" t="str">
        <f>IF(ISBLANK('Raw counts'!N$4),"",IF(ISBLANK('Raw counts'!N57),"",('Raw counts'!N57)/('Raw counts'!N$4)))</f>
        <v/>
      </c>
      <c r="AJ57" s="29" t="str">
        <f>IF(ISBLANK('Raw counts'!O$4),"",IF(ISBLANK('Raw counts'!O57),"",('Raw counts'!O57)/('Raw counts'!O$4)))</f>
        <v/>
      </c>
      <c r="AK57" s="29" t="str">
        <f>IF(ISBLANK('Raw counts'!P$4),"",IF(ISBLANK('Raw counts'!P57),"",('Raw counts'!P57)/('Raw counts'!P$4)))</f>
        <v/>
      </c>
      <c r="AL57" s="29" t="str">
        <f>IF(ISBLANK('Raw counts'!Q$4),"",IF(ISBLANK('Raw counts'!Q57),"",('Raw counts'!Q57)/('Raw counts'!Q$4)))</f>
        <v/>
      </c>
      <c r="AM57" s="29" t="str">
        <f>IF(ISBLANK('Raw counts'!R$4),"",IF(ISBLANK('Raw counts'!R57),"",('Raw counts'!R57)/('Raw counts'!R$4)))</f>
        <v/>
      </c>
      <c r="AN57" s="29" t="str">
        <f>IF(ISBLANK('Raw counts'!S$4),"",IF(ISBLANK('Raw counts'!S57),"",('Raw counts'!S57)/('Raw counts'!S$4)))</f>
        <v/>
      </c>
      <c r="AO57" s="29" t="str">
        <f>IF(ISBLANK('Raw counts'!T$4),"",IF(ISBLANK('Raw counts'!T57),"",('Raw counts'!T57)/('Raw counts'!T$4)))</f>
        <v/>
      </c>
      <c r="AP57" s="29" t="str">
        <f>IF(ISBLANK('Raw counts'!U$4),"",IF(ISBLANK('Raw counts'!U57),"",('Raw counts'!U57)/('Raw counts'!U$4)))</f>
        <v/>
      </c>
      <c r="AQ57" s="32" t="str">
        <f t="shared" si="4"/>
        <v/>
      </c>
      <c r="AR57" s="32" t="str">
        <f t="shared" si="5"/>
        <v/>
      </c>
    </row>
    <row r="58" spans="1:44" x14ac:dyDescent="0.15">
      <c r="A58" s="18" t="str">
        <f>IF(ISBLANK('Raw counts'!A58),"",'Raw counts'!A58)</f>
        <v>Attr54</v>
      </c>
      <c r="B58" s="20" t="str">
        <f t="shared" si="3"/>
        <v xml:space="preserve"> </v>
      </c>
      <c r="C58" s="20" t="str">
        <f t="shared" si="17"/>
        <v xml:space="preserve"> </v>
      </c>
      <c r="D58" s="20" t="str">
        <f t="shared" si="18"/>
        <v xml:space="preserve"> </v>
      </c>
      <c r="E58" s="20" t="str">
        <f t="shared" si="19"/>
        <v xml:space="preserve"> </v>
      </c>
      <c r="F58" s="20" t="str">
        <f t="shared" si="20"/>
        <v xml:space="preserve"> </v>
      </c>
      <c r="G58" s="20" t="str">
        <f t="shared" si="21"/>
        <v xml:space="preserve"> </v>
      </c>
      <c r="H58" s="20" t="str">
        <f t="shared" si="22"/>
        <v xml:space="preserve"> </v>
      </c>
      <c r="I58" s="20" t="str">
        <f t="shared" si="23"/>
        <v xml:space="preserve"> </v>
      </c>
      <c r="J58" s="20" t="str">
        <f t="shared" si="24"/>
        <v xml:space="preserve"> </v>
      </c>
      <c r="K58" s="20" t="str">
        <f t="shared" si="6"/>
        <v xml:space="preserve"> </v>
      </c>
      <c r="L58" s="20" t="str">
        <f t="shared" si="7"/>
        <v xml:space="preserve"> </v>
      </c>
      <c r="M58" s="20" t="str">
        <f t="shared" si="8"/>
        <v xml:space="preserve"> </v>
      </c>
      <c r="N58" s="20" t="str">
        <f t="shared" si="9"/>
        <v xml:space="preserve"> </v>
      </c>
      <c r="O58" s="20" t="str">
        <f t="shared" si="10"/>
        <v xml:space="preserve"> </v>
      </c>
      <c r="P58" s="20" t="str">
        <f t="shared" si="11"/>
        <v xml:space="preserve"> </v>
      </c>
      <c r="Q58" s="20" t="str">
        <f t="shared" si="12"/>
        <v xml:space="preserve"> </v>
      </c>
      <c r="R58" s="20" t="str">
        <f t="shared" si="13"/>
        <v xml:space="preserve"> </v>
      </c>
      <c r="S58" s="20" t="str">
        <f t="shared" si="14"/>
        <v xml:space="preserve"> </v>
      </c>
      <c r="T58" s="20" t="str">
        <f t="shared" si="15"/>
        <v xml:space="preserve"> </v>
      </c>
      <c r="U58" s="20" t="str">
        <f t="shared" si="16"/>
        <v xml:space="preserve"> </v>
      </c>
      <c r="V58" s="35"/>
      <c r="W58" s="29" t="str">
        <f>IF(ISBLANK('Raw counts'!B$4),"",IF(ISBLANK('Raw counts'!B58),"",('Raw counts'!B58)/('Raw counts'!B$4)))</f>
        <v/>
      </c>
      <c r="X58" s="29" t="str">
        <f>IF(ISBLANK('Raw counts'!C$4),"",IF(ISBLANK('Raw counts'!C58),"",('Raw counts'!C58)/('Raw counts'!C$4)))</f>
        <v/>
      </c>
      <c r="Y58" s="29" t="str">
        <f>IF(ISBLANK('Raw counts'!D$4),"",IF(ISBLANK('Raw counts'!D58),"",('Raw counts'!D58)/('Raw counts'!D$4)))</f>
        <v/>
      </c>
      <c r="Z58" s="29" t="str">
        <f>IF(ISBLANK('Raw counts'!E$4),"",IF(ISBLANK('Raw counts'!E58),"",('Raw counts'!E58)/('Raw counts'!E$4)))</f>
        <v/>
      </c>
      <c r="AA58" s="29" t="str">
        <f>IF(ISBLANK('Raw counts'!F$4),"",IF(ISBLANK('Raw counts'!F58),"",('Raw counts'!F58)/('Raw counts'!F$4)))</f>
        <v/>
      </c>
      <c r="AB58" s="29" t="str">
        <f>IF(ISBLANK('Raw counts'!G$4),"",IF(ISBLANK('Raw counts'!G58),"",('Raw counts'!G58)/('Raw counts'!G$4)))</f>
        <v/>
      </c>
      <c r="AC58" s="29" t="str">
        <f>IF(ISBLANK('Raw counts'!H$4),"",IF(ISBLANK('Raw counts'!H58),"",('Raw counts'!H58)/('Raw counts'!H$4)))</f>
        <v/>
      </c>
      <c r="AD58" s="29" t="str">
        <f>IF(ISBLANK('Raw counts'!I$4),"",IF(ISBLANK('Raw counts'!I58),"",('Raw counts'!I58)/('Raw counts'!I$4)))</f>
        <v/>
      </c>
      <c r="AE58" s="29" t="str">
        <f>IF(ISBLANK('Raw counts'!J$4),"",IF(ISBLANK('Raw counts'!J58),"",('Raw counts'!J58)/('Raw counts'!J$4)))</f>
        <v/>
      </c>
      <c r="AF58" s="29" t="str">
        <f>IF(ISBLANK('Raw counts'!K$4),"",IF(ISBLANK('Raw counts'!K58),"",('Raw counts'!K58)/('Raw counts'!K$4)))</f>
        <v/>
      </c>
      <c r="AG58" s="29" t="str">
        <f>IF(ISBLANK('Raw counts'!L$4),"",IF(ISBLANK('Raw counts'!L58),"",('Raw counts'!L58)/('Raw counts'!L$4)))</f>
        <v/>
      </c>
      <c r="AH58" s="29" t="str">
        <f>IF(ISBLANK('Raw counts'!M$4),"",IF(ISBLANK('Raw counts'!M58),"",('Raw counts'!M58)/('Raw counts'!M$4)))</f>
        <v/>
      </c>
      <c r="AI58" s="29" t="str">
        <f>IF(ISBLANK('Raw counts'!N$4),"",IF(ISBLANK('Raw counts'!N58),"",('Raw counts'!N58)/('Raw counts'!N$4)))</f>
        <v/>
      </c>
      <c r="AJ58" s="29" t="str">
        <f>IF(ISBLANK('Raw counts'!O$4),"",IF(ISBLANK('Raw counts'!O58),"",('Raw counts'!O58)/('Raw counts'!O$4)))</f>
        <v/>
      </c>
      <c r="AK58" s="29" t="str">
        <f>IF(ISBLANK('Raw counts'!P$4),"",IF(ISBLANK('Raw counts'!P58),"",('Raw counts'!P58)/('Raw counts'!P$4)))</f>
        <v/>
      </c>
      <c r="AL58" s="29" t="str">
        <f>IF(ISBLANK('Raw counts'!Q$4),"",IF(ISBLANK('Raw counts'!Q58),"",('Raw counts'!Q58)/('Raw counts'!Q$4)))</f>
        <v/>
      </c>
      <c r="AM58" s="29" t="str">
        <f>IF(ISBLANK('Raw counts'!R$4),"",IF(ISBLANK('Raw counts'!R58),"",('Raw counts'!R58)/('Raw counts'!R$4)))</f>
        <v/>
      </c>
      <c r="AN58" s="29" t="str">
        <f>IF(ISBLANK('Raw counts'!S$4),"",IF(ISBLANK('Raw counts'!S58),"",('Raw counts'!S58)/('Raw counts'!S$4)))</f>
        <v/>
      </c>
      <c r="AO58" s="29" t="str">
        <f>IF(ISBLANK('Raw counts'!T$4),"",IF(ISBLANK('Raw counts'!T58),"",('Raw counts'!T58)/('Raw counts'!T$4)))</f>
        <v/>
      </c>
      <c r="AP58" s="29" t="str">
        <f>IF(ISBLANK('Raw counts'!U$4),"",IF(ISBLANK('Raw counts'!U58),"",('Raw counts'!U58)/('Raw counts'!U$4)))</f>
        <v/>
      </c>
      <c r="AQ58" s="32" t="str">
        <f t="shared" si="4"/>
        <v/>
      </c>
      <c r="AR58" s="32" t="str">
        <f t="shared" si="5"/>
        <v/>
      </c>
    </row>
    <row r="59" spans="1:44" x14ac:dyDescent="0.15">
      <c r="A59" s="18" t="str">
        <f>IF(ISBLANK('Raw counts'!A59),"",'Raw counts'!A59)</f>
        <v>Attr55</v>
      </c>
      <c r="B59" s="20" t="str">
        <f t="shared" si="3"/>
        <v xml:space="preserve"> </v>
      </c>
      <c r="C59" s="20" t="str">
        <f t="shared" si="17"/>
        <v xml:space="preserve"> </v>
      </c>
      <c r="D59" s="20" t="str">
        <f t="shared" si="18"/>
        <v xml:space="preserve"> </v>
      </c>
      <c r="E59" s="20" t="str">
        <f t="shared" si="19"/>
        <v xml:space="preserve"> </v>
      </c>
      <c r="F59" s="20" t="str">
        <f t="shared" si="20"/>
        <v xml:space="preserve"> </v>
      </c>
      <c r="G59" s="20" t="str">
        <f t="shared" si="21"/>
        <v xml:space="preserve"> </v>
      </c>
      <c r="H59" s="20" t="str">
        <f t="shared" si="22"/>
        <v xml:space="preserve"> </v>
      </c>
      <c r="I59" s="20" t="str">
        <f t="shared" si="23"/>
        <v xml:space="preserve"> </v>
      </c>
      <c r="J59" s="20" t="str">
        <f t="shared" si="24"/>
        <v xml:space="preserve"> </v>
      </c>
      <c r="K59" s="20" t="str">
        <f t="shared" si="6"/>
        <v xml:space="preserve"> </v>
      </c>
      <c r="L59" s="20" t="str">
        <f t="shared" si="7"/>
        <v xml:space="preserve"> </v>
      </c>
      <c r="M59" s="20" t="str">
        <f t="shared" si="8"/>
        <v xml:space="preserve"> </v>
      </c>
      <c r="N59" s="20" t="str">
        <f t="shared" si="9"/>
        <v xml:space="preserve"> </v>
      </c>
      <c r="O59" s="20" t="str">
        <f t="shared" si="10"/>
        <v xml:space="preserve"> </v>
      </c>
      <c r="P59" s="20" t="str">
        <f t="shared" si="11"/>
        <v xml:space="preserve"> </v>
      </c>
      <c r="Q59" s="20" t="str">
        <f t="shared" si="12"/>
        <v xml:space="preserve"> </v>
      </c>
      <c r="R59" s="20" t="str">
        <f t="shared" si="13"/>
        <v xml:space="preserve"> </v>
      </c>
      <c r="S59" s="20" t="str">
        <f t="shared" si="14"/>
        <v xml:space="preserve"> </v>
      </c>
      <c r="T59" s="20" t="str">
        <f t="shared" si="15"/>
        <v xml:space="preserve"> </v>
      </c>
      <c r="U59" s="20" t="str">
        <f t="shared" si="16"/>
        <v xml:space="preserve"> </v>
      </c>
      <c r="V59" s="35"/>
      <c r="W59" s="29" t="str">
        <f>IF(ISBLANK('Raw counts'!B$4),"",IF(ISBLANK('Raw counts'!B59),"",('Raw counts'!B59)/('Raw counts'!B$4)))</f>
        <v/>
      </c>
      <c r="X59" s="29" t="str">
        <f>IF(ISBLANK('Raw counts'!C$4),"",IF(ISBLANK('Raw counts'!C59),"",('Raw counts'!C59)/('Raw counts'!C$4)))</f>
        <v/>
      </c>
      <c r="Y59" s="29" t="str">
        <f>IF(ISBLANK('Raw counts'!D$4),"",IF(ISBLANK('Raw counts'!D59),"",('Raw counts'!D59)/('Raw counts'!D$4)))</f>
        <v/>
      </c>
      <c r="Z59" s="29" t="str">
        <f>IF(ISBLANK('Raw counts'!E$4),"",IF(ISBLANK('Raw counts'!E59),"",('Raw counts'!E59)/('Raw counts'!E$4)))</f>
        <v/>
      </c>
      <c r="AA59" s="29" t="str">
        <f>IF(ISBLANK('Raw counts'!F$4),"",IF(ISBLANK('Raw counts'!F59),"",('Raw counts'!F59)/('Raw counts'!F$4)))</f>
        <v/>
      </c>
      <c r="AB59" s="29" t="str">
        <f>IF(ISBLANK('Raw counts'!G$4),"",IF(ISBLANK('Raw counts'!G59),"",('Raw counts'!G59)/('Raw counts'!G$4)))</f>
        <v/>
      </c>
      <c r="AC59" s="29" t="str">
        <f>IF(ISBLANK('Raw counts'!H$4),"",IF(ISBLANK('Raw counts'!H59),"",('Raw counts'!H59)/('Raw counts'!H$4)))</f>
        <v/>
      </c>
      <c r="AD59" s="29" t="str">
        <f>IF(ISBLANK('Raw counts'!I$4),"",IF(ISBLANK('Raw counts'!I59),"",('Raw counts'!I59)/('Raw counts'!I$4)))</f>
        <v/>
      </c>
      <c r="AE59" s="29" t="str">
        <f>IF(ISBLANK('Raw counts'!J$4),"",IF(ISBLANK('Raw counts'!J59),"",('Raw counts'!J59)/('Raw counts'!J$4)))</f>
        <v/>
      </c>
      <c r="AF59" s="29" t="str">
        <f>IF(ISBLANK('Raw counts'!K$4),"",IF(ISBLANK('Raw counts'!K59),"",('Raw counts'!K59)/('Raw counts'!K$4)))</f>
        <v/>
      </c>
      <c r="AG59" s="29" t="str">
        <f>IF(ISBLANK('Raw counts'!L$4),"",IF(ISBLANK('Raw counts'!L59),"",('Raw counts'!L59)/('Raw counts'!L$4)))</f>
        <v/>
      </c>
      <c r="AH59" s="29" t="str">
        <f>IF(ISBLANK('Raw counts'!M$4),"",IF(ISBLANK('Raw counts'!M59),"",('Raw counts'!M59)/('Raw counts'!M$4)))</f>
        <v/>
      </c>
      <c r="AI59" s="29" t="str">
        <f>IF(ISBLANK('Raw counts'!N$4),"",IF(ISBLANK('Raw counts'!N59),"",('Raw counts'!N59)/('Raw counts'!N$4)))</f>
        <v/>
      </c>
      <c r="AJ59" s="29" t="str">
        <f>IF(ISBLANK('Raw counts'!O$4),"",IF(ISBLANK('Raw counts'!O59),"",('Raw counts'!O59)/('Raw counts'!O$4)))</f>
        <v/>
      </c>
      <c r="AK59" s="29" t="str">
        <f>IF(ISBLANK('Raw counts'!P$4),"",IF(ISBLANK('Raw counts'!P59),"",('Raw counts'!P59)/('Raw counts'!P$4)))</f>
        <v/>
      </c>
      <c r="AL59" s="29" t="str">
        <f>IF(ISBLANK('Raw counts'!Q$4),"",IF(ISBLANK('Raw counts'!Q59),"",('Raw counts'!Q59)/('Raw counts'!Q$4)))</f>
        <v/>
      </c>
      <c r="AM59" s="29" t="str">
        <f>IF(ISBLANK('Raw counts'!R$4),"",IF(ISBLANK('Raw counts'!R59),"",('Raw counts'!R59)/('Raw counts'!R$4)))</f>
        <v/>
      </c>
      <c r="AN59" s="29" t="str">
        <f>IF(ISBLANK('Raw counts'!S$4),"",IF(ISBLANK('Raw counts'!S59),"",('Raw counts'!S59)/('Raw counts'!S$4)))</f>
        <v/>
      </c>
      <c r="AO59" s="29" t="str">
        <f>IF(ISBLANK('Raw counts'!T$4),"",IF(ISBLANK('Raw counts'!T59),"",('Raw counts'!T59)/('Raw counts'!T$4)))</f>
        <v/>
      </c>
      <c r="AP59" s="29" t="str">
        <f>IF(ISBLANK('Raw counts'!U$4),"",IF(ISBLANK('Raw counts'!U59),"",('Raw counts'!U59)/('Raw counts'!U$4)))</f>
        <v/>
      </c>
      <c r="AQ59" s="32" t="str">
        <f t="shared" si="4"/>
        <v/>
      </c>
      <c r="AR59" s="32" t="str">
        <f t="shared" si="5"/>
        <v/>
      </c>
    </row>
    <row r="60" spans="1:44" x14ac:dyDescent="0.15">
      <c r="A60" s="18" t="str">
        <f>IF(ISBLANK('Raw counts'!A60),"",'Raw counts'!A60)</f>
        <v>Attr56</v>
      </c>
      <c r="B60" s="20" t="str">
        <f t="shared" si="3"/>
        <v xml:space="preserve"> </v>
      </c>
      <c r="C60" s="20" t="str">
        <f t="shared" si="17"/>
        <v xml:space="preserve"> </v>
      </c>
      <c r="D60" s="20" t="str">
        <f t="shared" si="18"/>
        <v xml:space="preserve"> </v>
      </c>
      <c r="E60" s="20" t="str">
        <f t="shared" si="19"/>
        <v xml:space="preserve"> </v>
      </c>
      <c r="F60" s="20" t="str">
        <f t="shared" si="20"/>
        <v xml:space="preserve"> </v>
      </c>
      <c r="G60" s="20" t="str">
        <f t="shared" si="21"/>
        <v xml:space="preserve"> </v>
      </c>
      <c r="H60" s="20" t="str">
        <f t="shared" si="22"/>
        <v xml:space="preserve"> </v>
      </c>
      <c r="I60" s="20" t="str">
        <f t="shared" si="23"/>
        <v xml:space="preserve"> </v>
      </c>
      <c r="J60" s="20" t="str">
        <f t="shared" si="24"/>
        <v xml:space="preserve"> </v>
      </c>
      <c r="K60" s="20" t="str">
        <f t="shared" si="6"/>
        <v xml:space="preserve"> </v>
      </c>
      <c r="L60" s="20" t="str">
        <f t="shared" si="7"/>
        <v xml:space="preserve"> </v>
      </c>
      <c r="M60" s="20" t="str">
        <f t="shared" si="8"/>
        <v xml:space="preserve"> </v>
      </c>
      <c r="N60" s="20" t="str">
        <f t="shared" si="9"/>
        <v xml:space="preserve"> </v>
      </c>
      <c r="O60" s="20" t="str">
        <f t="shared" si="10"/>
        <v xml:space="preserve"> </v>
      </c>
      <c r="P60" s="20" t="str">
        <f t="shared" si="11"/>
        <v xml:space="preserve"> </v>
      </c>
      <c r="Q60" s="20" t="str">
        <f t="shared" si="12"/>
        <v xml:space="preserve"> </v>
      </c>
      <c r="R60" s="20" t="str">
        <f t="shared" si="13"/>
        <v xml:space="preserve"> </v>
      </c>
      <c r="S60" s="20" t="str">
        <f t="shared" si="14"/>
        <v xml:space="preserve"> </v>
      </c>
      <c r="T60" s="20" t="str">
        <f t="shared" si="15"/>
        <v xml:space="preserve"> </v>
      </c>
      <c r="U60" s="20" t="str">
        <f t="shared" si="16"/>
        <v xml:space="preserve"> </v>
      </c>
      <c r="V60" s="35"/>
      <c r="W60" s="29" t="str">
        <f>IF(ISBLANK('Raw counts'!B$4),"",IF(ISBLANK('Raw counts'!B60),"",('Raw counts'!B60)/('Raw counts'!B$4)))</f>
        <v/>
      </c>
      <c r="X60" s="29" t="str">
        <f>IF(ISBLANK('Raw counts'!C$4),"",IF(ISBLANK('Raw counts'!C60),"",('Raw counts'!C60)/('Raw counts'!C$4)))</f>
        <v/>
      </c>
      <c r="Y60" s="29" t="str">
        <f>IF(ISBLANK('Raw counts'!D$4),"",IF(ISBLANK('Raw counts'!D60),"",('Raw counts'!D60)/('Raw counts'!D$4)))</f>
        <v/>
      </c>
      <c r="Z60" s="29" t="str">
        <f>IF(ISBLANK('Raw counts'!E$4),"",IF(ISBLANK('Raw counts'!E60),"",('Raw counts'!E60)/('Raw counts'!E$4)))</f>
        <v/>
      </c>
      <c r="AA60" s="29" t="str">
        <f>IF(ISBLANK('Raw counts'!F$4),"",IF(ISBLANK('Raw counts'!F60),"",('Raw counts'!F60)/('Raw counts'!F$4)))</f>
        <v/>
      </c>
      <c r="AB60" s="29" t="str">
        <f>IF(ISBLANK('Raw counts'!G$4),"",IF(ISBLANK('Raw counts'!G60),"",('Raw counts'!G60)/('Raw counts'!G$4)))</f>
        <v/>
      </c>
      <c r="AC60" s="29" t="str">
        <f>IF(ISBLANK('Raw counts'!H$4),"",IF(ISBLANK('Raw counts'!H60),"",('Raw counts'!H60)/('Raw counts'!H$4)))</f>
        <v/>
      </c>
      <c r="AD60" s="29" t="str">
        <f>IF(ISBLANK('Raw counts'!I$4),"",IF(ISBLANK('Raw counts'!I60),"",('Raw counts'!I60)/('Raw counts'!I$4)))</f>
        <v/>
      </c>
      <c r="AE60" s="29" t="str">
        <f>IF(ISBLANK('Raw counts'!J$4),"",IF(ISBLANK('Raw counts'!J60),"",('Raw counts'!J60)/('Raw counts'!J$4)))</f>
        <v/>
      </c>
      <c r="AF60" s="29" t="str">
        <f>IF(ISBLANK('Raw counts'!K$4),"",IF(ISBLANK('Raw counts'!K60),"",('Raw counts'!K60)/('Raw counts'!K$4)))</f>
        <v/>
      </c>
      <c r="AG60" s="29" t="str">
        <f>IF(ISBLANK('Raw counts'!L$4),"",IF(ISBLANK('Raw counts'!L60),"",('Raw counts'!L60)/('Raw counts'!L$4)))</f>
        <v/>
      </c>
      <c r="AH60" s="29" t="str">
        <f>IF(ISBLANK('Raw counts'!M$4),"",IF(ISBLANK('Raw counts'!M60),"",('Raw counts'!M60)/('Raw counts'!M$4)))</f>
        <v/>
      </c>
      <c r="AI60" s="29" t="str">
        <f>IF(ISBLANK('Raw counts'!N$4),"",IF(ISBLANK('Raw counts'!N60),"",('Raw counts'!N60)/('Raw counts'!N$4)))</f>
        <v/>
      </c>
      <c r="AJ60" s="29" t="str">
        <f>IF(ISBLANK('Raw counts'!O$4),"",IF(ISBLANK('Raw counts'!O60),"",('Raw counts'!O60)/('Raw counts'!O$4)))</f>
        <v/>
      </c>
      <c r="AK60" s="29" t="str">
        <f>IF(ISBLANK('Raw counts'!P$4),"",IF(ISBLANK('Raw counts'!P60),"",('Raw counts'!P60)/('Raw counts'!P$4)))</f>
        <v/>
      </c>
      <c r="AL60" s="29" t="str">
        <f>IF(ISBLANK('Raw counts'!Q$4),"",IF(ISBLANK('Raw counts'!Q60),"",('Raw counts'!Q60)/('Raw counts'!Q$4)))</f>
        <v/>
      </c>
      <c r="AM60" s="29" t="str">
        <f>IF(ISBLANK('Raw counts'!R$4),"",IF(ISBLANK('Raw counts'!R60),"",('Raw counts'!R60)/('Raw counts'!R$4)))</f>
        <v/>
      </c>
      <c r="AN60" s="29" t="str">
        <f>IF(ISBLANK('Raw counts'!S$4),"",IF(ISBLANK('Raw counts'!S60),"",('Raw counts'!S60)/('Raw counts'!S$4)))</f>
        <v/>
      </c>
      <c r="AO60" s="29" t="str">
        <f>IF(ISBLANK('Raw counts'!T$4),"",IF(ISBLANK('Raw counts'!T60),"",('Raw counts'!T60)/('Raw counts'!T$4)))</f>
        <v/>
      </c>
      <c r="AP60" s="29" t="str">
        <f>IF(ISBLANK('Raw counts'!U$4),"",IF(ISBLANK('Raw counts'!U60),"",('Raw counts'!U60)/('Raw counts'!U$4)))</f>
        <v/>
      </c>
      <c r="AQ60" s="32" t="str">
        <f t="shared" si="4"/>
        <v/>
      </c>
      <c r="AR60" s="32" t="str">
        <f t="shared" si="5"/>
        <v/>
      </c>
    </row>
    <row r="61" spans="1:44" x14ac:dyDescent="0.15">
      <c r="A61" s="18" t="str">
        <f>IF(ISBLANK('Raw counts'!A61),"",'Raw counts'!A61)</f>
        <v>Attr57</v>
      </c>
      <c r="B61" s="20" t="str">
        <f t="shared" si="3"/>
        <v xml:space="preserve"> </v>
      </c>
      <c r="C61" s="20" t="str">
        <f t="shared" si="17"/>
        <v xml:space="preserve"> </v>
      </c>
      <c r="D61" s="20" t="str">
        <f t="shared" si="18"/>
        <v xml:space="preserve"> </v>
      </c>
      <c r="E61" s="20" t="str">
        <f t="shared" si="19"/>
        <v xml:space="preserve"> </v>
      </c>
      <c r="F61" s="20" t="str">
        <f t="shared" si="20"/>
        <v xml:space="preserve"> </v>
      </c>
      <c r="G61" s="20" t="str">
        <f t="shared" si="21"/>
        <v xml:space="preserve"> </v>
      </c>
      <c r="H61" s="20" t="str">
        <f t="shared" si="22"/>
        <v xml:space="preserve"> </v>
      </c>
      <c r="I61" s="20" t="str">
        <f t="shared" si="23"/>
        <v xml:space="preserve"> </v>
      </c>
      <c r="J61" s="20" t="str">
        <f t="shared" si="24"/>
        <v xml:space="preserve"> </v>
      </c>
      <c r="K61" s="20" t="str">
        <f t="shared" si="6"/>
        <v xml:space="preserve"> </v>
      </c>
      <c r="L61" s="20" t="str">
        <f t="shared" si="7"/>
        <v xml:space="preserve"> </v>
      </c>
      <c r="M61" s="20" t="str">
        <f t="shared" si="8"/>
        <v xml:space="preserve"> </v>
      </c>
      <c r="N61" s="20" t="str">
        <f t="shared" si="9"/>
        <v xml:space="preserve"> </v>
      </c>
      <c r="O61" s="20" t="str">
        <f t="shared" si="10"/>
        <v xml:space="preserve"> </v>
      </c>
      <c r="P61" s="20" t="str">
        <f t="shared" si="11"/>
        <v xml:space="preserve"> </v>
      </c>
      <c r="Q61" s="20" t="str">
        <f t="shared" si="12"/>
        <v xml:space="preserve"> </v>
      </c>
      <c r="R61" s="20" t="str">
        <f t="shared" si="13"/>
        <v xml:space="preserve"> </v>
      </c>
      <c r="S61" s="20" t="str">
        <f t="shared" si="14"/>
        <v xml:space="preserve"> </v>
      </c>
      <c r="T61" s="20" t="str">
        <f t="shared" si="15"/>
        <v xml:space="preserve"> </v>
      </c>
      <c r="U61" s="20" t="str">
        <f t="shared" si="16"/>
        <v xml:space="preserve"> </v>
      </c>
      <c r="V61" s="35"/>
      <c r="W61" s="29" t="str">
        <f>IF(ISBLANK('Raw counts'!B$4),"",IF(ISBLANK('Raw counts'!B61),"",('Raw counts'!B61)/('Raw counts'!B$4)))</f>
        <v/>
      </c>
      <c r="X61" s="29" t="str">
        <f>IF(ISBLANK('Raw counts'!C$4),"",IF(ISBLANK('Raw counts'!C61),"",('Raw counts'!C61)/('Raw counts'!C$4)))</f>
        <v/>
      </c>
      <c r="Y61" s="29" t="str">
        <f>IF(ISBLANK('Raw counts'!D$4),"",IF(ISBLANK('Raw counts'!D61),"",('Raw counts'!D61)/('Raw counts'!D$4)))</f>
        <v/>
      </c>
      <c r="Z61" s="29" t="str">
        <f>IF(ISBLANK('Raw counts'!E$4),"",IF(ISBLANK('Raw counts'!E61),"",('Raw counts'!E61)/('Raw counts'!E$4)))</f>
        <v/>
      </c>
      <c r="AA61" s="29" t="str">
        <f>IF(ISBLANK('Raw counts'!F$4),"",IF(ISBLANK('Raw counts'!F61),"",('Raw counts'!F61)/('Raw counts'!F$4)))</f>
        <v/>
      </c>
      <c r="AB61" s="29" t="str">
        <f>IF(ISBLANK('Raw counts'!G$4),"",IF(ISBLANK('Raw counts'!G61),"",('Raw counts'!G61)/('Raw counts'!G$4)))</f>
        <v/>
      </c>
      <c r="AC61" s="29" t="str">
        <f>IF(ISBLANK('Raw counts'!H$4),"",IF(ISBLANK('Raw counts'!H61),"",('Raw counts'!H61)/('Raw counts'!H$4)))</f>
        <v/>
      </c>
      <c r="AD61" s="29" t="str">
        <f>IF(ISBLANK('Raw counts'!I$4),"",IF(ISBLANK('Raw counts'!I61),"",('Raw counts'!I61)/('Raw counts'!I$4)))</f>
        <v/>
      </c>
      <c r="AE61" s="29" t="str">
        <f>IF(ISBLANK('Raw counts'!J$4),"",IF(ISBLANK('Raw counts'!J61),"",('Raw counts'!J61)/('Raw counts'!J$4)))</f>
        <v/>
      </c>
      <c r="AF61" s="29" t="str">
        <f>IF(ISBLANK('Raw counts'!K$4),"",IF(ISBLANK('Raw counts'!K61),"",('Raw counts'!K61)/('Raw counts'!K$4)))</f>
        <v/>
      </c>
      <c r="AG61" s="29" t="str">
        <f>IF(ISBLANK('Raw counts'!L$4),"",IF(ISBLANK('Raw counts'!L61),"",('Raw counts'!L61)/('Raw counts'!L$4)))</f>
        <v/>
      </c>
      <c r="AH61" s="29" t="str">
        <f>IF(ISBLANK('Raw counts'!M$4),"",IF(ISBLANK('Raw counts'!M61),"",('Raw counts'!M61)/('Raw counts'!M$4)))</f>
        <v/>
      </c>
      <c r="AI61" s="29" t="str">
        <f>IF(ISBLANK('Raw counts'!N$4),"",IF(ISBLANK('Raw counts'!N61),"",('Raw counts'!N61)/('Raw counts'!N$4)))</f>
        <v/>
      </c>
      <c r="AJ61" s="29" t="str">
        <f>IF(ISBLANK('Raw counts'!O$4),"",IF(ISBLANK('Raw counts'!O61),"",('Raw counts'!O61)/('Raw counts'!O$4)))</f>
        <v/>
      </c>
      <c r="AK61" s="29" t="str">
        <f>IF(ISBLANK('Raw counts'!P$4),"",IF(ISBLANK('Raw counts'!P61),"",('Raw counts'!P61)/('Raw counts'!P$4)))</f>
        <v/>
      </c>
      <c r="AL61" s="29" t="str">
        <f>IF(ISBLANK('Raw counts'!Q$4),"",IF(ISBLANK('Raw counts'!Q61),"",('Raw counts'!Q61)/('Raw counts'!Q$4)))</f>
        <v/>
      </c>
      <c r="AM61" s="29" t="str">
        <f>IF(ISBLANK('Raw counts'!R$4),"",IF(ISBLANK('Raw counts'!R61),"",('Raw counts'!R61)/('Raw counts'!R$4)))</f>
        <v/>
      </c>
      <c r="AN61" s="29" t="str">
        <f>IF(ISBLANK('Raw counts'!S$4),"",IF(ISBLANK('Raw counts'!S61),"",('Raw counts'!S61)/('Raw counts'!S$4)))</f>
        <v/>
      </c>
      <c r="AO61" s="29" t="str">
        <f>IF(ISBLANK('Raw counts'!T$4),"",IF(ISBLANK('Raw counts'!T61),"",('Raw counts'!T61)/('Raw counts'!T$4)))</f>
        <v/>
      </c>
      <c r="AP61" s="29" t="str">
        <f>IF(ISBLANK('Raw counts'!U$4),"",IF(ISBLANK('Raw counts'!U61),"",('Raw counts'!U61)/('Raw counts'!U$4)))</f>
        <v/>
      </c>
      <c r="AQ61" s="32" t="str">
        <f t="shared" si="4"/>
        <v/>
      </c>
      <c r="AR61" s="32" t="str">
        <f t="shared" si="5"/>
        <v/>
      </c>
    </row>
    <row r="62" spans="1:44" x14ac:dyDescent="0.15">
      <c r="A62" s="18" t="str">
        <f>IF(ISBLANK('Raw counts'!A62),"",'Raw counts'!A62)</f>
        <v>Attr58</v>
      </c>
      <c r="B62" s="20" t="str">
        <f t="shared" si="3"/>
        <v xml:space="preserve"> </v>
      </c>
      <c r="C62" s="20" t="str">
        <f t="shared" si="17"/>
        <v xml:space="preserve"> </v>
      </c>
      <c r="D62" s="20" t="str">
        <f t="shared" si="18"/>
        <v xml:space="preserve"> </v>
      </c>
      <c r="E62" s="20" t="str">
        <f t="shared" si="19"/>
        <v xml:space="preserve"> </v>
      </c>
      <c r="F62" s="20" t="str">
        <f t="shared" si="20"/>
        <v xml:space="preserve"> </v>
      </c>
      <c r="G62" s="20" t="str">
        <f t="shared" si="21"/>
        <v xml:space="preserve"> </v>
      </c>
      <c r="H62" s="20" t="str">
        <f t="shared" si="22"/>
        <v xml:space="preserve"> </v>
      </c>
      <c r="I62" s="20" t="str">
        <f t="shared" si="23"/>
        <v xml:space="preserve"> </v>
      </c>
      <c r="J62" s="20" t="str">
        <f t="shared" si="24"/>
        <v xml:space="preserve"> </v>
      </c>
      <c r="K62" s="20" t="str">
        <f t="shared" si="6"/>
        <v xml:space="preserve"> </v>
      </c>
      <c r="L62" s="20" t="str">
        <f t="shared" si="7"/>
        <v xml:space="preserve"> </v>
      </c>
      <c r="M62" s="20" t="str">
        <f t="shared" si="8"/>
        <v xml:space="preserve"> </v>
      </c>
      <c r="N62" s="20" t="str">
        <f t="shared" si="9"/>
        <v xml:space="preserve"> </v>
      </c>
      <c r="O62" s="20" t="str">
        <f t="shared" si="10"/>
        <v xml:space="preserve"> </v>
      </c>
      <c r="P62" s="20" t="str">
        <f t="shared" si="11"/>
        <v xml:space="preserve"> </v>
      </c>
      <c r="Q62" s="20" t="str">
        <f t="shared" si="12"/>
        <v xml:space="preserve"> </v>
      </c>
      <c r="R62" s="20" t="str">
        <f t="shared" si="13"/>
        <v xml:space="preserve"> </v>
      </c>
      <c r="S62" s="20" t="str">
        <f t="shared" si="14"/>
        <v xml:space="preserve"> </v>
      </c>
      <c r="T62" s="20" t="str">
        <f t="shared" si="15"/>
        <v xml:space="preserve"> </v>
      </c>
      <c r="U62" s="20" t="str">
        <f t="shared" si="16"/>
        <v xml:space="preserve"> </v>
      </c>
      <c r="V62" s="35"/>
      <c r="W62" s="29" t="str">
        <f>IF(ISBLANK('Raw counts'!B$4),"",IF(ISBLANK('Raw counts'!B62),"",('Raw counts'!B62)/('Raw counts'!B$4)))</f>
        <v/>
      </c>
      <c r="X62" s="29" t="str">
        <f>IF(ISBLANK('Raw counts'!C$4),"",IF(ISBLANK('Raw counts'!C62),"",('Raw counts'!C62)/('Raw counts'!C$4)))</f>
        <v/>
      </c>
      <c r="Y62" s="29" t="str">
        <f>IF(ISBLANK('Raw counts'!D$4),"",IF(ISBLANK('Raw counts'!D62),"",('Raw counts'!D62)/('Raw counts'!D$4)))</f>
        <v/>
      </c>
      <c r="Z62" s="29" t="str">
        <f>IF(ISBLANK('Raw counts'!E$4),"",IF(ISBLANK('Raw counts'!E62),"",('Raw counts'!E62)/('Raw counts'!E$4)))</f>
        <v/>
      </c>
      <c r="AA62" s="29" t="str">
        <f>IF(ISBLANK('Raw counts'!F$4),"",IF(ISBLANK('Raw counts'!F62),"",('Raw counts'!F62)/('Raw counts'!F$4)))</f>
        <v/>
      </c>
      <c r="AB62" s="29" t="str">
        <f>IF(ISBLANK('Raw counts'!G$4),"",IF(ISBLANK('Raw counts'!G62),"",('Raw counts'!G62)/('Raw counts'!G$4)))</f>
        <v/>
      </c>
      <c r="AC62" s="29" t="str">
        <f>IF(ISBLANK('Raw counts'!H$4),"",IF(ISBLANK('Raw counts'!H62),"",('Raw counts'!H62)/('Raw counts'!H$4)))</f>
        <v/>
      </c>
      <c r="AD62" s="29" t="str">
        <f>IF(ISBLANK('Raw counts'!I$4),"",IF(ISBLANK('Raw counts'!I62),"",('Raw counts'!I62)/('Raw counts'!I$4)))</f>
        <v/>
      </c>
      <c r="AE62" s="29" t="str">
        <f>IF(ISBLANK('Raw counts'!J$4),"",IF(ISBLANK('Raw counts'!J62),"",('Raw counts'!J62)/('Raw counts'!J$4)))</f>
        <v/>
      </c>
      <c r="AF62" s="29" t="str">
        <f>IF(ISBLANK('Raw counts'!K$4),"",IF(ISBLANK('Raw counts'!K62),"",('Raw counts'!K62)/('Raw counts'!K$4)))</f>
        <v/>
      </c>
      <c r="AG62" s="29" t="str">
        <f>IF(ISBLANK('Raw counts'!L$4),"",IF(ISBLANK('Raw counts'!L62),"",('Raw counts'!L62)/('Raw counts'!L$4)))</f>
        <v/>
      </c>
      <c r="AH62" s="29" t="str">
        <f>IF(ISBLANK('Raw counts'!M$4),"",IF(ISBLANK('Raw counts'!M62),"",('Raw counts'!M62)/('Raw counts'!M$4)))</f>
        <v/>
      </c>
      <c r="AI62" s="29" t="str">
        <f>IF(ISBLANK('Raw counts'!N$4),"",IF(ISBLANK('Raw counts'!N62),"",('Raw counts'!N62)/('Raw counts'!N$4)))</f>
        <v/>
      </c>
      <c r="AJ62" s="29" t="str">
        <f>IF(ISBLANK('Raw counts'!O$4),"",IF(ISBLANK('Raw counts'!O62),"",('Raw counts'!O62)/('Raw counts'!O$4)))</f>
        <v/>
      </c>
      <c r="AK62" s="29" t="str">
        <f>IF(ISBLANK('Raw counts'!P$4),"",IF(ISBLANK('Raw counts'!P62),"",('Raw counts'!P62)/('Raw counts'!P$4)))</f>
        <v/>
      </c>
      <c r="AL62" s="29" t="str">
        <f>IF(ISBLANK('Raw counts'!Q$4),"",IF(ISBLANK('Raw counts'!Q62),"",('Raw counts'!Q62)/('Raw counts'!Q$4)))</f>
        <v/>
      </c>
      <c r="AM62" s="29" t="str">
        <f>IF(ISBLANK('Raw counts'!R$4),"",IF(ISBLANK('Raw counts'!R62),"",('Raw counts'!R62)/('Raw counts'!R$4)))</f>
        <v/>
      </c>
      <c r="AN62" s="29" t="str">
        <f>IF(ISBLANK('Raw counts'!S$4),"",IF(ISBLANK('Raw counts'!S62),"",('Raw counts'!S62)/('Raw counts'!S$4)))</f>
        <v/>
      </c>
      <c r="AO62" s="29" t="str">
        <f>IF(ISBLANK('Raw counts'!T$4),"",IF(ISBLANK('Raw counts'!T62),"",('Raw counts'!T62)/('Raw counts'!T$4)))</f>
        <v/>
      </c>
      <c r="AP62" s="29" t="str">
        <f>IF(ISBLANK('Raw counts'!U$4),"",IF(ISBLANK('Raw counts'!U62),"",('Raw counts'!U62)/('Raw counts'!U$4)))</f>
        <v/>
      </c>
      <c r="AQ62" s="32" t="str">
        <f t="shared" si="4"/>
        <v/>
      </c>
      <c r="AR62" s="32" t="str">
        <f t="shared" si="5"/>
        <v/>
      </c>
    </row>
    <row r="63" spans="1:44" x14ac:dyDescent="0.15">
      <c r="A63" s="18" t="str">
        <f>IF(ISBLANK('Raw counts'!A63),"",'Raw counts'!A63)</f>
        <v>Attr59</v>
      </c>
      <c r="B63" s="20" t="str">
        <f t="shared" si="3"/>
        <v xml:space="preserve"> </v>
      </c>
      <c r="C63" s="20" t="str">
        <f t="shared" si="17"/>
        <v xml:space="preserve"> </v>
      </c>
      <c r="D63" s="20" t="str">
        <f t="shared" si="18"/>
        <v xml:space="preserve"> </v>
      </c>
      <c r="E63" s="20" t="str">
        <f t="shared" si="19"/>
        <v xml:space="preserve"> </v>
      </c>
      <c r="F63" s="20" t="str">
        <f t="shared" si="20"/>
        <v xml:space="preserve"> </v>
      </c>
      <c r="G63" s="20" t="str">
        <f t="shared" si="21"/>
        <v xml:space="preserve"> </v>
      </c>
      <c r="H63" s="20" t="str">
        <f t="shared" si="22"/>
        <v xml:space="preserve"> </v>
      </c>
      <c r="I63" s="20" t="str">
        <f t="shared" si="23"/>
        <v xml:space="preserve"> </v>
      </c>
      <c r="J63" s="20" t="str">
        <f t="shared" si="24"/>
        <v xml:space="preserve"> </v>
      </c>
      <c r="K63" s="20" t="str">
        <f t="shared" si="6"/>
        <v xml:space="preserve"> </v>
      </c>
      <c r="L63" s="20" t="str">
        <f t="shared" si="7"/>
        <v xml:space="preserve"> </v>
      </c>
      <c r="M63" s="20" t="str">
        <f t="shared" si="8"/>
        <v xml:space="preserve"> </v>
      </c>
      <c r="N63" s="20" t="str">
        <f t="shared" si="9"/>
        <v xml:space="preserve"> </v>
      </c>
      <c r="O63" s="20" t="str">
        <f t="shared" si="10"/>
        <v xml:space="preserve"> </v>
      </c>
      <c r="P63" s="20" t="str">
        <f t="shared" si="11"/>
        <v xml:space="preserve"> </v>
      </c>
      <c r="Q63" s="20" t="str">
        <f t="shared" si="12"/>
        <v xml:space="preserve"> </v>
      </c>
      <c r="R63" s="20" t="str">
        <f t="shared" si="13"/>
        <v xml:space="preserve"> </v>
      </c>
      <c r="S63" s="20" t="str">
        <f t="shared" si="14"/>
        <v xml:space="preserve"> </v>
      </c>
      <c r="T63" s="20" t="str">
        <f t="shared" si="15"/>
        <v xml:space="preserve"> </v>
      </c>
      <c r="U63" s="20" t="str">
        <f t="shared" si="16"/>
        <v xml:space="preserve"> </v>
      </c>
      <c r="V63" s="35"/>
      <c r="W63" s="29" t="str">
        <f>IF(ISBLANK('Raw counts'!B$4),"",IF(ISBLANK('Raw counts'!B63),"",('Raw counts'!B63)/('Raw counts'!B$4)))</f>
        <v/>
      </c>
      <c r="X63" s="29" t="str">
        <f>IF(ISBLANK('Raw counts'!C$4),"",IF(ISBLANK('Raw counts'!C63),"",('Raw counts'!C63)/('Raw counts'!C$4)))</f>
        <v/>
      </c>
      <c r="Y63" s="29" t="str">
        <f>IF(ISBLANK('Raw counts'!D$4),"",IF(ISBLANK('Raw counts'!D63),"",('Raw counts'!D63)/('Raw counts'!D$4)))</f>
        <v/>
      </c>
      <c r="Z63" s="29" t="str">
        <f>IF(ISBLANK('Raw counts'!E$4),"",IF(ISBLANK('Raw counts'!E63),"",('Raw counts'!E63)/('Raw counts'!E$4)))</f>
        <v/>
      </c>
      <c r="AA63" s="29" t="str">
        <f>IF(ISBLANK('Raw counts'!F$4),"",IF(ISBLANK('Raw counts'!F63),"",('Raw counts'!F63)/('Raw counts'!F$4)))</f>
        <v/>
      </c>
      <c r="AB63" s="29" t="str">
        <f>IF(ISBLANK('Raw counts'!G$4),"",IF(ISBLANK('Raw counts'!G63),"",('Raw counts'!G63)/('Raw counts'!G$4)))</f>
        <v/>
      </c>
      <c r="AC63" s="29" t="str">
        <f>IF(ISBLANK('Raw counts'!H$4),"",IF(ISBLANK('Raw counts'!H63),"",('Raw counts'!H63)/('Raw counts'!H$4)))</f>
        <v/>
      </c>
      <c r="AD63" s="29" t="str">
        <f>IF(ISBLANK('Raw counts'!I$4),"",IF(ISBLANK('Raw counts'!I63),"",('Raw counts'!I63)/('Raw counts'!I$4)))</f>
        <v/>
      </c>
      <c r="AE63" s="29" t="str">
        <f>IF(ISBLANK('Raw counts'!J$4),"",IF(ISBLANK('Raw counts'!J63),"",('Raw counts'!J63)/('Raw counts'!J$4)))</f>
        <v/>
      </c>
      <c r="AF63" s="29" t="str">
        <f>IF(ISBLANK('Raw counts'!K$4),"",IF(ISBLANK('Raw counts'!K63),"",('Raw counts'!K63)/('Raw counts'!K$4)))</f>
        <v/>
      </c>
      <c r="AG63" s="29" t="str">
        <f>IF(ISBLANK('Raw counts'!L$4),"",IF(ISBLANK('Raw counts'!L63),"",('Raw counts'!L63)/('Raw counts'!L$4)))</f>
        <v/>
      </c>
      <c r="AH63" s="29" t="str">
        <f>IF(ISBLANK('Raw counts'!M$4),"",IF(ISBLANK('Raw counts'!M63),"",('Raw counts'!M63)/('Raw counts'!M$4)))</f>
        <v/>
      </c>
      <c r="AI63" s="29" t="str">
        <f>IF(ISBLANK('Raw counts'!N$4),"",IF(ISBLANK('Raw counts'!N63),"",('Raw counts'!N63)/('Raw counts'!N$4)))</f>
        <v/>
      </c>
      <c r="AJ63" s="29" t="str">
        <f>IF(ISBLANK('Raw counts'!O$4),"",IF(ISBLANK('Raw counts'!O63),"",('Raw counts'!O63)/('Raw counts'!O$4)))</f>
        <v/>
      </c>
      <c r="AK63" s="29" t="str">
        <f>IF(ISBLANK('Raw counts'!P$4),"",IF(ISBLANK('Raw counts'!P63),"",('Raw counts'!P63)/('Raw counts'!P$4)))</f>
        <v/>
      </c>
      <c r="AL63" s="29" t="str">
        <f>IF(ISBLANK('Raw counts'!Q$4),"",IF(ISBLANK('Raw counts'!Q63),"",('Raw counts'!Q63)/('Raw counts'!Q$4)))</f>
        <v/>
      </c>
      <c r="AM63" s="29" t="str">
        <f>IF(ISBLANK('Raw counts'!R$4),"",IF(ISBLANK('Raw counts'!R63),"",('Raw counts'!R63)/('Raw counts'!R$4)))</f>
        <v/>
      </c>
      <c r="AN63" s="29" t="str">
        <f>IF(ISBLANK('Raw counts'!S$4),"",IF(ISBLANK('Raw counts'!S63),"",('Raw counts'!S63)/('Raw counts'!S$4)))</f>
        <v/>
      </c>
      <c r="AO63" s="29" t="str">
        <f>IF(ISBLANK('Raw counts'!T$4),"",IF(ISBLANK('Raw counts'!T63),"",('Raw counts'!T63)/('Raw counts'!T$4)))</f>
        <v/>
      </c>
      <c r="AP63" s="29" t="str">
        <f>IF(ISBLANK('Raw counts'!U$4),"",IF(ISBLANK('Raw counts'!U63),"",('Raw counts'!U63)/('Raw counts'!U$4)))</f>
        <v/>
      </c>
      <c r="AQ63" s="32" t="str">
        <f t="shared" si="4"/>
        <v/>
      </c>
      <c r="AR63" s="32" t="str">
        <f t="shared" si="5"/>
        <v/>
      </c>
    </row>
    <row r="64" spans="1:44" x14ac:dyDescent="0.15">
      <c r="A64" s="18" t="str">
        <f>IF(ISBLANK('Raw counts'!A64),"",'Raw counts'!A64)</f>
        <v>Attr60</v>
      </c>
      <c r="B64" s="20" t="str">
        <f t="shared" si="3"/>
        <v xml:space="preserve"> </v>
      </c>
      <c r="C64" s="20" t="str">
        <f t="shared" si="17"/>
        <v xml:space="preserve"> </v>
      </c>
      <c r="D64" s="20" t="str">
        <f t="shared" si="18"/>
        <v xml:space="preserve"> </v>
      </c>
      <c r="E64" s="20" t="str">
        <f t="shared" si="19"/>
        <v xml:space="preserve"> </v>
      </c>
      <c r="F64" s="20" t="str">
        <f t="shared" si="20"/>
        <v xml:space="preserve"> </v>
      </c>
      <c r="G64" s="20" t="str">
        <f t="shared" si="21"/>
        <v xml:space="preserve"> </v>
      </c>
      <c r="H64" s="20" t="str">
        <f t="shared" si="22"/>
        <v xml:space="preserve"> </v>
      </c>
      <c r="I64" s="20" t="str">
        <f t="shared" si="23"/>
        <v xml:space="preserve"> </v>
      </c>
      <c r="J64" s="20" t="str">
        <f t="shared" si="24"/>
        <v xml:space="preserve"> </v>
      </c>
      <c r="K64" s="20" t="str">
        <f t="shared" si="6"/>
        <v xml:space="preserve"> </v>
      </c>
      <c r="L64" s="20" t="str">
        <f t="shared" si="7"/>
        <v xml:space="preserve"> </v>
      </c>
      <c r="M64" s="20" t="str">
        <f t="shared" si="8"/>
        <v xml:space="preserve"> </v>
      </c>
      <c r="N64" s="20" t="str">
        <f t="shared" si="9"/>
        <v xml:space="preserve"> </v>
      </c>
      <c r="O64" s="20" t="str">
        <f t="shared" si="10"/>
        <v xml:space="preserve"> </v>
      </c>
      <c r="P64" s="20" t="str">
        <f t="shared" si="11"/>
        <v xml:space="preserve"> </v>
      </c>
      <c r="Q64" s="20" t="str">
        <f t="shared" si="12"/>
        <v xml:space="preserve"> </v>
      </c>
      <c r="R64" s="20" t="str">
        <f t="shared" si="13"/>
        <v xml:space="preserve"> </v>
      </c>
      <c r="S64" s="20" t="str">
        <f t="shared" si="14"/>
        <v xml:space="preserve"> </v>
      </c>
      <c r="T64" s="20" t="str">
        <f t="shared" si="15"/>
        <v xml:space="preserve"> </v>
      </c>
      <c r="U64" s="20" t="str">
        <f t="shared" si="16"/>
        <v xml:space="preserve"> </v>
      </c>
      <c r="V64" s="35"/>
      <c r="W64" s="29" t="str">
        <f>IF(ISBLANK('Raw counts'!B$4),"",IF(ISBLANK('Raw counts'!B64),"",('Raw counts'!B64)/('Raw counts'!B$4)))</f>
        <v/>
      </c>
      <c r="X64" s="29" t="str">
        <f>IF(ISBLANK('Raw counts'!C$4),"",IF(ISBLANK('Raw counts'!C64),"",('Raw counts'!C64)/('Raw counts'!C$4)))</f>
        <v/>
      </c>
      <c r="Y64" s="29" t="str">
        <f>IF(ISBLANK('Raw counts'!D$4),"",IF(ISBLANK('Raw counts'!D64),"",('Raw counts'!D64)/('Raw counts'!D$4)))</f>
        <v/>
      </c>
      <c r="Z64" s="29" t="str">
        <f>IF(ISBLANK('Raw counts'!E$4),"",IF(ISBLANK('Raw counts'!E64),"",('Raw counts'!E64)/('Raw counts'!E$4)))</f>
        <v/>
      </c>
      <c r="AA64" s="29" t="str">
        <f>IF(ISBLANK('Raw counts'!F$4),"",IF(ISBLANK('Raw counts'!F64),"",('Raw counts'!F64)/('Raw counts'!F$4)))</f>
        <v/>
      </c>
      <c r="AB64" s="29" t="str">
        <f>IF(ISBLANK('Raw counts'!G$4),"",IF(ISBLANK('Raw counts'!G64),"",('Raw counts'!G64)/('Raw counts'!G$4)))</f>
        <v/>
      </c>
      <c r="AC64" s="29" t="str">
        <f>IF(ISBLANK('Raw counts'!H$4),"",IF(ISBLANK('Raw counts'!H64),"",('Raw counts'!H64)/('Raw counts'!H$4)))</f>
        <v/>
      </c>
      <c r="AD64" s="29" t="str">
        <f>IF(ISBLANK('Raw counts'!I$4),"",IF(ISBLANK('Raw counts'!I64),"",('Raw counts'!I64)/('Raw counts'!I$4)))</f>
        <v/>
      </c>
      <c r="AE64" s="29" t="str">
        <f>IF(ISBLANK('Raw counts'!J$4),"",IF(ISBLANK('Raw counts'!J64),"",('Raw counts'!J64)/('Raw counts'!J$4)))</f>
        <v/>
      </c>
      <c r="AF64" s="29" t="str">
        <f>IF(ISBLANK('Raw counts'!K$4),"",IF(ISBLANK('Raw counts'!K64),"",('Raw counts'!K64)/('Raw counts'!K$4)))</f>
        <v/>
      </c>
      <c r="AG64" s="29" t="str">
        <f>IF(ISBLANK('Raw counts'!L$4),"",IF(ISBLANK('Raw counts'!L64),"",('Raw counts'!L64)/('Raw counts'!L$4)))</f>
        <v/>
      </c>
      <c r="AH64" s="29" t="str">
        <f>IF(ISBLANK('Raw counts'!M$4),"",IF(ISBLANK('Raw counts'!M64),"",('Raw counts'!M64)/('Raw counts'!M$4)))</f>
        <v/>
      </c>
      <c r="AI64" s="29" t="str">
        <f>IF(ISBLANK('Raw counts'!N$4),"",IF(ISBLANK('Raw counts'!N64),"",('Raw counts'!N64)/('Raw counts'!N$4)))</f>
        <v/>
      </c>
      <c r="AJ64" s="29" t="str">
        <f>IF(ISBLANK('Raw counts'!O$4),"",IF(ISBLANK('Raw counts'!O64),"",('Raw counts'!O64)/('Raw counts'!O$4)))</f>
        <v/>
      </c>
      <c r="AK64" s="29" t="str">
        <f>IF(ISBLANK('Raw counts'!P$4),"",IF(ISBLANK('Raw counts'!P64),"",('Raw counts'!P64)/('Raw counts'!P$4)))</f>
        <v/>
      </c>
      <c r="AL64" s="29" t="str">
        <f>IF(ISBLANK('Raw counts'!Q$4),"",IF(ISBLANK('Raw counts'!Q64),"",('Raw counts'!Q64)/('Raw counts'!Q$4)))</f>
        <v/>
      </c>
      <c r="AM64" s="29" t="str">
        <f>IF(ISBLANK('Raw counts'!R$4),"",IF(ISBLANK('Raw counts'!R64),"",('Raw counts'!R64)/('Raw counts'!R$4)))</f>
        <v/>
      </c>
      <c r="AN64" s="29" t="str">
        <f>IF(ISBLANK('Raw counts'!S$4),"",IF(ISBLANK('Raw counts'!S64),"",('Raw counts'!S64)/('Raw counts'!S$4)))</f>
        <v/>
      </c>
      <c r="AO64" s="29" t="str">
        <f>IF(ISBLANK('Raw counts'!T$4),"",IF(ISBLANK('Raw counts'!T64),"",('Raw counts'!T64)/('Raw counts'!T$4)))</f>
        <v/>
      </c>
      <c r="AP64" s="29" t="str">
        <f>IF(ISBLANK('Raw counts'!U$4),"",IF(ISBLANK('Raw counts'!U64),"",('Raw counts'!U64)/('Raw counts'!U$4)))</f>
        <v/>
      </c>
      <c r="AQ64" s="32" t="str">
        <f t="shared" si="4"/>
        <v/>
      </c>
      <c r="AR64" s="32" t="str">
        <f t="shared" si="5"/>
        <v/>
      </c>
    </row>
  </sheetData>
  <sheetProtection formatRows="0"/>
  <mergeCells count="1">
    <mergeCell ref="B1:U1"/>
  </mergeCells>
  <phoneticPr fontId="28" type="noConversion"/>
  <conditionalFormatting sqref="B5:U64">
    <cfRule type="cellIs" dxfId="7" priority="1" operator="equal">
      <formula>" "</formula>
    </cfRule>
    <cfRule type="cellIs" dxfId="6" priority="2" operator="lessThanOrEqual">
      <formula>80</formula>
    </cfRule>
    <cfRule type="cellIs" dxfId="5" priority="3" operator="greaterThanOrEqual">
      <formula>120</formula>
    </cfRule>
  </conditionalFormatting>
  <pageMargins left="0.39370078740157483" right="0.39370078740157483" top="0.59055118110236227" bottom="0.59055118110236227" header="0.31496062992125984" footer="0.31496062992125984"/>
  <pageSetup paperSize="9" scale="89" fitToHeight="0" orientation="landscape" r:id="rId1"/>
  <headerFooter>
    <oddHeader>&amp;C&amp;"Arial,常规"&amp;9&amp;F</oddHeader>
    <oddFooter>&amp;L&amp;"Arial,常规"&amp;9&amp;A&amp;R&amp;"宋体,常规"&amp;9第&amp;"Arial,常规" &amp;P &amp;"宋体,常规"页，共&amp;"Arial,常规" &amp;N &amp;"宋体,常规"页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U64"/>
  <sheetViews>
    <sheetView view="pageBreakPreview" zoomScale="80" zoomScaleNormal="70" zoomScaleSheetLayoutView="80" workbookViewId="0">
      <pane xSplit="1" ySplit="4" topLeftCell="B5" activePane="bottomRight" state="frozen"/>
      <selection activeCell="J24" sqref="J24"/>
      <selection pane="topRight" activeCell="J24" sqref="J24"/>
      <selection pane="bottomLeft" activeCell="J24" sqref="J24"/>
      <selection pane="bottomRight" activeCell="B6" sqref="B6"/>
    </sheetView>
  </sheetViews>
  <sheetFormatPr defaultRowHeight="12.75" x14ac:dyDescent="0.15"/>
  <cols>
    <col min="1" max="1" width="29.5" style="1" customWidth="1"/>
    <col min="2" max="4" width="6.75" style="1" bestFit="1" customWidth="1"/>
    <col min="5" max="10" width="6" style="1" bestFit="1" customWidth="1"/>
    <col min="11" max="21" width="6.875" style="1" bestFit="1" customWidth="1"/>
    <col min="22" max="16384" width="9" style="1"/>
  </cols>
  <sheetData>
    <row r="1" spans="1:21" ht="67.5" customHeight="1" x14ac:dyDescent="0.15">
      <c r="A1" s="38" t="s">
        <v>57</v>
      </c>
      <c r="B1" s="44" t="s">
        <v>58</v>
      </c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spans="1:21" ht="25.5" x14ac:dyDescent="0.15">
      <c r="A2" s="15" t="str">
        <f>IF(ISBLANK('Raw counts'!A2),"",'Raw counts'!A2)</f>
        <v>Brand name --&gt;</v>
      </c>
      <c r="B2" s="16" t="str">
        <f>IF(ISBLANK('Raw counts'!B2),"",'Raw counts'!B2)</f>
        <v>Braun</v>
      </c>
      <c r="C2" s="16" t="str">
        <f>IF(ISBLANK('Raw counts'!C2),"",'Raw counts'!C2)</f>
        <v>Colgate</v>
      </c>
      <c r="D2" s="16" t="str">
        <f>IF(ISBLANK('Raw counts'!D2),"",'Raw counts'!D2)</f>
        <v>Lansung</v>
      </c>
      <c r="E2" s="16" t="str">
        <f>IF(ISBLANK('Raw counts'!E2),"",'Raw counts'!E2)</f>
        <v>Lebond</v>
      </c>
      <c r="F2" s="16" t="str">
        <f>IF(ISBLANK('Raw counts'!F2),"",'Raw counts'!F2)</f>
        <v>Oral-B</v>
      </c>
      <c r="G2" s="16" t="str">
        <f>IF(ISBLANK('Raw counts'!G2),"",'Raw counts'!G2)</f>
        <v>Panasonic</v>
      </c>
      <c r="H2" s="16" t="str">
        <f>IF(ISBLANK('Raw counts'!H2),"",'Raw counts'!H2)</f>
        <v>Phillips</v>
      </c>
      <c r="I2" s="16" t="str">
        <f>IF(ISBLANK('Raw counts'!I2),"",'Raw counts'!I2)</f>
        <v>Prooral</v>
      </c>
      <c r="J2" s="16" t="str">
        <f>IF(ISBLANK('Raw counts'!J2),"",'Raw counts'!J2)</f>
        <v>Qianbeimei</v>
      </c>
      <c r="K2" s="16" t="str">
        <f>IF(ISBLANK('Raw counts'!K2),"",'Raw counts'!K2)</f>
        <v>Saky</v>
      </c>
      <c r="L2" s="16" t="str">
        <f>IF(ISBLANK('Raw counts'!L2),"",'Raw counts'!L2)</f>
        <v>Wavebetter</v>
      </c>
      <c r="M2" s="16" t="str">
        <f>IF(ISBLANK('Raw counts'!M2),"",'Raw counts'!M2)</f>
        <v>Brd12</v>
      </c>
      <c r="N2" s="16" t="str">
        <f>IF(ISBLANK('Raw counts'!N2),"",'Raw counts'!N2)</f>
        <v>Brd13</v>
      </c>
      <c r="O2" s="16" t="str">
        <f>IF(ISBLANK('Raw counts'!O2),"",'Raw counts'!O2)</f>
        <v>Brd14</v>
      </c>
      <c r="P2" s="16" t="str">
        <f>IF(ISBLANK('Raw counts'!P2),"",'Raw counts'!P2)</f>
        <v>Brd15</v>
      </c>
      <c r="Q2" s="16" t="str">
        <f>IF(ISBLANK('Raw counts'!Q2),"",'Raw counts'!Q2)</f>
        <v>Brd16</v>
      </c>
      <c r="R2" s="16" t="str">
        <f>IF(ISBLANK('Raw counts'!R2),"",'Raw counts'!R2)</f>
        <v>Brd17</v>
      </c>
      <c r="S2" s="16" t="str">
        <f>IF(ISBLANK('Raw counts'!S2),"",'Raw counts'!S2)</f>
        <v>Brd18</v>
      </c>
      <c r="T2" s="16" t="str">
        <f>IF(ISBLANK('Raw counts'!T2),"",'Raw counts'!T2)</f>
        <v>Brd19</v>
      </c>
      <c r="U2" s="16" t="str">
        <f>IF(ISBLANK('Raw counts'!U2),"",'Raw counts'!U2)</f>
        <v>Brd20</v>
      </c>
    </row>
    <row r="3" spans="1:21" x14ac:dyDescent="0.15">
      <c r="A3" s="15" t="str">
        <f>IF(ISBLANK('Raw counts'!A3),"",'Raw counts'!A3)</f>
        <v>Base1: Total resp.</v>
      </c>
      <c r="B3" s="17" t="str">
        <f>IF(ISBLANK('Raw counts'!B3),"",'Raw counts'!B3)</f>
        <v/>
      </c>
      <c r="C3" s="17" t="str">
        <f>IF(ISBLANK('Raw counts'!C3),"",'Raw counts'!C3)</f>
        <v/>
      </c>
      <c r="D3" s="17" t="str">
        <f>IF(ISBLANK('Raw counts'!D3),"",'Raw counts'!D3)</f>
        <v/>
      </c>
      <c r="E3" s="17" t="str">
        <f>IF(ISBLANK('Raw counts'!E3),"",'Raw counts'!E3)</f>
        <v/>
      </c>
      <c r="F3" s="17" t="str">
        <f>IF(ISBLANK('Raw counts'!F3),"",'Raw counts'!F3)</f>
        <v/>
      </c>
      <c r="G3" s="17" t="str">
        <f>IF(ISBLANK('Raw counts'!G3),"",'Raw counts'!G3)</f>
        <v/>
      </c>
      <c r="H3" s="17" t="str">
        <f>IF(ISBLANK('Raw counts'!H3),"",'Raw counts'!H3)</f>
        <v/>
      </c>
      <c r="I3" s="17" t="str">
        <f>IF(ISBLANK('Raw counts'!I3),"",'Raw counts'!I3)</f>
        <v/>
      </c>
      <c r="J3" s="17" t="str">
        <f>IF(ISBLANK('Raw counts'!J3),"",'Raw counts'!J3)</f>
        <v/>
      </c>
      <c r="K3" s="17" t="str">
        <f>IF(ISBLANK('Raw counts'!K3),"",'Raw counts'!K3)</f>
        <v/>
      </c>
      <c r="L3" s="17" t="str">
        <f>IF(ISBLANK('Raw counts'!L3),"",'Raw counts'!L3)</f>
        <v/>
      </c>
      <c r="M3" s="17" t="str">
        <f>IF(ISBLANK('Raw counts'!M3),"",'Raw counts'!M3)</f>
        <v/>
      </c>
      <c r="N3" s="17" t="str">
        <f>IF(ISBLANK('Raw counts'!N3),"",'Raw counts'!N3)</f>
        <v/>
      </c>
      <c r="O3" s="17" t="str">
        <f>IF(ISBLANK('Raw counts'!O3),"",'Raw counts'!O3)</f>
        <v/>
      </c>
      <c r="P3" s="17" t="str">
        <f>IF(ISBLANK('Raw counts'!P3),"",'Raw counts'!P3)</f>
        <v/>
      </c>
      <c r="Q3" s="17" t="str">
        <f>IF(ISBLANK('Raw counts'!Q3),"",'Raw counts'!Q3)</f>
        <v/>
      </c>
      <c r="R3" s="17" t="str">
        <f>IF(ISBLANK('Raw counts'!R3),"",'Raw counts'!R3)</f>
        <v/>
      </c>
      <c r="S3" s="17" t="str">
        <f>IF(ISBLANK('Raw counts'!S3),"",'Raw counts'!S3)</f>
        <v/>
      </c>
      <c r="T3" s="17" t="str">
        <f>IF(ISBLANK('Raw counts'!T3),"",'Raw counts'!T3)</f>
        <v/>
      </c>
      <c r="U3" s="17" t="str">
        <f>IF(ISBLANK('Raw counts'!U3),"",'Raw counts'!U3)</f>
        <v/>
      </c>
    </row>
    <row r="4" spans="1:21" ht="25.5" x14ac:dyDescent="0.15">
      <c r="A4" s="15" t="str">
        <f>IF(ISBLANK('Raw counts'!A4),"",'Raw counts'!A4)</f>
        <v>Base - Total Aware of brand AND Primary Category Purchasers</v>
      </c>
      <c r="B4" s="17">
        <f>IF(ISBLANK('Raw counts'!B4),"",'Raw counts'!B4)</f>
        <v>259</v>
      </c>
      <c r="C4" s="17">
        <f>IF(ISBLANK('Raw counts'!C4),"",'Raw counts'!C4)</f>
        <v>207</v>
      </c>
      <c r="D4" s="17">
        <f>IF(ISBLANK('Raw counts'!D4),"",'Raw counts'!D4)</f>
        <v>30</v>
      </c>
      <c r="E4" s="17">
        <f>IF(ISBLANK('Raw counts'!E4),"",'Raw counts'!E4)</f>
        <v>50</v>
      </c>
      <c r="F4" s="17">
        <f>IF(ISBLANK('Raw counts'!F4),"",'Raw counts'!F4)</f>
        <v>257</v>
      </c>
      <c r="G4" s="17">
        <f>IF(ISBLANK('Raw counts'!G4),"",'Raw counts'!G4)</f>
        <v>254</v>
      </c>
      <c r="H4" s="17">
        <f>IF(ISBLANK('Raw counts'!H4),"",'Raw counts'!H4)</f>
        <v>404</v>
      </c>
      <c r="I4" s="17">
        <f>IF(ISBLANK('Raw counts'!I4),"",'Raw counts'!I4)</f>
        <v>51</v>
      </c>
      <c r="J4" s="17">
        <f>IF(ISBLANK('Raw counts'!J4),"",'Raw counts'!J4)</f>
        <v>29</v>
      </c>
      <c r="K4" s="17">
        <f>IF(ISBLANK('Raw counts'!K4),"",'Raw counts'!K4)</f>
        <v>92</v>
      </c>
      <c r="L4" s="17">
        <f>IF(ISBLANK('Raw counts'!L4),"",'Raw counts'!L4)</f>
        <v>26</v>
      </c>
      <c r="M4" s="17" t="str">
        <f>IF(ISBLANK('Raw counts'!M4),"",'Raw counts'!M4)</f>
        <v/>
      </c>
      <c r="N4" s="17" t="str">
        <f>IF(ISBLANK('Raw counts'!N4),"",'Raw counts'!N4)</f>
        <v/>
      </c>
      <c r="O4" s="17" t="str">
        <f>IF(ISBLANK('Raw counts'!O4),"",'Raw counts'!O4)</f>
        <v/>
      </c>
      <c r="P4" s="17" t="str">
        <f>IF(ISBLANK('Raw counts'!P4),"",'Raw counts'!P4)</f>
        <v/>
      </c>
      <c r="Q4" s="17" t="str">
        <f>IF(ISBLANK('Raw counts'!Q4),"",'Raw counts'!Q4)</f>
        <v/>
      </c>
      <c r="R4" s="17" t="str">
        <f>IF(ISBLANK('Raw counts'!R4),"",'Raw counts'!R4)</f>
        <v/>
      </c>
      <c r="S4" s="17" t="str">
        <f>IF(ISBLANK('Raw counts'!S4),"",'Raw counts'!S4)</f>
        <v/>
      </c>
      <c r="T4" s="17" t="str">
        <f>IF(ISBLANK('Raw counts'!T4),"",'Raw counts'!T4)</f>
        <v/>
      </c>
      <c r="U4" s="17" t="str">
        <f>IF(ISBLANK('Raw counts'!U4),"",'Raw counts'!U4)</f>
        <v/>
      </c>
    </row>
    <row r="5" spans="1:21" ht="38.25" x14ac:dyDescent="0.15">
      <c r="A5" s="18" t="str">
        <f>IF(ISBLANK('Raw counts'!A5),"",'Raw counts'!A5)</f>
        <v xml:space="preserve">Doesn't offer version I want                                                </v>
      </c>
      <c r="B5" s="19" t="str">
        <f>IF(ISBLANK('Raw counts'!B5),"",IF('7'!$V4=1,IF('3'!B4='7'!$V4,"Sol",'4'!B4),IF('7'!$V4=2,IF('3'!B4&lt;='7'!$V4,"Dua",'4'!B4),IF('7'!$V4&gt;=3,IF('3'!B4&lt;='7'!$V4,"Shr",'4'!B4),'4'!B4))))</f>
        <v>-</v>
      </c>
      <c r="C5" s="19" t="str">
        <f>IF(ISBLANK('Raw counts'!C5),"",IF('7'!$V4=1,IF('3'!C4='7'!$V4,"Sol",'4'!C4),IF('7'!$V4=2,IF('3'!C4&lt;='7'!$V4,"Dua",'4'!C4),IF('7'!$V4&gt;=3,IF('3'!C4&lt;='7'!$V4,"Shr",'4'!C4),'4'!C4))))</f>
        <v>+1</v>
      </c>
      <c r="D5" s="19" t="str">
        <f>IF(ISBLANK('Raw counts'!D5),"",IF('7'!$V4=1,IF('3'!D4='7'!$V4,"Sol",'4'!D4),IF('7'!$V4=2,IF('3'!D4&lt;='7'!$V4,"Dua",'4'!D4),IF('7'!$V4&gt;=3,IF('3'!D4&lt;='7'!$V4,"Shr",'4'!D4),'4'!D4))))</f>
        <v>+</v>
      </c>
      <c r="E5" s="19" t="str">
        <f>IF(ISBLANK('Raw counts'!E5),"",IF('7'!$V4=1,IF('3'!E4='7'!$V4,"Sol",'4'!E4),IF('7'!$V4=2,IF('3'!E4&lt;='7'!$V4,"Dua",'4'!E4),IF('7'!$V4&gt;=3,IF('3'!E4&lt;='7'!$V4,"Shr",'4'!E4),'4'!E4))))</f>
        <v>-</v>
      </c>
      <c r="F5" s="19" t="str">
        <f>IF(ISBLANK('Raw counts'!F5),"",IF('7'!$V4=1,IF('3'!F4='7'!$V4,"Sol",'4'!F4),IF('7'!$V4=2,IF('3'!F4&lt;='7'!$V4,"Dua",'4'!F4),IF('7'!$V4&gt;=3,IF('3'!F4&lt;='7'!$V4,"Shr",'4'!F4),'4'!F4))))</f>
        <v>+</v>
      </c>
      <c r="G5" s="19" t="str">
        <f>IF(ISBLANK('Raw counts'!G5),"",IF('7'!$V4=1,IF('3'!G4='7'!$V4,"Sol",'4'!G4),IF('7'!$V4=2,IF('3'!G4&lt;='7'!$V4,"Dua",'4'!G4),IF('7'!$V4&gt;=3,IF('3'!G4&lt;='7'!$V4,"Shr",'4'!G4),'4'!G4))))</f>
        <v>-</v>
      </c>
      <c r="H5" s="19" t="str">
        <f>IF(ISBLANK('Raw counts'!H5),"",IF('7'!$V4=1,IF('3'!H4='7'!$V4,"Sol",'4'!H4),IF('7'!$V4=2,IF('3'!H4&lt;='7'!$V4,"Dua",'4'!H4),IF('7'!$V4&gt;=3,IF('3'!H4&lt;='7'!$V4,"Shr",'4'!H4),'4'!H4))))</f>
        <v>+</v>
      </c>
      <c r="I5" s="19" t="str">
        <f>IF(ISBLANK('Raw counts'!I5),"",IF('7'!$V4=1,IF('3'!I4='7'!$V4,"Sol",'4'!I4),IF('7'!$V4=2,IF('3'!I4&lt;='7'!$V4,"Dua",'4'!I4),IF('7'!$V4&gt;=3,IF('3'!I4&lt;='7'!$V4,"Shr",'4'!I4),'4'!I4))))</f>
        <v>-</v>
      </c>
      <c r="J5" s="19" t="str">
        <f>IF(ISBLANK('Raw counts'!J5),"",IF('7'!$V4=1,IF('3'!J4='7'!$V4,"Sol",'4'!J4),IF('7'!$V4=2,IF('3'!J4&lt;='7'!$V4,"Dua",'4'!J4),IF('7'!$V4&gt;=3,IF('3'!J4&lt;='7'!$V4,"Shr",'4'!J4),'4'!J4))))</f>
        <v>+</v>
      </c>
      <c r="K5" s="19" t="str">
        <f>IF(ISBLANK('Raw counts'!K5),"",IF('7'!$V4=1,IF('3'!K4='7'!$V4,"Sol",'4'!K4),IF('7'!$V4=2,IF('3'!K4&lt;='7'!$V4,"Dua",'4'!K4),IF('7'!$V4&gt;=3,IF('3'!K4&lt;='7'!$V4,"Shr",'4'!K4),'4'!K4))))</f>
        <v>-</v>
      </c>
      <c r="L5" s="19" t="str">
        <f>IF(ISBLANK('Raw counts'!L5),"",IF('7'!$V4=1,IF('3'!L4='7'!$V4,"Sol",'4'!L4),IF('7'!$V4=2,IF('3'!L4&lt;='7'!$V4,"Dua",'4'!L4),IF('7'!$V4&gt;=3,IF('3'!L4&lt;='7'!$V4,"Shr",'4'!L4),'4'!L4))))</f>
        <v>-</v>
      </c>
      <c r="M5" s="19" t="str">
        <f>IF(ISBLANK('Raw counts'!M5),"",IF('7'!$V4=1,IF('3'!M4='7'!$V4,"Sol",'4'!M4),IF('7'!$V4=2,IF('3'!M4&lt;='7'!$V4,"Dua",'4'!M4),IF('7'!$V4&gt;=3,IF('3'!M4&lt;='7'!$V4,"Shr",'4'!M4),'4'!M4))))</f>
        <v/>
      </c>
      <c r="N5" s="19" t="str">
        <f>IF(ISBLANK('Raw counts'!N5),"",IF('7'!$V4=1,IF('3'!N4='7'!$V4,"Sol",'4'!N4),IF('7'!$V4=2,IF('3'!N4&lt;='7'!$V4,"Dua",'4'!N4),IF('7'!$V4&gt;=3,IF('3'!N4&lt;='7'!$V4,"Shr",'4'!N4),'4'!N4))))</f>
        <v/>
      </c>
      <c r="O5" s="19" t="str">
        <f>IF(ISBLANK('Raw counts'!O5),"",IF('7'!$V4=1,IF('3'!O4='7'!$V4,"Sol",'4'!O4),IF('7'!$V4=2,IF('3'!O4&lt;='7'!$V4,"Dua",'4'!O4),IF('7'!$V4&gt;=3,IF('3'!O4&lt;='7'!$V4,"Shr",'4'!O4),'4'!O4))))</f>
        <v/>
      </c>
      <c r="P5" s="19" t="str">
        <f>IF(ISBLANK('Raw counts'!P5),"",IF('7'!$V4=1,IF('3'!P4='7'!$V4,"Sol",'4'!P4),IF('7'!$V4=2,IF('3'!P4&lt;='7'!$V4,"Dua",'4'!P4),IF('7'!$V4&gt;=3,IF('3'!P4&lt;='7'!$V4,"Shr",'4'!P4),'4'!P4))))</f>
        <v/>
      </c>
      <c r="Q5" s="19" t="str">
        <f>IF(ISBLANK('Raw counts'!Q5),"",IF('7'!$V4=1,IF('3'!Q4='7'!$V4,"Sol",'4'!Q4),IF('7'!$V4=2,IF('3'!Q4&lt;='7'!$V4,"Dua",'4'!Q4),IF('7'!$V4&gt;=3,IF('3'!Q4&lt;='7'!$V4,"Shr",'4'!Q4),'4'!Q4))))</f>
        <v/>
      </c>
      <c r="R5" s="19" t="str">
        <f>IF(ISBLANK('Raw counts'!R5),"",IF('7'!$V4=1,IF('3'!R4='7'!$V4,"Sol",'4'!R4),IF('7'!$V4=2,IF('3'!R4&lt;='7'!$V4,"Dua",'4'!R4),IF('7'!$V4&gt;=3,IF('3'!R4&lt;='7'!$V4,"Shr",'4'!R4),'4'!R4))))</f>
        <v/>
      </c>
      <c r="S5" s="19" t="str">
        <f>IF(ISBLANK('Raw counts'!S5),"",IF('7'!$V4=1,IF('3'!S4='7'!$V4,"Sol",'4'!S4),IF('7'!$V4=2,IF('3'!S4&lt;='7'!$V4,"Dua",'4'!S4),IF('7'!$V4&gt;=3,IF('3'!S4&lt;='7'!$V4,"Shr",'4'!S4),'4'!S4))))</f>
        <v/>
      </c>
      <c r="T5" s="19" t="str">
        <f>IF(ISBLANK('Raw counts'!T5),"",IF('7'!$V4=1,IF('3'!T4='7'!$V4,"Sol",'4'!T4),IF('7'!$V4=2,IF('3'!T4&lt;='7'!$V4,"Dua",'4'!T4),IF('7'!$V4&gt;=3,IF('3'!T4&lt;='7'!$V4,"Shr",'4'!T4),'4'!T4))))</f>
        <v/>
      </c>
      <c r="U5" s="19" t="str">
        <f>IF(ISBLANK('Raw counts'!U5),"",IF('7'!$V4=1,IF('3'!U4='7'!$V4,"Sol",'4'!U4),IF('7'!$V4=2,IF('3'!U4&lt;='7'!$V4,"Dua",'4'!U4),IF('7'!$V4&gt;=3,IF('3'!U4&lt;='7'!$V4,"Shr",'4'!U4),'4'!U4))))</f>
        <v/>
      </c>
    </row>
    <row r="6" spans="1:21" ht="25.5" x14ac:dyDescent="0.15">
      <c r="A6" s="18" t="str">
        <f>IF(ISBLANK('Raw counts'!A6),"",'Raw counts'!A6)</f>
        <v xml:space="preserve">Doesn't offer enough variety or versions in the store/online                </v>
      </c>
      <c r="B6" s="19" t="str">
        <f>IF(ISBLANK('Raw counts'!B6),"",IF('7'!$V5=1,IF('3'!B5='7'!$V5,"Sol",'4'!B5),IF('7'!$V5=2,IF('3'!B5&lt;='7'!$V5,"Dua",'4'!B5),IF('7'!$V5&gt;=3,IF('3'!B5&lt;='7'!$V5,"Shr",'4'!B5),'4'!B5))))</f>
        <v>+</v>
      </c>
      <c r="C6" s="19" t="str">
        <f>IF(ISBLANK('Raw counts'!C6),"",IF('7'!$V5=1,IF('3'!C5='7'!$V5,"Sol",'4'!C5),IF('7'!$V5=2,IF('3'!C5&lt;='7'!$V5,"Dua",'4'!C5),IF('7'!$V5&gt;=3,IF('3'!C5&lt;='7'!$V5,"Shr",'4'!C5),'4'!C5))))</f>
        <v>-</v>
      </c>
      <c r="D6" s="19" t="str">
        <f>IF(ISBLANK('Raw counts'!D6),"",IF('7'!$V5=1,IF('3'!D5='7'!$V5,"Sol",'4'!D5),IF('7'!$V5=2,IF('3'!D5&lt;='7'!$V5,"Dua",'4'!D5),IF('7'!$V5&gt;=3,IF('3'!D5&lt;='7'!$V5,"Shr",'4'!D5),'4'!D5))))</f>
        <v>-</v>
      </c>
      <c r="E6" s="19" t="str">
        <f>IF(ISBLANK('Raw counts'!E6),"",IF('7'!$V5=1,IF('3'!E5='7'!$V5,"Sol",'4'!E5),IF('7'!$V5=2,IF('3'!E5&lt;='7'!$V5,"Dua",'4'!E5),IF('7'!$V5&gt;=3,IF('3'!E5&lt;='7'!$V5,"Shr",'4'!E5),'4'!E5))))</f>
        <v>-</v>
      </c>
      <c r="F6" s="19" t="str">
        <f>IF(ISBLANK('Raw counts'!F6),"",IF('7'!$V5=1,IF('3'!F5='7'!$V5,"Sol",'4'!F5),IF('7'!$V5=2,IF('3'!F5&lt;='7'!$V5,"Dua",'4'!F5),IF('7'!$V5&gt;=3,IF('3'!F5&lt;='7'!$V5,"Shr",'4'!F5),'4'!F5))))</f>
        <v>+1</v>
      </c>
      <c r="G6" s="19" t="str">
        <f>IF(ISBLANK('Raw counts'!G6),"",IF('7'!$V5=1,IF('3'!G5='7'!$V5,"Sol",'4'!G5),IF('7'!$V5=2,IF('3'!G5&lt;='7'!$V5,"Dua",'4'!G5),IF('7'!$V5&gt;=3,IF('3'!G5&lt;='7'!$V5,"Shr",'4'!G5),'4'!G5))))</f>
        <v>Sol</v>
      </c>
      <c r="H6" s="19" t="str">
        <f>IF(ISBLANK('Raw counts'!H6),"",IF('7'!$V5=1,IF('3'!H5='7'!$V5,"Sol",'4'!H5),IF('7'!$V5=2,IF('3'!H5&lt;='7'!$V5,"Dua",'4'!H5),IF('7'!$V5&gt;=3,IF('3'!H5&lt;='7'!$V5,"Shr",'4'!H5),'4'!H5))))</f>
        <v>-1</v>
      </c>
      <c r="I6" s="19" t="str">
        <f>IF(ISBLANK('Raw counts'!I6),"",IF('7'!$V5=1,IF('3'!I5='7'!$V5,"Sol",'4'!I5),IF('7'!$V5=2,IF('3'!I5&lt;='7'!$V5,"Dua",'4'!I5),IF('7'!$V5&gt;=3,IF('3'!I5&lt;='7'!$V5,"Shr",'4'!I5),'4'!I5))))</f>
        <v>-</v>
      </c>
      <c r="J6" s="19" t="str">
        <f>IF(ISBLANK('Raw counts'!J6),"",IF('7'!$V5=1,IF('3'!J5='7'!$V5,"Sol",'4'!J5),IF('7'!$V5=2,IF('3'!J5&lt;='7'!$V5,"Dua",'4'!J5),IF('7'!$V5&gt;=3,IF('3'!J5&lt;='7'!$V5,"Shr",'4'!J5),'4'!J5))))</f>
        <v>-</v>
      </c>
      <c r="K6" s="19" t="str">
        <f>IF(ISBLANK('Raw counts'!K6),"",IF('7'!$V5=1,IF('3'!K5='7'!$V5,"Sol",'4'!K5),IF('7'!$V5=2,IF('3'!K5&lt;='7'!$V5,"Dua",'4'!K5),IF('7'!$V5&gt;=3,IF('3'!K5&lt;='7'!$V5,"Shr",'4'!K5),'4'!K5))))</f>
        <v>-</v>
      </c>
      <c r="L6" s="19" t="str">
        <f>IF(ISBLANK('Raw counts'!L6),"",IF('7'!$V5=1,IF('3'!L5='7'!$V5,"Sol",'4'!L5),IF('7'!$V5=2,IF('3'!L5&lt;='7'!$V5,"Dua",'4'!L5),IF('7'!$V5&gt;=3,IF('3'!L5&lt;='7'!$V5,"Shr",'4'!L5),'4'!L5))))</f>
        <v>-</v>
      </c>
      <c r="M6" s="19" t="str">
        <f>IF(ISBLANK('Raw counts'!M6),"",IF('7'!$V5=1,IF('3'!M5='7'!$V5,"Sol",'4'!M5),IF('7'!$V5=2,IF('3'!M5&lt;='7'!$V5,"Dua",'4'!M5),IF('7'!$V5&gt;=3,IF('3'!M5&lt;='7'!$V5,"Shr",'4'!M5),'4'!M5))))</f>
        <v/>
      </c>
      <c r="N6" s="19" t="str">
        <f>IF(ISBLANK('Raw counts'!N6),"",IF('7'!$V5=1,IF('3'!N5='7'!$V5,"Sol",'4'!N5),IF('7'!$V5=2,IF('3'!N5&lt;='7'!$V5,"Dua",'4'!N5),IF('7'!$V5&gt;=3,IF('3'!N5&lt;='7'!$V5,"Shr",'4'!N5),'4'!N5))))</f>
        <v/>
      </c>
      <c r="O6" s="19" t="str">
        <f>IF(ISBLANK('Raw counts'!O6),"",IF('7'!$V5=1,IF('3'!O5='7'!$V5,"Sol",'4'!O5),IF('7'!$V5=2,IF('3'!O5&lt;='7'!$V5,"Dua",'4'!O5),IF('7'!$V5&gt;=3,IF('3'!O5&lt;='7'!$V5,"Shr",'4'!O5),'4'!O5))))</f>
        <v/>
      </c>
      <c r="P6" s="19" t="str">
        <f>IF(ISBLANK('Raw counts'!P6),"",IF('7'!$V5=1,IF('3'!P5='7'!$V5,"Sol",'4'!P5),IF('7'!$V5=2,IF('3'!P5&lt;='7'!$V5,"Dua",'4'!P5),IF('7'!$V5&gt;=3,IF('3'!P5&lt;='7'!$V5,"Shr",'4'!P5),'4'!P5))))</f>
        <v/>
      </c>
      <c r="Q6" s="19" t="str">
        <f>IF(ISBLANK('Raw counts'!Q6),"",IF('7'!$V5=1,IF('3'!Q5='7'!$V5,"Sol",'4'!Q5),IF('7'!$V5=2,IF('3'!Q5&lt;='7'!$V5,"Dua",'4'!Q5),IF('7'!$V5&gt;=3,IF('3'!Q5&lt;='7'!$V5,"Shr",'4'!Q5),'4'!Q5))))</f>
        <v/>
      </c>
      <c r="R6" s="19" t="str">
        <f>IF(ISBLANK('Raw counts'!R6),"",IF('7'!$V5=1,IF('3'!R5='7'!$V5,"Sol",'4'!R5),IF('7'!$V5=2,IF('3'!R5&lt;='7'!$V5,"Dua",'4'!R5),IF('7'!$V5&gt;=3,IF('3'!R5&lt;='7'!$V5,"Shr",'4'!R5),'4'!R5))))</f>
        <v/>
      </c>
      <c r="S6" s="19" t="str">
        <f>IF(ISBLANK('Raw counts'!S6),"",IF('7'!$V5=1,IF('3'!S5='7'!$V5,"Sol",'4'!S5),IF('7'!$V5=2,IF('3'!S5&lt;='7'!$V5,"Dua",'4'!S5),IF('7'!$V5&gt;=3,IF('3'!S5&lt;='7'!$V5,"Shr",'4'!S5),'4'!S5))))</f>
        <v/>
      </c>
      <c r="T6" s="19" t="str">
        <f>IF(ISBLANK('Raw counts'!T6),"",IF('7'!$V5=1,IF('3'!T5='7'!$V5,"Sol",'4'!T5),IF('7'!$V5=2,IF('3'!T5&lt;='7'!$V5,"Dua",'4'!T5),IF('7'!$V5&gt;=3,IF('3'!T5&lt;='7'!$V5,"Shr",'4'!T5),'4'!T5))))</f>
        <v/>
      </c>
      <c r="U6" s="19" t="str">
        <f>IF(ISBLANK('Raw counts'!U6),"",IF('7'!$V5=1,IF('3'!U5='7'!$V5,"Sol",'4'!U5),IF('7'!$V5=2,IF('3'!U5&lt;='7'!$V5,"Dua",'4'!U5),IF('7'!$V5&gt;=3,IF('3'!U5&lt;='7'!$V5,"Shr",'4'!U5),'4'!U5))))</f>
        <v/>
      </c>
    </row>
    <row r="7" spans="1:21" ht="25.5" x14ac:dyDescent="0.15">
      <c r="A7" s="18" t="str">
        <f>IF(ISBLANK('Raw counts'!A7),"",'Raw counts'!A7)</f>
        <v xml:space="preserve">Doesn't offer newest/latest products                                        </v>
      </c>
      <c r="B7" s="19" t="str">
        <f>IF(ISBLANK('Raw counts'!B7),"",IF('7'!$V6=1,IF('3'!B6='7'!$V6,"Sol",'4'!B6),IF('7'!$V6=2,IF('3'!B6&lt;='7'!$V6,"Dua",'4'!B6),IF('7'!$V6&gt;=3,IF('3'!B6&lt;='7'!$V6,"Shr",'4'!B6),'4'!B6))))</f>
        <v>-</v>
      </c>
      <c r="C7" s="19" t="str">
        <f>IF(ISBLANK('Raw counts'!C7),"",IF('7'!$V6=1,IF('3'!C6='7'!$V6,"Sol",'4'!C6),IF('7'!$V6=2,IF('3'!C6&lt;='7'!$V6,"Dua",'4'!C6),IF('7'!$V6&gt;=3,IF('3'!C6&lt;='7'!$V6,"Shr",'4'!C6),'4'!C6))))</f>
        <v>+</v>
      </c>
      <c r="D7" s="19" t="str">
        <f>IF(ISBLANK('Raw counts'!D7),"",IF('7'!$V6=1,IF('3'!D6='7'!$V6,"Sol",'4'!D6),IF('7'!$V6=2,IF('3'!D6&lt;='7'!$V6,"Dua",'4'!D6),IF('7'!$V6&gt;=3,IF('3'!D6&lt;='7'!$V6,"Shr",'4'!D6),'4'!D6))))</f>
        <v>-</v>
      </c>
      <c r="E7" s="19" t="str">
        <f>IF(ISBLANK('Raw counts'!E7),"",IF('7'!$V6=1,IF('3'!E6='7'!$V6,"Sol",'4'!E6),IF('7'!$V6=2,IF('3'!E6&lt;='7'!$V6,"Dua",'4'!E6),IF('7'!$V6&gt;=3,IF('3'!E6&lt;='7'!$V6,"Shr",'4'!E6),'4'!E6))))</f>
        <v>+</v>
      </c>
      <c r="F7" s="19" t="str">
        <f>IF(ISBLANK('Raw counts'!F7),"",IF('7'!$V6=1,IF('3'!F6='7'!$V6,"Sol",'4'!F6),IF('7'!$V6=2,IF('3'!F6&lt;='7'!$V6,"Dua",'4'!F6),IF('7'!$V6&gt;=3,IF('3'!F6&lt;='7'!$V6,"Shr",'4'!F6),'4'!F6))))</f>
        <v>+1</v>
      </c>
      <c r="G7" s="19" t="str">
        <f>IF(ISBLANK('Raw counts'!G7),"",IF('7'!$V6=1,IF('3'!G6='7'!$V6,"Sol",'4'!G6),IF('7'!$V6=2,IF('3'!G6&lt;='7'!$V6,"Dua",'4'!G6),IF('7'!$V6&gt;=3,IF('3'!G6&lt;='7'!$V6,"Shr",'4'!G6),'4'!G6))))</f>
        <v>+</v>
      </c>
      <c r="H7" s="19" t="str">
        <f>IF(ISBLANK('Raw counts'!H7),"",IF('7'!$V6=1,IF('3'!H6='7'!$V6,"Sol",'4'!H6),IF('7'!$V6=2,IF('3'!H6&lt;='7'!$V6,"Dua",'4'!H6),IF('7'!$V6&gt;=3,IF('3'!H6&lt;='7'!$V6,"Shr",'4'!H6),'4'!H6))))</f>
        <v>-1</v>
      </c>
      <c r="I7" s="19" t="str">
        <f>IF(ISBLANK('Raw counts'!I7),"",IF('7'!$V6=1,IF('3'!I6='7'!$V6,"Sol",'4'!I6),IF('7'!$V6=2,IF('3'!I6&lt;='7'!$V6,"Dua",'4'!I6),IF('7'!$V6&gt;=3,IF('3'!I6&lt;='7'!$V6,"Shr",'4'!I6),'4'!I6))))</f>
        <v>+</v>
      </c>
      <c r="J7" s="19" t="str">
        <f>IF(ISBLANK('Raw counts'!J7),"",IF('7'!$V6=1,IF('3'!J6='7'!$V6,"Sol",'4'!J6),IF('7'!$V6=2,IF('3'!J6&lt;='7'!$V6,"Dua",'4'!J6),IF('7'!$V6&gt;=3,IF('3'!J6&lt;='7'!$V6,"Shr",'4'!J6),'4'!J6))))</f>
        <v>+</v>
      </c>
      <c r="K7" s="19" t="str">
        <f>IF(ISBLANK('Raw counts'!K7),"",IF('7'!$V6=1,IF('3'!K6='7'!$V6,"Sol",'4'!K6),IF('7'!$V6=2,IF('3'!K6&lt;='7'!$V6,"Dua",'4'!K6),IF('7'!$V6&gt;=3,IF('3'!K6&lt;='7'!$V6,"Shr",'4'!K6),'4'!K6))))</f>
        <v>+</v>
      </c>
      <c r="L7" s="19" t="str">
        <f>IF(ISBLANK('Raw counts'!L7),"",IF('7'!$V6=1,IF('3'!L6='7'!$V6,"Sol",'4'!L6),IF('7'!$V6=2,IF('3'!L6&lt;='7'!$V6,"Dua",'4'!L6),IF('7'!$V6&gt;=3,IF('3'!L6&lt;='7'!$V6,"Shr",'4'!L6),'4'!L6))))</f>
        <v>-</v>
      </c>
      <c r="M7" s="19" t="str">
        <f>IF(ISBLANK('Raw counts'!M7),"",IF('7'!$V6=1,IF('3'!M6='7'!$V6,"Sol",'4'!M6),IF('7'!$V6=2,IF('3'!M6&lt;='7'!$V6,"Dua",'4'!M6),IF('7'!$V6&gt;=3,IF('3'!M6&lt;='7'!$V6,"Shr",'4'!M6),'4'!M6))))</f>
        <v/>
      </c>
      <c r="N7" s="19" t="str">
        <f>IF(ISBLANK('Raw counts'!N7),"",IF('7'!$V6=1,IF('3'!N6='7'!$V6,"Sol",'4'!N6),IF('7'!$V6=2,IF('3'!N6&lt;='7'!$V6,"Dua",'4'!N6),IF('7'!$V6&gt;=3,IF('3'!N6&lt;='7'!$V6,"Shr",'4'!N6),'4'!N6))))</f>
        <v/>
      </c>
      <c r="O7" s="19" t="str">
        <f>IF(ISBLANK('Raw counts'!O7),"",IF('7'!$V6=1,IF('3'!O6='7'!$V6,"Sol",'4'!O6),IF('7'!$V6=2,IF('3'!O6&lt;='7'!$V6,"Dua",'4'!O6),IF('7'!$V6&gt;=3,IF('3'!O6&lt;='7'!$V6,"Shr",'4'!O6),'4'!O6))))</f>
        <v/>
      </c>
      <c r="P7" s="19" t="str">
        <f>IF(ISBLANK('Raw counts'!P7),"",IF('7'!$V6=1,IF('3'!P6='7'!$V6,"Sol",'4'!P6),IF('7'!$V6=2,IF('3'!P6&lt;='7'!$V6,"Dua",'4'!P6),IF('7'!$V6&gt;=3,IF('3'!P6&lt;='7'!$V6,"Shr",'4'!P6),'4'!P6))))</f>
        <v/>
      </c>
      <c r="Q7" s="19" t="str">
        <f>IF(ISBLANK('Raw counts'!Q7),"",IF('7'!$V6=1,IF('3'!Q6='7'!$V6,"Sol",'4'!Q6),IF('7'!$V6=2,IF('3'!Q6&lt;='7'!$V6,"Dua",'4'!Q6),IF('7'!$V6&gt;=3,IF('3'!Q6&lt;='7'!$V6,"Shr",'4'!Q6),'4'!Q6))))</f>
        <v/>
      </c>
      <c r="R7" s="19" t="str">
        <f>IF(ISBLANK('Raw counts'!R7),"",IF('7'!$V6=1,IF('3'!R6='7'!$V6,"Sol",'4'!R6),IF('7'!$V6=2,IF('3'!R6&lt;='7'!$V6,"Dua",'4'!R6),IF('7'!$V6&gt;=3,IF('3'!R6&lt;='7'!$V6,"Shr",'4'!R6),'4'!R6))))</f>
        <v/>
      </c>
      <c r="S7" s="19" t="str">
        <f>IF(ISBLANK('Raw counts'!S7),"",IF('7'!$V6=1,IF('3'!S6='7'!$V6,"Sol",'4'!S6),IF('7'!$V6=2,IF('3'!S6&lt;='7'!$V6,"Dua",'4'!S6),IF('7'!$V6&gt;=3,IF('3'!S6&lt;='7'!$V6,"Shr",'4'!S6),'4'!S6))))</f>
        <v/>
      </c>
      <c r="T7" s="19" t="str">
        <f>IF(ISBLANK('Raw counts'!T7),"",IF('7'!$V6=1,IF('3'!T6='7'!$V6,"Sol",'4'!T6),IF('7'!$V6=2,IF('3'!T6&lt;='7'!$V6,"Dua",'4'!T6),IF('7'!$V6&gt;=3,IF('3'!T6&lt;='7'!$V6,"Shr",'4'!T6),'4'!T6))))</f>
        <v/>
      </c>
      <c r="U7" s="19" t="str">
        <f>IF(ISBLANK('Raw counts'!U7),"",IF('7'!$V6=1,IF('3'!U6='7'!$V6,"Sol",'4'!U6),IF('7'!$V6=2,IF('3'!U6&lt;='7'!$V6,"Dua",'4'!U6),IF('7'!$V6&gt;=3,IF('3'!U6&lt;='7'!$V6,"Shr",'4'!U6),'4'!U6))))</f>
        <v/>
      </c>
    </row>
    <row r="8" spans="1:21" ht="25.5" x14ac:dyDescent="0.15">
      <c r="A8" s="18" t="str">
        <f>IF(ISBLANK('Raw counts'!A8),"",'Raw counts'!A8)</f>
        <v xml:space="preserve">Brand not carried in the store/online                                       </v>
      </c>
      <c r="B8" s="19" t="str">
        <f>IF(ISBLANK('Raw counts'!B8),"",IF('7'!$V7=1,IF('3'!B7='7'!$V7,"Sol",'4'!B7),IF('7'!$V7=2,IF('3'!B7&lt;='7'!$V7,"Dua",'4'!B7),IF('7'!$V7&gt;=3,IF('3'!B7&lt;='7'!$V7,"Shr",'4'!B7),'4'!B7))))</f>
        <v>+</v>
      </c>
      <c r="C8" s="19" t="str">
        <f>IF(ISBLANK('Raw counts'!C8),"",IF('7'!$V7=1,IF('3'!C7='7'!$V7,"Sol",'4'!C7),IF('7'!$V7=2,IF('3'!C7&lt;='7'!$V7,"Dua",'4'!C7),IF('7'!$V7&gt;=3,IF('3'!C7&lt;='7'!$V7,"Shr",'4'!C7),'4'!C7))))</f>
        <v>+</v>
      </c>
      <c r="D8" s="19" t="str">
        <f>IF(ISBLANK('Raw counts'!D8),"",IF('7'!$V7=1,IF('3'!D7='7'!$V7,"Sol",'4'!D7),IF('7'!$V7=2,IF('3'!D7&lt;='7'!$V7,"Dua",'4'!D7),IF('7'!$V7&gt;=3,IF('3'!D7&lt;='7'!$V7,"Shr",'4'!D7),'4'!D7))))</f>
        <v>+</v>
      </c>
      <c r="E8" s="19" t="str">
        <f>IF(ISBLANK('Raw counts'!E8),"",IF('7'!$V7=1,IF('3'!E7='7'!$V7,"Sol",'4'!E7),IF('7'!$V7=2,IF('3'!E7&lt;='7'!$V7,"Dua",'4'!E7),IF('7'!$V7&gt;=3,IF('3'!E7&lt;='7'!$V7,"Shr",'4'!E7),'4'!E7))))</f>
        <v>+</v>
      </c>
      <c r="F8" s="19" t="str">
        <f>IF(ISBLANK('Raw counts'!F8),"",IF('7'!$V7=1,IF('3'!F7='7'!$V7,"Sol",'4'!F7),IF('7'!$V7=2,IF('3'!F7&lt;='7'!$V7,"Dua",'4'!F7),IF('7'!$V7&gt;=3,IF('3'!F7&lt;='7'!$V7,"Shr",'4'!F7),'4'!F7))))</f>
        <v>-</v>
      </c>
      <c r="G8" s="19" t="str">
        <f>IF(ISBLANK('Raw counts'!G8),"",IF('7'!$V7=1,IF('3'!G7='7'!$V7,"Sol",'4'!G7),IF('7'!$V7=2,IF('3'!G7&lt;='7'!$V7,"Dua",'4'!G7),IF('7'!$V7&gt;=3,IF('3'!G7&lt;='7'!$V7,"Shr",'4'!G7),'4'!G7))))</f>
        <v>+1</v>
      </c>
      <c r="H8" s="19" t="str">
        <f>IF(ISBLANK('Raw counts'!H8),"",IF('7'!$V7=1,IF('3'!H7='7'!$V7,"Sol",'4'!H7),IF('7'!$V7=2,IF('3'!H7&lt;='7'!$V7,"Dua",'4'!H7),IF('7'!$V7&gt;=3,IF('3'!H7&lt;='7'!$V7,"Shr",'4'!H7),'4'!H7))))</f>
        <v>-1</v>
      </c>
      <c r="I8" s="19" t="str">
        <f>IF(ISBLANK('Raw counts'!I8),"",IF('7'!$V7=1,IF('3'!I7='7'!$V7,"Sol",'4'!I7),IF('7'!$V7=2,IF('3'!I7&lt;='7'!$V7,"Dua",'4'!I7),IF('7'!$V7&gt;=3,IF('3'!I7&lt;='7'!$V7,"Shr",'4'!I7),'4'!I7))))</f>
        <v>+</v>
      </c>
      <c r="J8" s="19" t="str">
        <f>IF(ISBLANK('Raw counts'!J8),"",IF('7'!$V7=1,IF('3'!J7='7'!$V7,"Sol",'4'!J7),IF('7'!$V7=2,IF('3'!J7&lt;='7'!$V7,"Dua",'4'!J7),IF('7'!$V7&gt;=3,IF('3'!J7&lt;='7'!$V7,"Shr",'4'!J7),'4'!J7))))</f>
        <v>+</v>
      </c>
      <c r="K8" s="19" t="str">
        <f>IF(ISBLANK('Raw counts'!K8),"",IF('7'!$V7=1,IF('3'!K7='7'!$V7,"Sol",'4'!K7),IF('7'!$V7=2,IF('3'!K7&lt;='7'!$V7,"Dua",'4'!K7),IF('7'!$V7&gt;=3,IF('3'!K7&lt;='7'!$V7,"Shr",'4'!K7),'4'!K7))))</f>
        <v>-</v>
      </c>
      <c r="L8" s="19" t="str">
        <f>IF(ISBLANK('Raw counts'!L8),"",IF('7'!$V7=1,IF('3'!L7='7'!$V7,"Sol",'4'!L7),IF('7'!$V7=2,IF('3'!L7&lt;='7'!$V7,"Dua",'4'!L7),IF('7'!$V7&gt;=3,IF('3'!L7&lt;='7'!$V7,"Shr",'4'!L7),'4'!L7))))</f>
        <v>+</v>
      </c>
      <c r="M8" s="19" t="str">
        <f>IF(ISBLANK('Raw counts'!M8),"",IF('7'!$V7=1,IF('3'!M7='7'!$V7,"Sol",'4'!M7),IF('7'!$V7=2,IF('3'!M7&lt;='7'!$V7,"Dua",'4'!M7),IF('7'!$V7&gt;=3,IF('3'!M7&lt;='7'!$V7,"Shr",'4'!M7),'4'!M7))))</f>
        <v/>
      </c>
      <c r="N8" s="19" t="str">
        <f>IF(ISBLANK('Raw counts'!N8),"",IF('7'!$V7=1,IF('3'!N7='7'!$V7,"Sol",'4'!N7),IF('7'!$V7=2,IF('3'!N7&lt;='7'!$V7,"Dua",'4'!N7),IF('7'!$V7&gt;=3,IF('3'!N7&lt;='7'!$V7,"Shr",'4'!N7),'4'!N7))))</f>
        <v/>
      </c>
      <c r="O8" s="19" t="str">
        <f>IF(ISBLANK('Raw counts'!O8),"",IF('7'!$V7=1,IF('3'!O7='7'!$V7,"Sol",'4'!O7),IF('7'!$V7=2,IF('3'!O7&lt;='7'!$V7,"Dua",'4'!O7),IF('7'!$V7&gt;=3,IF('3'!O7&lt;='7'!$V7,"Shr",'4'!O7),'4'!O7))))</f>
        <v/>
      </c>
      <c r="P8" s="19" t="str">
        <f>IF(ISBLANK('Raw counts'!P8),"",IF('7'!$V7=1,IF('3'!P7='7'!$V7,"Sol",'4'!P7),IF('7'!$V7=2,IF('3'!P7&lt;='7'!$V7,"Dua",'4'!P7),IF('7'!$V7&gt;=3,IF('3'!P7&lt;='7'!$V7,"Shr",'4'!P7),'4'!P7))))</f>
        <v/>
      </c>
      <c r="Q8" s="19" t="str">
        <f>IF(ISBLANK('Raw counts'!Q8),"",IF('7'!$V7=1,IF('3'!Q7='7'!$V7,"Sol",'4'!Q7),IF('7'!$V7=2,IF('3'!Q7&lt;='7'!$V7,"Dua",'4'!Q7),IF('7'!$V7&gt;=3,IF('3'!Q7&lt;='7'!$V7,"Shr",'4'!Q7),'4'!Q7))))</f>
        <v/>
      </c>
      <c r="R8" s="19" t="str">
        <f>IF(ISBLANK('Raw counts'!R8),"",IF('7'!$V7=1,IF('3'!R7='7'!$V7,"Sol",'4'!R7),IF('7'!$V7=2,IF('3'!R7&lt;='7'!$V7,"Dua",'4'!R7),IF('7'!$V7&gt;=3,IF('3'!R7&lt;='7'!$V7,"Shr",'4'!R7),'4'!R7))))</f>
        <v/>
      </c>
      <c r="S8" s="19" t="str">
        <f>IF(ISBLANK('Raw counts'!S8),"",IF('7'!$V7=1,IF('3'!S7='7'!$V7,"Sol",'4'!S7),IF('7'!$V7=2,IF('3'!S7&lt;='7'!$V7,"Dua",'4'!S7),IF('7'!$V7&gt;=3,IF('3'!S7&lt;='7'!$V7,"Shr",'4'!S7),'4'!S7))))</f>
        <v/>
      </c>
      <c r="T8" s="19" t="str">
        <f>IF(ISBLANK('Raw counts'!T8),"",IF('7'!$V7=1,IF('3'!T7='7'!$V7,"Sol",'4'!T7),IF('7'!$V7=2,IF('3'!T7&lt;='7'!$V7,"Dua",'4'!T7),IF('7'!$V7&gt;=3,IF('3'!T7&lt;='7'!$V7,"Shr",'4'!T7),'4'!T7))))</f>
        <v/>
      </c>
      <c r="U8" s="19" t="str">
        <f>IF(ISBLANK('Raw counts'!U8),"",IF('7'!$V7=1,IF('3'!U7='7'!$V7,"Sol",'4'!U7),IF('7'!$V7=2,IF('3'!U7&lt;='7'!$V7,"Dua",'4'!U7),IF('7'!$V7&gt;=3,IF('3'!U7&lt;='7'!$V7,"Shr",'4'!U7),'4'!U7))))</f>
        <v/>
      </c>
    </row>
    <row r="9" spans="1:21" ht="25.5" x14ac:dyDescent="0.15">
      <c r="A9" s="18" t="str">
        <f>IF(ISBLANK('Raw counts'!A9),"",'Raw counts'!A9)</f>
        <v xml:space="preserve">Often out of stock                                                          </v>
      </c>
      <c r="B9" s="19" t="str">
        <f>IF(ISBLANK('Raw counts'!B9),"",IF('7'!$V8=1,IF('3'!B8='7'!$V8,"Sol",'4'!B8),IF('7'!$V8=2,IF('3'!B8&lt;='7'!$V8,"Dua",'4'!B8),IF('7'!$V8&gt;=3,IF('3'!B8&lt;='7'!$V8,"Shr",'4'!B8),'4'!B8))))</f>
        <v>+</v>
      </c>
      <c r="C9" s="19" t="str">
        <f>IF(ISBLANK('Raw counts'!C9),"",IF('7'!$V8=1,IF('3'!C8='7'!$V8,"Sol",'4'!C8),IF('7'!$V8=2,IF('3'!C8&lt;='7'!$V8,"Dua",'4'!C8),IF('7'!$V8&gt;=3,IF('3'!C8&lt;='7'!$V8,"Shr",'4'!C8),'4'!C8))))</f>
        <v>-</v>
      </c>
      <c r="D9" s="19" t="str">
        <f>IF(ISBLANK('Raw counts'!D9),"",IF('7'!$V8=1,IF('3'!D8='7'!$V8,"Sol",'4'!D8),IF('7'!$V8=2,IF('3'!D8&lt;='7'!$V8,"Dua",'4'!D8),IF('7'!$V8&gt;=3,IF('3'!D8&lt;='7'!$V8,"Shr",'4'!D8),'4'!D8))))</f>
        <v>-</v>
      </c>
      <c r="E9" s="19" t="str">
        <f>IF(ISBLANK('Raw counts'!E9),"",IF('7'!$V8=1,IF('3'!E8='7'!$V8,"Sol",'4'!E8),IF('7'!$V8=2,IF('3'!E8&lt;='7'!$V8,"Dua",'4'!E8),IF('7'!$V8&gt;=3,IF('3'!E8&lt;='7'!$V8,"Shr",'4'!E8),'4'!E8))))</f>
        <v>+</v>
      </c>
      <c r="F9" s="19" t="str">
        <f>IF(ISBLANK('Raw counts'!F9),"",IF('7'!$V8=1,IF('3'!F8='7'!$V8,"Sol",'4'!F8),IF('7'!$V8=2,IF('3'!F8&lt;='7'!$V8,"Dua",'4'!F8),IF('7'!$V8&gt;=3,IF('3'!F8&lt;='7'!$V8,"Shr",'4'!F8),'4'!F8))))</f>
        <v>-</v>
      </c>
      <c r="G9" s="19" t="str">
        <f>IF(ISBLANK('Raw counts'!G9),"",IF('7'!$V8=1,IF('3'!G8='7'!$V8,"Sol",'4'!G8),IF('7'!$V8=2,IF('3'!G8&lt;='7'!$V8,"Dua",'4'!G8),IF('7'!$V8&gt;=3,IF('3'!G8&lt;='7'!$V8,"Shr",'4'!G8),'4'!G8))))</f>
        <v>-</v>
      </c>
      <c r="H9" s="19" t="str">
        <f>IF(ISBLANK('Raw counts'!H9),"",IF('7'!$V8=1,IF('3'!H8='7'!$V8,"Sol",'4'!H8),IF('7'!$V8=2,IF('3'!H8&lt;='7'!$V8,"Dua",'4'!H8),IF('7'!$V8&gt;=3,IF('3'!H8&lt;='7'!$V8,"Shr",'4'!H8),'4'!H8))))</f>
        <v>+</v>
      </c>
      <c r="I9" s="19" t="str">
        <f>IF(ISBLANK('Raw counts'!I9),"",IF('7'!$V8=1,IF('3'!I8='7'!$V8,"Sol",'4'!I8),IF('7'!$V8=2,IF('3'!I8&lt;='7'!$V8,"Dua",'4'!I8),IF('7'!$V8&gt;=3,IF('3'!I8&lt;='7'!$V8,"Shr",'4'!I8),'4'!I8))))</f>
        <v>Sol</v>
      </c>
      <c r="J9" s="19" t="str">
        <f>IF(ISBLANK('Raw counts'!J9),"",IF('7'!$V8=1,IF('3'!J8='7'!$V8,"Sol",'4'!J8),IF('7'!$V8=2,IF('3'!J8&lt;='7'!$V8,"Dua",'4'!J8),IF('7'!$V8&gt;=3,IF('3'!J8&lt;='7'!$V8,"Shr",'4'!J8),'4'!J8))))</f>
        <v>-</v>
      </c>
      <c r="K9" s="19" t="str">
        <f>IF(ISBLANK('Raw counts'!K9),"",IF('7'!$V8=1,IF('3'!K8='7'!$V8,"Sol",'4'!K8),IF('7'!$V8=2,IF('3'!K8&lt;='7'!$V8,"Dua",'4'!K8),IF('7'!$V8&gt;=3,IF('3'!K8&lt;='7'!$V8,"Shr",'4'!K8),'4'!K8))))</f>
        <v>-</v>
      </c>
      <c r="L9" s="19" t="str">
        <f>IF(ISBLANK('Raw counts'!L9),"",IF('7'!$V8=1,IF('3'!L8='7'!$V8,"Sol",'4'!L8),IF('7'!$V8=2,IF('3'!L8&lt;='7'!$V8,"Dua",'4'!L8),IF('7'!$V8&gt;=3,IF('3'!L8&lt;='7'!$V8,"Shr",'4'!L8),'4'!L8))))</f>
        <v>+</v>
      </c>
      <c r="M9" s="19" t="str">
        <f>IF(ISBLANK('Raw counts'!M9),"",IF('7'!$V8=1,IF('3'!M8='7'!$V8,"Sol",'4'!M8),IF('7'!$V8=2,IF('3'!M8&lt;='7'!$V8,"Dua",'4'!M8),IF('7'!$V8&gt;=3,IF('3'!M8&lt;='7'!$V8,"Shr",'4'!M8),'4'!M8))))</f>
        <v/>
      </c>
      <c r="N9" s="19" t="str">
        <f>IF(ISBLANK('Raw counts'!N9),"",IF('7'!$V8=1,IF('3'!N8='7'!$V8,"Sol",'4'!N8),IF('7'!$V8=2,IF('3'!N8&lt;='7'!$V8,"Dua",'4'!N8),IF('7'!$V8&gt;=3,IF('3'!N8&lt;='7'!$V8,"Shr",'4'!N8),'4'!N8))))</f>
        <v/>
      </c>
      <c r="O9" s="19" t="str">
        <f>IF(ISBLANK('Raw counts'!O9),"",IF('7'!$V8=1,IF('3'!O8='7'!$V8,"Sol",'4'!O8),IF('7'!$V8=2,IF('3'!O8&lt;='7'!$V8,"Dua",'4'!O8),IF('7'!$V8&gt;=3,IF('3'!O8&lt;='7'!$V8,"Shr",'4'!O8),'4'!O8))))</f>
        <v/>
      </c>
      <c r="P9" s="19" t="str">
        <f>IF(ISBLANK('Raw counts'!P9),"",IF('7'!$V8=1,IF('3'!P8='7'!$V8,"Sol",'4'!P8),IF('7'!$V8=2,IF('3'!P8&lt;='7'!$V8,"Dua",'4'!P8),IF('7'!$V8&gt;=3,IF('3'!P8&lt;='7'!$V8,"Shr",'4'!P8),'4'!P8))))</f>
        <v/>
      </c>
      <c r="Q9" s="19" t="str">
        <f>IF(ISBLANK('Raw counts'!Q9),"",IF('7'!$V8=1,IF('3'!Q8='7'!$V8,"Sol",'4'!Q8),IF('7'!$V8=2,IF('3'!Q8&lt;='7'!$V8,"Dua",'4'!Q8),IF('7'!$V8&gt;=3,IF('3'!Q8&lt;='7'!$V8,"Shr",'4'!Q8),'4'!Q8))))</f>
        <v/>
      </c>
      <c r="R9" s="19" t="str">
        <f>IF(ISBLANK('Raw counts'!R9),"",IF('7'!$V8=1,IF('3'!R8='7'!$V8,"Sol",'4'!R8),IF('7'!$V8=2,IF('3'!R8&lt;='7'!$V8,"Dua",'4'!R8),IF('7'!$V8&gt;=3,IF('3'!R8&lt;='7'!$V8,"Shr",'4'!R8),'4'!R8))))</f>
        <v/>
      </c>
      <c r="S9" s="19" t="str">
        <f>IF(ISBLANK('Raw counts'!S9),"",IF('7'!$V8=1,IF('3'!S8='7'!$V8,"Sol",'4'!S8),IF('7'!$V8=2,IF('3'!S8&lt;='7'!$V8,"Dua",'4'!S8),IF('7'!$V8&gt;=3,IF('3'!S8&lt;='7'!$V8,"Shr",'4'!S8),'4'!S8))))</f>
        <v/>
      </c>
      <c r="T9" s="19" t="str">
        <f>IF(ISBLANK('Raw counts'!T9),"",IF('7'!$V8=1,IF('3'!T8='7'!$V8,"Sol",'4'!T8),IF('7'!$V8=2,IF('3'!T8&lt;='7'!$V8,"Dua",'4'!T8),IF('7'!$V8&gt;=3,IF('3'!T8&lt;='7'!$V8,"Shr",'4'!T8),'4'!T8))))</f>
        <v/>
      </c>
      <c r="U9" s="19" t="str">
        <f>IF(ISBLANK('Raw counts'!U9),"",IF('7'!$V8=1,IF('3'!U8='7'!$V8,"Sol",'4'!U8),IF('7'!$V8=2,IF('3'!U8&lt;='7'!$V8,"Dua",'4'!U8),IF('7'!$V8&gt;=3,IF('3'!U8&lt;='7'!$V8,"Shr",'4'!U8),'4'!U8))))</f>
        <v/>
      </c>
    </row>
    <row r="10" spans="1:21" ht="25.5" x14ac:dyDescent="0.15">
      <c r="A10" s="18" t="str">
        <f>IF(ISBLANK('Raw counts'!A10),"",'Raw counts'!A10)</f>
        <v xml:space="preserve">Hard to find the brand in the store                                         </v>
      </c>
      <c r="B10" s="19" t="str">
        <f>IF(ISBLANK('Raw counts'!B10),"",IF('7'!$V9=1,IF('3'!B9='7'!$V9,"Sol",'4'!B9),IF('7'!$V9=2,IF('3'!B9&lt;='7'!$V9,"Dua",'4'!B9),IF('7'!$V9&gt;=3,IF('3'!B9&lt;='7'!$V9,"Shr",'4'!B9),'4'!B9))))</f>
        <v>-1</v>
      </c>
      <c r="C10" s="19" t="str">
        <f>IF(ISBLANK('Raw counts'!C10),"",IF('7'!$V9=1,IF('3'!C9='7'!$V9,"Sol",'4'!C9),IF('7'!$V9=2,IF('3'!C9&lt;='7'!$V9,"Dua",'4'!C9),IF('7'!$V9&gt;=3,IF('3'!C9&lt;='7'!$V9,"Shr",'4'!C9),'4'!C9))))</f>
        <v>+</v>
      </c>
      <c r="D10" s="19" t="str">
        <f>IF(ISBLANK('Raw counts'!D10),"",IF('7'!$V9=1,IF('3'!D9='7'!$V9,"Sol",'4'!D9),IF('7'!$V9=2,IF('3'!D9&lt;='7'!$V9,"Dua",'4'!D9),IF('7'!$V9&gt;=3,IF('3'!D9&lt;='7'!$V9,"Shr",'4'!D9),'4'!D9))))</f>
        <v>+</v>
      </c>
      <c r="E10" s="19" t="str">
        <f>IF(ISBLANK('Raw counts'!E10),"",IF('7'!$V9=1,IF('3'!E9='7'!$V9,"Sol",'4'!E9),IF('7'!$V9=2,IF('3'!E9&lt;='7'!$V9,"Dua",'4'!E9),IF('7'!$V9&gt;=3,IF('3'!E9&lt;='7'!$V9,"Shr",'4'!E9),'4'!E9))))</f>
        <v>+</v>
      </c>
      <c r="F10" s="19" t="str">
        <f>IF(ISBLANK('Raw counts'!F10),"",IF('7'!$V9=1,IF('3'!F9='7'!$V9,"Sol",'4'!F9),IF('7'!$V9=2,IF('3'!F9&lt;='7'!$V9,"Dua",'4'!F9),IF('7'!$V9&gt;=3,IF('3'!F9&lt;='7'!$V9,"Shr",'4'!F9),'4'!F9))))</f>
        <v>-</v>
      </c>
      <c r="G10" s="19" t="str">
        <f>IF(ISBLANK('Raw counts'!G10),"",IF('7'!$V9=1,IF('3'!G9='7'!$V9,"Sol",'4'!G9),IF('7'!$V9=2,IF('3'!G9&lt;='7'!$V9,"Dua",'4'!G9),IF('7'!$V9&gt;=3,IF('3'!G9&lt;='7'!$V9,"Shr",'4'!G9),'4'!G9))))</f>
        <v>+</v>
      </c>
      <c r="H10" s="19" t="str">
        <f>IF(ISBLANK('Raw counts'!H10),"",IF('7'!$V9=1,IF('3'!H9='7'!$V9,"Sol",'4'!H9),IF('7'!$V9=2,IF('3'!H9&lt;='7'!$V9,"Dua",'4'!H9),IF('7'!$V9&gt;=3,IF('3'!H9&lt;='7'!$V9,"Shr",'4'!H9),'4'!H9))))</f>
        <v>-1</v>
      </c>
      <c r="I10" s="19" t="str">
        <f>IF(ISBLANK('Raw counts'!I10),"",IF('7'!$V9=1,IF('3'!I9='7'!$V9,"Sol",'4'!I9),IF('7'!$V9=2,IF('3'!I9&lt;='7'!$V9,"Dua",'4'!I9),IF('7'!$V9&gt;=3,IF('3'!I9&lt;='7'!$V9,"Shr",'4'!I9),'4'!I9))))</f>
        <v>+</v>
      </c>
      <c r="J10" s="19" t="str">
        <f>IF(ISBLANK('Raw counts'!J10),"",IF('7'!$V9=1,IF('3'!J9='7'!$V9,"Sol",'4'!J9),IF('7'!$V9=2,IF('3'!J9&lt;='7'!$V9,"Dua",'4'!J9),IF('7'!$V9&gt;=3,IF('3'!J9&lt;='7'!$V9,"Shr",'4'!J9),'4'!J9))))</f>
        <v>+</v>
      </c>
      <c r="K10" s="19" t="str">
        <f>IF(ISBLANK('Raw counts'!K10),"",IF('7'!$V9=1,IF('3'!K9='7'!$V9,"Sol",'4'!K9),IF('7'!$V9=2,IF('3'!K9&lt;='7'!$V9,"Dua",'4'!K9),IF('7'!$V9&gt;=3,IF('3'!K9&lt;='7'!$V9,"Shr",'4'!K9),'4'!K9))))</f>
        <v>+</v>
      </c>
      <c r="L10" s="19" t="str">
        <f>IF(ISBLANK('Raw counts'!L10),"",IF('7'!$V9=1,IF('3'!L9='7'!$V9,"Sol",'4'!L9),IF('7'!$V9=2,IF('3'!L9&lt;='7'!$V9,"Dua",'4'!L9),IF('7'!$V9&gt;=3,IF('3'!L9&lt;='7'!$V9,"Shr",'4'!L9),'4'!L9))))</f>
        <v>-</v>
      </c>
      <c r="M10" s="19" t="str">
        <f>IF(ISBLANK('Raw counts'!M10),"",IF('7'!$V9=1,IF('3'!M9='7'!$V9,"Sol",'4'!M9),IF('7'!$V9=2,IF('3'!M9&lt;='7'!$V9,"Dua",'4'!M9),IF('7'!$V9&gt;=3,IF('3'!M9&lt;='7'!$V9,"Shr",'4'!M9),'4'!M9))))</f>
        <v/>
      </c>
      <c r="N10" s="19" t="str">
        <f>IF(ISBLANK('Raw counts'!N10),"",IF('7'!$V9=1,IF('3'!N9='7'!$V9,"Sol",'4'!N9),IF('7'!$V9=2,IF('3'!N9&lt;='7'!$V9,"Dua",'4'!N9),IF('7'!$V9&gt;=3,IF('3'!N9&lt;='7'!$V9,"Shr",'4'!N9),'4'!N9))))</f>
        <v/>
      </c>
      <c r="O10" s="19" t="str">
        <f>IF(ISBLANK('Raw counts'!O10),"",IF('7'!$V9=1,IF('3'!O9='7'!$V9,"Sol",'4'!O9),IF('7'!$V9=2,IF('3'!O9&lt;='7'!$V9,"Dua",'4'!O9),IF('7'!$V9&gt;=3,IF('3'!O9&lt;='7'!$V9,"Shr",'4'!O9),'4'!O9))))</f>
        <v/>
      </c>
      <c r="P10" s="19" t="str">
        <f>IF(ISBLANK('Raw counts'!P10),"",IF('7'!$V9=1,IF('3'!P9='7'!$V9,"Sol",'4'!P9),IF('7'!$V9=2,IF('3'!P9&lt;='7'!$V9,"Dua",'4'!P9),IF('7'!$V9&gt;=3,IF('3'!P9&lt;='7'!$V9,"Shr",'4'!P9),'4'!P9))))</f>
        <v/>
      </c>
      <c r="Q10" s="19" t="str">
        <f>IF(ISBLANK('Raw counts'!Q10),"",IF('7'!$V9=1,IF('3'!Q9='7'!$V9,"Sol",'4'!Q9),IF('7'!$V9=2,IF('3'!Q9&lt;='7'!$V9,"Dua",'4'!Q9),IF('7'!$V9&gt;=3,IF('3'!Q9&lt;='7'!$V9,"Shr",'4'!Q9),'4'!Q9))))</f>
        <v/>
      </c>
      <c r="R10" s="19" t="str">
        <f>IF(ISBLANK('Raw counts'!R10),"",IF('7'!$V9=1,IF('3'!R9='7'!$V9,"Sol",'4'!R9),IF('7'!$V9=2,IF('3'!R9&lt;='7'!$V9,"Dua",'4'!R9),IF('7'!$V9&gt;=3,IF('3'!R9&lt;='7'!$V9,"Shr",'4'!R9),'4'!R9))))</f>
        <v/>
      </c>
      <c r="S10" s="19" t="str">
        <f>IF(ISBLANK('Raw counts'!S10),"",IF('7'!$V9=1,IF('3'!S9='7'!$V9,"Sol",'4'!S9),IF('7'!$V9=2,IF('3'!S9&lt;='7'!$V9,"Dua",'4'!S9),IF('7'!$V9&gt;=3,IF('3'!S9&lt;='7'!$V9,"Shr",'4'!S9),'4'!S9))))</f>
        <v/>
      </c>
      <c r="T10" s="19" t="str">
        <f>IF(ISBLANK('Raw counts'!T10),"",IF('7'!$V9=1,IF('3'!T9='7'!$V9,"Sol",'4'!T9),IF('7'!$V9=2,IF('3'!T9&lt;='7'!$V9,"Dua",'4'!T9),IF('7'!$V9&gt;=3,IF('3'!T9&lt;='7'!$V9,"Shr",'4'!T9),'4'!T9))))</f>
        <v/>
      </c>
      <c r="U10" s="19" t="str">
        <f>IF(ISBLANK('Raw counts'!U10),"",IF('7'!$V9=1,IF('3'!U9='7'!$V9,"Sol",'4'!U9),IF('7'!$V9=2,IF('3'!U9&lt;='7'!$V9,"Dua",'4'!U9),IF('7'!$V9&gt;=3,IF('3'!U9&lt;='7'!$V9,"Shr",'4'!U9),'4'!U9))))</f>
        <v/>
      </c>
    </row>
    <row r="11" spans="1:21" ht="25.5" x14ac:dyDescent="0.15">
      <c r="A11" s="18" t="str">
        <f>IF(ISBLANK('Raw counts'!A11),"",'Raw counts'!A11)</f>
        <v xml:space="preserve">Hard to find the brand online                                               </v>
      </c>
      <c r="B11" s="19" t="str">
        <f>IF(ISBLANK('Raw counts'!B11),"",IF('7'!$V10=1,IF('3'!B10='7'!$V10,"Sol",'4'!B10),IF('7'!$V10=2,IF('3'!B10&lt;='7'!$V10,"Dua",'4'!B10),IF('7'!$V10&gt;=3,IF('3'!B10&lt;='7'!$V10,"Shr",'4'!B10),'4'!B10))))</f>
        <v>+</v>
      </c>
      <c r="C11" s="19" t="str">
        <f>IF(ISBLANK('Raw counts'!C11),"",IF('7'!$V10=1,IF('3'!C10='7'!$V10,"Sol",'4'!C10),IF('7'!$V10=2,IF('3'!C10&lt;='7'!$V10,"Dua",'4'!C10),IF('7'!$V10&gt;=3,IF('3'!C10&lt;='7'!$V10,"Shr",'4'!C10),'4'!C10))))</f>
        <v>+1</v>
      </c>
      <c r="D11" s="19" t="str">
        <f>IF(ISBLANK('Raw counts'!D11),"",IF('7'!$V10=1,IF('3'!D10='7'!$V10,"Sol",'4'!D10),IF('7'!$V10=2,IF('3'!D10&lt;='7'!$V10,"Dua",'4'!D10),IF('7'!$V10&gt;=3,IF('3'!D10&lt;='7'!$V10,"Shr",'4'!D10),'4'!D10))))</f>
        <v>+</v>
      </c>
      <c r="E11" s="19" t="str">
        <f>IF(ISBLANK('Raw counts'!E11),"",IF('7'!$V10=1,IF('3'!E10='7'!$V10,"Sol",'4'!E10),IF('7'!$V10=2,IF('3'!E10&lt;='7'!$V10,"Dua",'4'!E10),IF('7'!$V10&gt;=3,IF('3'!E10&lt;='7'!$V10,"Shr",'4'!E10),'4'!E10))))</f>
        <v>-</v>
      </c>
      <c r="F11" s="19" t="str">
        <f>IF(ISBLANK('Raw counts'!F11),"",IF('7'!$V10=1,IF('3'!F10='7'!$V10,"Sol",'4'!F10),IF('7'!$V10=2,IF('3'!F10&lt;='7'!$V10,"Dua",'4'!F10),IF('7'!$V10&gt;=3,IF('3'!F10&lt;='7'!$V10,"Shr",'4'!F10),'4'!F10))))</f>
        <v>-1</v>
      </c>
      <c r="G11" s="19" t="str">
        <f>IF(ISBLANK('Raw counts'!G11),"",IF('7'!$V10=1,IF('3'!G10='7'!$V10,"Sol",'4'!G10),IF('7'!$V10=2,IF('3'!G10&lt;='7'!$V10,"Dua",'4'!G10),IF('7'!$V10&gt;=3,IF('3'!G10&lt;='7'!$V10,"Shr",'4'!G10),'4'!G10))))</f>
        <v>-</v>
      </c>
      <c r="H11" s="19" t="str">
        <f>IF(ISBLANK('Raw counts'!H11),"",IF('7'!$V10=1,IF('3'!H10='7'!$V10,"Sol",'4'!H10),IF('7'!$V10=2,IF('3'!H10&lt;='7'!$V10,"Dua",'4'!H10),IF('7'!$V10&gt;=3,IF('3'!H10&lt;='7'!$V10,"Shr",'4'!H10),'4'!H10))))</f>
        <v>+</v>
      </c>
      <c r="I11" s="19" t="str">
        <f>IF(ISBLANK('Raw counts'!I11),"",IF('7'!$V10=1,IF('3'!I10='7'!$V10,"Sol",'4'!I10),IF('7'!$V10=2,IF('3'!I10&lt;='7'!$V10,"Dua",'4'!I10),IF('7'!$V10&gt;=3,IF('3'!I10&lt;='7'!$V10,"Shr",'4'!I10),'4'!I10))))</f>
        <v>+</v>
      </c>
      <c r="J11" s="19" t="str">
        <f>IF(ISBLANK('Raw counts'!J11),"",IF('7'!$V10=1,IF('3'!J10='7'!$V10,"Sol",'4'!J10),IF('7'!$V10=2,IF('3'!J10&lt;='7'!$V10,"Dua",'4'!J10),IF('7'!$V10&gt;=3,IF('3'!J10&lt;='7'!$V10,"Shr",'4'!J10),'4'!J10))))</f>
        <v>+</v>
      </c>
      <c r="K11" s="19" t="str">
        <f>IF(ISBLANK('Raw counts'!K11),"",IF('7'!$V10=1,IF('3'!K10='7'!$V10,"Sol",'4'!K10),IF('7'!$V10=2,IF('3'!K10&lt;='7'!$V10,"Dua",'4'!K10),IF('7'!$V10&gt;=3,IF('3'!K10&lt;='7'!$V10,"Shr",'4'!K10),'4'!K10))))</f>
        <v>+</v>
      </c>
      <c r="L11" s="19" t="str">
        <f>IF(ISBLANK('Raw counts'!L11),"",IF('7'!$V10=1,IF('3'!L10='7'!$V10,"Sol",'4'!L10),IF('7'!$V10=2,IF('3'!L10&lt;='7'!$V10,"Dua",'4'!L10),IF('7'!$V10&gt;=3,IF('3'!L10&lt;='7'!$V10,"Shr",'4'!L10),'4'!L10))))</f>
        <v>-</v>
      </c>
      <c r="M11" s="19" t="str">
        <f>IF(ISBLANK('Raw counts'!M11),"",IF('7'!$V10=1,IF('3'!M10='7'!$V10,"Sol",'4'!M10),IF('7'!$V10=2,IF('3'!M10&lt;='7'!$V10,"Dua",'4'!M10),IF('7'!$V10&gt;=3,IF('3'!M10&lt;='7'!$V10,"Shr",'4'!M10),'4'!M10))))</f>
        <v/>
      </c>
      <c r="N11" s="19" t="str">
        <f>IF(ISBLANK('Raw counts'!N11),"",IF('7'!$V10=1,IF('3'!N10='7'!$V10,"Sol",'4'!N10),IF('7'!$V10=2,IF('3'!N10&lt;='7'!$V10,"Dua",'4'!N10),IF('7'!$V10&gt;=3,IF('3'!N10&lt;='7'!$V10,"Shr",'4'!N10),'4'!N10))))</f>
        <v/>
      </c>
      <c r="O11" s="19" t="str">
        <f>IF(ISBLANK('Raw counts'!O11),"",IF('7'!$V10=1,IF('3'!O10='7'!$V10,"Sol",'4'!O10),IF('7'!$V10=2,IF('3'!O10&lt;='7'!$V10,"Dua",'4'!O10),IF('7'!$V10&gt;=3,IF('3'!O10&lt;='7'!$V10,"Shr",'4'!O10),'4'!O10))))</f>
        <v/>
      </c>
      <c r="P11" s="19" t="str">
        <f>IF(ISBLANK('Raw counts'!P11),"",IF('7'!$V10=1,IF('3'!P10='7'!$V10,"Sol",'4'!P10),IF('7'!$V10=2,IF('3'!P10&lt;='7'!$V10,"Dua",'4'!P10),IF('7'!$V10&gt;=3,IF('3'!P10&lt;='7'!$V10,"Shr",'4'!P10),'4'!P10))))</f>
        <v/>
      </c>
      <c r="Q11" s="19" t="str">
        <f>IF(ISBLANK('Raw counts'!Q11),"",IF('7'!$V10=1,IF('3'!Q10='7'!$V10,"Sol",'4'!Q10),IF('7'!$V10=2,IF('3'!Q10&lt;='7'!$V10,"Dua",'4'!Q10),IF('7'!$V10&gt;=3,IF('3'!Q10&lt;='7'!$V10,"Shr",'4'!Q10),'4'!Q10))))</f>
        <v/>
      </c>
      <c r="R11" s="19" t="str">
        <f>IF(ISBLANK('Raw counts'!R11),"",IF('7'!$V10=1,IF('3'!R10='7'!$V10,"Sol",'4'!R10),IF('7'!$V10=2,IF('3'!R10&lt;='7'!$V10,"Dua",'4'!R10),IF('7'!$V10&gt;=3,IF('3'!R10&lt;='7'!$V10,"Shr",'4'!R10),'4'!R10))))</f>
        <v/>
      </c>
      <c r="S11" s="19" t="str">
        <f>IF(ISBLANK('Raw counts'!S11),"",IF('7'!$V10=1,IF('3'!S10='7'!$V10,"Sol",'4'!S10),IF('7'!$V10=2,IF('3'!S10&lt;='7'!$V10,"Dua",'4'!S10),IF('7'!$V10&gt;=3,IF('3'!S10&lt;='7'!$V10,"Shr",'4'!S10),'4'!S10))))</f>
        <v/>
      </c>
      <c r="T11" s="19" t="str">
        <f>IF(ISBLANK('Raw counts'!T11),"",IF('7'!$V10=1,IF('3'!T10='7'!$V10,"Sol",'4'!T10),IF('7'!$V10=2,IF('3'!T10&lt;='7'!$V10,"Dua",'4'!T10),IF('7'!$V10&gt;=3,IF('3'!T10&lt;='7'!$V10,"Shr",'4'!T10),'4'!T10))))</f>
        <v/>
      </c>
      <c r="U11" s="19" t="str">
        <f>IF(ISBLANK('Raw counts'!U11),"",IF('7'!$V10=1,IF('3'!U10='7'!$V10,"Sol",'4'!U10),IF('7'!$V10=2,IF('3'!U10&lt;='7'!$V10,"Dua",'4'!U10),IF('7'!$V10&gt;=3,IF('3'!U10&lt;='7'!$V10,"Shr",'4'!U10),'4'!U10))))</f>
        <v/>
      </c>
    </row>
    <row r="12" spans="1:21" ht="25.5" x14ac:dyDescent="0.15">
      <c r="A12" s="18" t="str">
        <f>IF(ISBLANK('Raw counts'!A12),"",'Raw counts'!A12)</f>
        <v xml:space="preserve">Difficult to determine which product is right for me                        </v>
      </c>
      <c r="B12" s="19" t="str">
        <f>IF(ISBLANK('Raw counts'!B12),"",IF('7'!$V11=1,IF('3'!B11='7'!$V11,"Sol",'4'!B11),IF('7'!$V11=2,IF('3'!B11&lt;='7'!$V11,"Dua",'4'!B11),IF('7'!$V11&gt;=3,IF('3'!B11&lt;='7'!$V11,"Shr",'4'!B11),'4'!B11))))</f>
        <v>-</v>
      </c>
      <c r="C12" s="19" t="str">
        <f>IF(ISBLANK('Raw counts'!C12),"",IF('7'!$V11=1,IF('3'!C11='7'!$V11,"Sol",'4'!C11),IF('7'!$V11=2,IF('3'!C11&lt;='7'!$V11,"Dua",'4'!C11),IF('7'!$V11&gt;=3,IF('3'!C11&lt;='7'!$V11,"Shr",'4'!C11),'4'!C11))))</f>
        <v>-</v>
      </c>
      <c r="D12" s="19" t="str">
        <f>IF(ISBLANK('Raw counts'!D12),"",IF('7'!$V11=1,IF('3'!D11='7'!$V11,"Sol",'4'!D11),IF('7'!$V11=2,IF('3'!D11&lt;='7'!$V11,"Dua",'4'!D11),IF('7'!$V11&gt;=3,IF('3'!D11&lt;='7'!$V11,"Shr",'4'!D11),'4'!D11))))</f>
        <v>-</v>
      </c>
      <c r="E12" s="19" t="str">
        <f>IF(ISBLANK('Raw counts'!E12),"",IF('7'!$V11=1,IF('3'!E11='7'!$V11,"Sol",'4'!E11),IF('7'!$V11=2,IF('3'!E11&lt;='7'!$V11,"Dua",'4'!E11),IF('7'!$V11&gt;=3,IF('3'!E11&lt;='7'!$V11,"Shr",'4'!E11),'4'!E11))))</f>
        <v>+</v>
      </c>
      <c r="F12" s="19" t="str">
        <f>IF(ISBLANK('Raw counts'!F12),"",IF('7'!$V11=1,IF('3'!F11='7'!$V11,"Sol",'4'!F11),IF('7'!$V11=2,IF('3'!F11&lt;='7'!$V11,"Dua",'4'!F11),IF('7'!$V11&gt;=3,IF('3'!F11&lt;='7'!$V11,"Shr",'4'!F11),'4'!F11))))</f>
        <v>Sol</v>
      </c>
      <c r="G12" s="19" t="str">
        <f>IF(ISBLANK('Raw counts'!G12),"",IF('7'!$V11=1,IF('3'!G11='7'!$V11,"Sol",'4'!G11),IF('7'!$V11=2,IF('3'!G11&lt;='7'!$V11,"Dua",'4'!G11),IF('7'!$V11&gt;=3,IF('3'!G11&lt;='7'!$V11,"Shr",'4'!G11),'4'!G11))))</f>
        <v>+</v>
      </c>
      <c r="H12" s="19" t="str">
        <f>IF(ISBLANK('Raw counts'!H12),"",IF('7'!$V11=1,IF('3'!H11='7'!$V11,"Sol",'4'!H11),IF('7'!$V11=2,IF('3'!H11&lt;='7'!$V11,"Dua",'4'!H11),IF('7'!$V11&gt;=3,IF('3'!H11&lt;='7'!$V11,"Shr",'4'!H11),'4'!H11))))</f>
        <v>-1</v>
      </c>
      <c r="I12" s="19" t="str">
        <f>IF(ISBLANK('Raw counts'!I12),"",IF('7'!$V11=1,IF('3'!I11='7'!$V11,"Sol",'4'!I11),IF('7'!$V11=2,IF('3'!I11&lt;='7'!$V11,"Dua",'4'!I11),IF('7'!$V11&gt;=3,IF('3'!I11&lt;='7'!$V11,"Shr",'4'!I11),'4'!I11))))</f>
        <v>+</v>
      </c>
      <c r="J12" s="19" t="str">
        <f>IF(ISBLANK('Raw counts'!J12),"",IF('7'!$V11=1,IF('3'!J11='7'!$V11,"Sol",'4'!J11),IF('7'!$V11=2,IF('3'!J11&lt;='7'!$V11,"Dua",'4'!J11),IF('7'!$V11&gt;=3,IF('3'!J11&lt;='7'!$V11,"Shr",'4'!J11),'4'!J11))))</f>
        <v>+</v>
      </c>
      <c r="K12" s="19" t="str">
        <f>IF(ISBLANK('Raw counts'!K12),"",IF('7'!$V11=1,IF('3'!K11='7'!$V11,"Sol",'4'!K11),IF('7'!$V11=2,IF('3'!K11&lt;='7'!$V11,"Dua",'4'!K11),IF('7'!$V11&gt;=3,IF('3'!K11&lt;='7'!$V11,"Shr",'4'!K11),'4'!K11))))</f>
        <v>+</v>
      </c>
      <c r="L12" s="19" t="str">
        <f>IF(ISBLANK('Raw counts'!L12),"",IF('7'!$V11=1,IF('3'!L11='7'!$V11,"Sol",'4'!L11),IF('7'!$V11=2,IF('3'!L11&lt;='7'!$V11,"Dua",'4'!L11),IF('7'!$V11&gt;=3,IF('3'!L11&lt;='7'!$V11,"Shr",'4'!L11),'4'!L11))))</f>
        <v>+</v>
      </c>
      <c r="M12" s="19" t="str">
        <f>IF(ISBLANK('Raw counts'!M12),"",IF('7'!$V11=1,IF('3'!M11='7'!$V11,"Sol",'4'!M11),IF('7'!$V11=2,IF('3'!M11&lt;='7'!$V11,"Dua",'4'!M11),IF('7'!$V11&gt;=3,IF('3'!M11&lt;='7'!$V11,"Shr",'4'!M11),'4'!M11))))</f>
        <v/>
      </c>
      <c r="N12" s="19" t="str">
        <f>IF(ISBLANK('Raw counts'!N12),"",IF('7'!$V11=1,IF('3'!N11='7'!$V11,"Sol",'4'!N11),IF('7'!$V11=2,IF('3'!N11&lt;='7'!$V11,"Dua",'4'!N11),IF('7'!$V11&gt;=3,IF('3'!N11&lt;='7'!$V11,"Shr",'4'!N11),'4'!N11))))</f>
        <v/>
      </c>
      <c r="O12" s="19" t="str">
        <f>IF(ISBLANK('Raw counts'!O12),"",IF('7'!$V11=1,IF('3'!O11='7'!$V11,"Sol",'4'!O11),IF('7'!$V11=2,IF('3'!O11&lt;='7'!$V11,"Dua",'4'!O11),IF('7'!$V11&gt;=3,IF('3'!O11&lt;='7'!$V11,"Shr",'4'!O11),'4'!O11))))</f>
        <v/>
      </c>
      <c r="P12" s="19" t="str">
        <f>IF(ISBLANK('Raw counts'!P12),"",IF('7'!$V11=1,IF('3'!P11='7'!$V11,"Sol",'4'!P11),IF('7'!$V11=2,IF('3'!P11&lt;='7'!$V11,"Dua",'4'!P11),IF('7'!$V11&gt;=3,IF('3'!P11&lt;='7'!$V11,"Shr",'4'!P11),'4'!P11))))</f>
        <v/>
      </c>
      <c r="Q12" s="19" t="str">
        <f>IF(ISBLANK('Raw counts'!Q12),"",IF('7'!$V11=1,IF('3'!Q11='7'!$V11,"Sol",'4'!Q11),IF('7'!$V11=2,IF('3'!Q11&lt;='7'!$V11,"Dua",'4'!Q11),IF('7'!$V11&gt;=3,IF('3'!Q11&lt;='7'!$V11,"Shr",'4'!Q11),'4'!Q11))))</f>
        <v/>
      </c>
      <c r="R12" s="19" t="str">
        <f>IF(ISBLANK('Raw counts'!R12),"",IF('7'!$V11=1,IF('3'!R11='7'!$V11,"Sol",'4'!R11),IF('7'!$V11=2,IF('3'!R11&lt;='7'!$V11,"Dua",'4'!R11),IF('7'!$V11&gt;=3,IF('3'!R11&lt;='7'!$V11,"Shr",'4'!R11),'4'!R11))))</f>
        <v/>
      </c>
      <c r="S12" s="19" t="str">
        <f>IF(ISBLANK('Raw counts'!S12),"",IF('7'!$V11=1,IF('3'!S11='7'!$V11,"Sol",'4'!S11),IF('7'!$V11=2,IF('3'!S11&lt;='7'!$V11,"Dua",'4'!S11),IF('7'!$V11&gt;=3,IF('3'!S11&lt;='7'!$V11,"Shr",'4'!S11),'4'!S11))))</f>
        <v/>
      </c>
      <c r="T12" s="19" t="str">
        <f>IF(ISBLANK('Raw counts'!T12),"",IF('7'!$V11=1,IF('3'!T11='7'!$V11,"Sol",'4'!T11),IF('7'!$V11=2,IF('3'!T11&lt;='7'!$V11,"Dua",'4'!T11),IF('7'!$V11&gt;=3,IF('3'!T11&lt;='7'!$V11,"Shr",'4'!T11),'4'!T11))))</f>
        <v/>
      </c>
      <c r="U12" s="19" t="str">
        <f>IF(ISBLANK('Raw counts'!U12),"",IF('7'!$V11=1,IF('3'!U11='7'!$V11,"Sol",'4'!U11),IF('7'!$V11=2,IF('3'!U11&lt;='7'!$V11,"Dua",'4'!U11),IF('7'!$V11&gt;=3,IF('3'!U11&lt;='7'!$V11,"Shr",'4'!U11),'4'!U11))))</f>
        <v/>
      </c>
    </row>
    <row r="13" spans="1:21" ht="25.5" x14ac:dyDescent="0.15">
      <c r="A13" s="18" t="str">
        <f>IF(ISBLANK('Raw counts'!A13),"",'Raw counts'!A13)</f>
        <v xml:space="preserve">Costs more than other brands                                                </v>
      </c>
      <c r="B13" s="19" t="str">
        <f>IF(ISBLANK('Raw counts'!B13),"",IF('7'!$V12=1,IF('3'!B12='7'!$V12,"Sol",'4'!B12),IF('7'!$V12=2,IF('3'!B12&lt;='7'!$V12,"Dua",'4'!B12),IF('7'!$V12&gt;=3,IF('3'!B12&lt;='7'!$V12,"Shr",'4'!B12),'4'!B12))))</f>
        <v>+1</v>
      </c>
      <c r="C13" s="19" t="str">
        <f>IF(ISBLANK('Raw counts'!C13),"",IF('7'!$V12=1,IF('3'!C12='7'!$V12,"Sol",'4'!C12),IF('7'!$V12=2,IF('3'!C12&lt;='7'!$V12,"Dua",'4'!C12),IF('7'!$V12&gt;=3,IF('3'!C12&lt;='7'!$V12,"Shr",'4'!C12),'4'!C12))))</f>
        <v>-1</v>
      </c>
      <c r="D13" s="19" t="str">
        <f>IF(ISBLANK('Raw counts'!D13),"",IF('7'!$V12=1,IF('3'!D12='7'!$V12,"Sol",'4'!D12),IF('7'!$V12=2,IF('3'!D12&lt;='7'!$V12,"Dua",'4'!D12),IF('7'!$V12&gt;=3,IF('3'!D12&lt;='7'!$V12,"Shr",'4'!D12),'4'!D12))))</f>
        <v>-</v>
      </c>
      <c r="E13" s="19" t="str">
        <f>IF(ISBLANK('Raw counts'!E13),"",IF('7'!$V12=1,IF('3'!E12='7'!$V12,"Sol",'4'!E12),IF('7'!$V12=2,IF('3'!E12&lt;='7'!$V12,"Dua",'4'!E12),IF('7'!$V12&gt;=3,IF('3'!E12&lt;='7'!$V12,"Shr",'4'!E12),'4'!E12))))</f>
        <v>-</v>
      </c>
      <c r="F13" s="19" t="str">
        <f>IF(ISBLANK('Raw counts'!F13),"",IF('7'!$V12=1,IF('3'!F12='7'!$V12,"Sol",'4'!F12),IF('7'!$V12=2,IF('3'!F12&lt;='7'!$V12,"Dua",'4'!F12),IF('7'!$V12&gt;=3,IF('3'!F12&lt;='7'!$V12,"Shr",'4'!F12),'4'!F12))))</f>
        <v>-1</v>
      </c>
      <c r="G13" s="19" t="str">
        <f>IF(ISBLANK('Raw counts'!G13),"",IF('7'!$V12=1,IF('3'!G12='7'!$V12,"Sol",'4'!G12),IF('7'!$V12=2,IF('3'!G12&lt;='7'!$V12,"Dua",'4'!G12),IF('7'!$V12&gt;=3,IF('3'!G12&lt;='7'!$V12,"Shr",'4'!G12),'4'!G12))))</f>
        <v>+</v>
      </c>
      <c r="H13" s="19" t="str">
        <f>IF(ISBLANK('Raw counts'!H13),"",IF('7'!$V12=1,IF('3'!H12='7'!$V12,"Sol",'4'!H12),IF('7'!$V12=2,IF('3'!H12&lt;='7'!$V12,"Dua",'4'!H12),IF('7'!$V12&gt;=3,IF('3'!H12&lt;='7'!$V12,"Shr",'4'!H12),'4'!H12))))</f>
        <v>Sol</v>
      </c>
      <c r="I13" s="19" t="str">
        <f>IF(ISBLANK('Raw counts'!I13),"",IF('7'!$V12=1,IF('3'!I12='7'!$V12,"Sol",'4'!I12),IF('7'!$V12=2,IF('3'!I12&lt;='7'!$V12,"Dua",'4'!I12),IF('7'!$V12&gt;=3,IF('3'!I12&lt;='7'!$V12,"Shr",'4'!I12),'4'!I12))))</f>
        <v>-</v>
      </c>
      <c r="J13" s="19" t="str">
        <f>IF(ISBLANK('Raw counts'!J13),"",IF('7'!$V12=1,IF('3'!J12='7'!$V12,"Sol",'4'!J12),IF('7'!$V12=2,IF('3'!J12&lt;='7'!$V12,"Dua",'4'!J12),IF('7'!$V12&gt;=3,IF('3'!J12&lt;='7'!$V12,"Shr",'4'!J12),'4'!J12))))</f>
        <v>-</v>
      </c>
      <c r="K13" s="19" t="str">
        <f>IF(ISBLANK('Raw counts'!K13),"",IF('7'!$V12=1,IF('3'!K12='7'!$V12,"Sol",'4'!K12),IF('7'!$V12=2,IF('3'!K12&lt;='7'!$V12,"Dua",'4'!K12),IF('7'!$V12&gt;=3,IF('3'!K12&lt;='7'!$V12,"Shr",'4'!K12),'4'!K12))))</f>
        <v>-1</v>
      </c>
      <c r="L13" s="19" t="str">
        <f>IF(ISBLANK('Raw counts'!L13),"",IF('7'!$V12=1,IF('3'!L12='7'!$V12,"Sol",'4'!L12),IF('7'!$V12=2,IF('3'!L12&lt;='7'!$V12,"Dua",'4'!L12),IF('7'!$V12&gt;=3,IF('3'!L12&lt;='7'!$V12,"Shr",'4'!L12),'4'!L12))))</f>
        <v>-</v>
      </c>
      <c r="M13" s="19" t="str">
        <f>IF(ISBLANK('Raw counts'!M13),"",IF('7'!$V12=1,IF('3'!M12='7'!$V12,"Sol",'4'!M12),IF('7'!$V12=2,IF('3'!M12&lt;='7'!$V12,"Dua",'4'!M12),IF('7'!$V12&gt;=3,IF('3'!M12&lt;='7'!$V12,"Shr",'4'!M12),'4'!M12))))</f>
        <v/>
      </c>
      <c r="N13" s="19" t="str">
        <f>IF(ISBLANK('Raw counts'!N13),"",IF('7'!$V12=1,IF('3'!N12='7'!$V12,"Sol",'4'!N12),IF('7'!$V12=2,IF('3'!N12&lt;='7'!$V12,"Dua",'4'!N12),IF('7'!$V12&gt;=3,IF('3'!N12&lt;='7'!$V12,"Shr",'4'!N12),'4'!N12))))</f>
        <v/>
      </c>
      <c r="O13" s="19" t="str">
        <f>IF(ISBLANK('Raw counts'!O13),"",IF('7'!$V12=1,IF('3'!O12='7'!$V12,"Sol",'4'!O12),IF('7'!$V12=2,IF('3'!O12&lt;='7'!$V12,"Dua",'4'!O12),IF('7'!$V12&gt;=3,IF('3'!O12&lt;='7'!$V12,"Shr",'4'!O12),'4'!O12))))</f>
        <v/>
      </c>
      <c r="P13" s="19" t="str">
        <f>IF(ISBLANK('Raw counts'!P13),"",IF('7'!$V12=1,IF('3'!P12='7'!$V12,"Sol",'4'!P12),IF('7'!$V12=2,IF('3'!P12&lt;='7'!$V12,"Dua",'4'!P12),IF('7'!$V12&gt;=3,IF('3'!P12&lt;='7'!$V12,"Shr",'4'!P12),'4'!P12))))</f>
        <v/>
      </c>
      <c r="Q13" s="19" t="str">
        <f>IF(ISBLANK('Raw counts'!Q13),"",IF('7'!$V12=1,IF('3'!Q12='7'!$V12,"Sol",'4'!Q12),IF('7'!$V12=2,IF('3'!Q12&lt;='7'!$V12,"Dua",'4'!Q12),IF('7'!$V12&gt;=3,IF('3'!Q12&lt;='7'!$V12,"Shr",'4'!Q12),'4'!Q12))))</f>
        <v/>
      </c>
      <c r="R13" s="19" t="str">
        <f>IF(ISBLANK('Raw counts'!R13),"",IF('7'!$V12=1,IF('3'!R12='7'!$V12,"Sol",'4'!R12),IF('7'!$V12=2,IF('3'!R12&lt;='7'!$V12,"Dua",'4'!R12),IF('7'!$V12&gt;=3,IF('3'!R12&lt;='7'!$V12,"Shr",'4'!R12),'4'!R12))))</f>
        <v/>
      </c>
      <c r="S13" s="19" t="str">
        <f>IF(ISBLANK('Raw counts'!S13),"",IF('7'!$V12=1,IF('3'!S12='7'!$V12,"Sol",'4'!S12),IF('7'!$V12=2,IF('3'!S12&lt;='7'!$V12,"Dua",'4'!S12),IF('7'!$V12&gt;=3,IF('3'!S12&lt;='7'!$V12,"Shr",'4'!S12),'4'!S12))))</f>
        <v/>
      </c>
      <c r="T13" s="19" t="str">
        <f>IF(ISBLANK('Raw counts'!T13),"",IF('7'!$V12=1,IF('3'!T12='7'!$V12,"Sol",'4'!T12),IF('7'!$V12=2,IF('3'!T12&lt;='7'!$V12,"Dua",'4'!T12),IF('7'!$V12&gt;=3,IF('3'!T12&lt;='7'!$V12,"Shr",'4'!T12),'4'!T12))))</f>
        <v/>
      </c>
      <c r="U13" s="19" t="str">
        <f>IF(ISBLANK('Raw counts'!U13),"",IF('7'!$V12=1,IF('3'!U12='7'!$V12,"Sol",'4'!U12),IF('7'!$V12=2,IF('3'!U12&lt;='7'!$V12,"Dua",'4'!U12),IF('7'!$V12&gt;=3,IF('3'!U12&lt;='7'!$V12,"Shr",'4'!U12),'4'!U12))))</f>
        <v/>
      </c>
    </row>
    <row r="14" spans="1:21" ht="25.5" x14ac:dyDescent="0.15">
      <c r="A14" s="18" t="str">
        <f>IF(ISBLANK('Raw counts'!A14),"",'Raw counts'!A14)</f>
        <v xml:space="preserve">Costs more than I'm willing to pay                                          </v>
      </c>
      <c r="B14" s="19" t="str">
        <f>IF(ISBLANK('Raw counts'!B14),"",IF('7'!$V13=1,IF('3'!B13='7'!$V13,"Sol",'4'!B13),IF('7'!$V13=2,IF('3'!B13&lt;='7'!$V13,"Dua",'4'!B13),IF('7'!$V13&gt;=3,IF('3'!B13&lt;='7'!$V13,"Shr",'4'!B13),'4'!B13))))</f>
        <v>+</v>
      </c>
      <c r="C14" s="19" t="str">
        <f>IF(ISBLANK('Raw counts'!C14),"",IF('7'!$V13=1,IF('3'!C13='7'!$V13,"Sol",'4'!C13),IF('7'!$V13=2,IF('3'!C13&lt;='7'!$V13,"Dua",'4'!C13),IF('7'!$V13&gt;=3,IF('3'!C13&lt;='7'!$V13,"Shr",'4'!C13),'4'!C13))))</f>
        <v>-</v>
      </c>
      <c r="D14" s="19" t="str">
        <f>IF(ISBLANK('Raw counts'!D14),"",IF('7'!$V13=1,IF('3'!D13='7'!$V13,"Sol",'4'!D13),IF('7'!$V13=2,IF('3'!D13&lt;='7'!$V13,"Dua",'4'!D13),IF('7'!$V13&gt;=3,IF('3'!D13&lt;='7'!$V13,"Shr",'4'!D13),'4'!D13))))</f>
        <v>+</v>
      </c>
      <c r="E14" s="19" t="str">
        <f>IF(ISBLANK('Raw counts'!E14),"",IF('7'!$V13=1,IF('3'!E13='7'!$V13,"Sol",'4'!E13),IF('7'!$V13=2,IF('3'!E13&lt;='7'!$V13,"Dua",'4'!E13),IF('7'!$V13&gt;=3,IF('3'!E13&lt;='7'!$V13,"Shr",'4'!E13),'4'!E13))))</f>
        <v>-</v>
      </c>
      <c r="F14" s="19" t="str">
        <f>IF(ISBLANK('Raw counts'!F14),"",IF('7'!$V13=1,IF('3'!F13='7'!$V13,"Sol",'4'!F13),IF('7'!$V13=2,IF('3'!F13&lt;='7'!$V13,"Dua",'4'!F13),IF('7'!$V13&gt;=3,IF('3'!F13&lt;='7'!$V13,"Shr",'4'!F13),'4'!F13))))</f>
        <v>+1</v>
      </c>
      <c r="G14" s="19" t="str">
        <f>IF(ISBLANK('Raw counts'!G14),"",IF('7'!$V13=1,IF('3'!G13='7'!$V13,"Sol",'4'!G13),IF('7'!$V13=2,IF('3'!G13&lt;='7'!$V13,"Dua",'4'!G13),IF('7'!$V13&gt;=3,IF('3'!G13&lt;='7'!$V13,"Shr",'4'!G13),'4'!G13))))</f>
        <v>-1</v>
      </c>
      <c r="H14" s="19" t="str">
        <f>IF(ISBLANK('Raw counts'!H14),"",IF('7'!$V13=1,IF('3'!H13='7'!$V13,"Sol",'4'!H13),IF('7'!$V13=2,IF('3'!H13&lt;='7'!$V13,"Dua",'4'!H13),IF('7'!$V13&gt;=3,IF('3'!H13&lt;='7'!$V13,"Shr",'4'!H13),'4'!H13))))</f>
        <v>+1</v>
      </c>
      <c r="I14" s="19" t="str">
        <f>IF(ISBLANK('Raw counts'!I14),"",IF('7'!$V13=1,IF('3'!I13='7'!$V13,"Sol",'4'!I13),IF('7'!$V13=2,IF('3'!I13&lt;='7'!$V13,"Dua",'4'!I13),IF('7'!$V13&gt;=3,IF('3'!I13&lt;='7'!$V13,"Shr",'4'!I13),'4'!I13))))</f>
        <v>-1</v>
      </c>
      <c r="J14" s="19" t="str">
        <f>IF(ISBLANK('Raw counts'!J14),"",IF('7'!$V13=1,IF('3'!J13='7'!$V13,"Sol",'4'!J13),IF('7'!$V13=2,IF('3'!J13&lt;='7'!$V13,"Dua",'4'!J13),IF('7'!$V13&gt;=3,IF('3'!J13&lt;='7'!$V13,"Shr",'4'!J13),'4'!J13))))</f>
        <v>+</v>
      </c>
      <c r="K14" s="19" t="str">
        <f>IF(ISBLANK('Raw counts'!K14),"",IF('7'!$V13=1,IF('3'!K13='7'!$V13,"Sol",'4'!K13),IF('7'!$V13=2,IF('3'!K13&lt;='7'!$V13,"Dua",'4'!K13),IF('7'!$V13&gt;=3,IF('3'!K13&lt;='7'!$V13,"Shr",'4'!K13),'4'!K13))))</f>
        <v>-</v>
      </c>
      <c r="L14" s="19" t="str">
        <f>IF(ISBLANK('Raw counts'!L14),"",IF('7'!$V13=1,IF('3'!L13='7'!$V13,"Sol",'4'!L13),IF('7'!$V13=2,IF('3'!L13&lt;='7'!$V13,"Dua",'4'!L13),IF('7'!$V13&gt;=3,IF('3'!L13&lt;='7'!$V13,"Shr",'4'!L13),'4'!L13))))</f>
        <v>+</v>
      </c>
      <c r="M14" s="19" t="str">
        <f>IF(ISBLANK('Raw counts'!M14),"",IF('7'!$V13=1,IF('3'!M13='7'!$V13,"Sol",'4'!M13),IF('7'!$V13=2,IF('3'!M13&lt;='7'!$V13,"Dua",'4'!M13),IF('7'!$V13&gt;=3,IF('3'!M13&lt;='7'!$V13,"Shr",'4'!M13),'4'!M13))))</f>
        <v/>
      </c>
      <c r="N14" s="19" t="str">
        <f>IF(ISBLANK('Raw counts'!N14),"",IF('7'!$V13=1,IF('3'!N13='7'!$V13,"Sol",'4'!N13),IF('7'!$V13=2,IF('3'!N13&lt;='7'!$V13,"Dua",'4'!N13),IF('7'!$V13&gt;=3,IF('3'!N13&lt;='7'!$V13,"Shr",'4'!N13),'4'!N13))))</f>
        <v/>
      </c>
      <c r="O14" s="19" t="str">
        <f>IF(ISBLANK('Raw counts'!O14),"",IF('7'!$V13=1,IF('3'!O13='7'!$V13,"Sol",'4'!O13),IF('7'!$V13=2,IF('3'!O13&lt;='7'!$V13,"Dua",'4'!O13),IF('7'!$V13&gt;=3,IF('3'!O13&lt;='7'!$V13,"Shr",'4'!O13),'4'!O13))))</f>
        <v/>
      </c>
      <c r="P14" s="19" t="str">
        <f>IF(ISBLANK('Raw counts'!P14),"",IF('7'!$V13=1,IF('3'!P13='7'!$V13,"Sol",'4'!P13),IF('7'!$V13=2,IF('3'!P13&lt;='7'!$V13,"Dua",'4'!P13),IF('7'!$V13&gt;=3,IF('3'!P13&lt;='7'!$V13,"Shr",'4'!P13),'4'!P13))))</f>
        <v/>
      </c>
      <c r="Q14" s="19" t="str">
        <f>IF(ISBLANK('Raw counts'!Q14),"",IF('7'!$V13=1,IF('3'!Q13='7'!$V13,"Sol",'4'!Q13),IF('7'!$V13=2,IF('3'!Q13&lt;='7'!$V13,"Dua",'4'!Q13),IF('7'!$V13&gt;=3,IF('3'!Q13&lt;='7'!$V13,"Shr",'4'!Q13),'4'!Q13))))</f>
        <v/>
      </c>
      <c r="R14" s="19" t="str">
        <f>IF(ISBLANK('Raw counts'!R14),"",IF('7'!$V13=1,IF('3'!R13='7'!$V13,"Sol",'4'!R13),IF('7'!$V13=2,IF('3'!R13&lt;='7'!$V13,"Dua",'4'!R13),IF('7'!$V13&gt;=3,IF('3'!R13&lt;='7'!$V13,"Shr",'4'!R13),'4'!R13))))</f>
        <v/>
      </c>
      <c r="S14" s="19" t="str">
        <f>IF(ISBLANK('Raw counts'!S14),"",IF('7'!$V13=1,IF('3'!S13='7'!$V13,"Sol",'4'!S13),IF('7'!$V13=2,IF('3'!S13&lt;='7'!$V13,"Dua",'4'!S13),IF('7'!$V13&gt;=3,IF('3'!S13&lt;='7'!$V13,"Shr",'4'!S13),'4'!S13))))</f>
        <v/>
      </c>
      <c r="T14" s="19" t="str">
        <f>IF(ISBLANK('Raw counts'!T14),"",IF('7'!$V13=1,IF('3'!T13='7'!$V13,"Sol",'4'!T13),IF('7'!$V13=2,IF('3'!T13&lt;='7'!$V13,"Dua",'4'!T13),IF('7'!$V13&gt;=3,IF('3'!T13&lt;='7'!$V13,"Shr",'4'!T13),'4'!T13))))</f>
        <v/>
      </c>
      <c r="U14" s="19" t="str">
        <f>IF(ISBLANK('Raw counts'!U14),"",IF('7'!$V13=1,IF('3'!U13='7'!$V13,"Sol",'4'!U13),IF('7'!$V13=2,IF('3'!U13&lt;='7'!$V13,"Dua",'4'!U13),IF('7'!$V13&gt;=3,IF('3'!U13&lt;='7'!$V13,"Shr",'4'!U13),'4'!U13))))</f>
        <v/>
      </c>
    </row>
    <row r="15" spans="1:21" x14ac:dyDescent="0.15">
      <c r="A15" s="18" t="str">
        <f>IF(ISBLANK('Raw counts'!A15),"",'Raw counts'!A15)</f>
        <v xml:space="preserve">Not enough promotions, discounts or coupons                                 </v>
      </c>
      <c r="B15" s="19" t="str">
        <f>IF(ISBLANK('Raw counts'!B15),"",IF('7'!$V14=1,IF('3'!B14='7'!$V14,"Sol",'4'!B14),IF('7'!$V14=2,IF('3'!B14&lt;='7'!$V14,"Dua",'4'!B14),IF('7'!$V14&gt;=3,IF('3'!B14&lt;='7'!$V14,"Shr",'4'!B14),'4'!B14))))</f>
        <v>+</v>
      </c>
      <c r="C15" s="19" t="str">
        <f>IF(ISBLANK('Raw counts'!C15),"",IF('7'!$V14=1,IF('3'!C14='7'!$V14,"Sol",'4'!C14),IF('7'!$V14=2,IF('3'!C14&lt;='7'!$V14,"Dua",'4'!C14),IF('7'!$V14&gt;=3,IF('3'!C14&lt;='7'!$V14,"Shr",'4'!C14),'4'!C14))))</f>
        <v>-1</v>
      </c>
      <c r="D15" s="19" t="str">
        <f>IF(ISBLANK('Raw counts'!D15),"",IF('7'!$V14=1,IF('3'!D14='7'!$V14,"Sol",'4'!D14),IF('7'!$V14=2,IF('3'!D14&lt;='7'!$V14,"Dua",'4'!D14),IF('7'!$V14&gt;=3,IF('3'!D14&lt;='7'!$V14,"Shr",'4'!D14),'4'!D14))))</f>
        <v>-</v>
      </c>
      <c r="E15" s="19" t="str">
        <f>IF(ISBLANK('Raw counts'!E15),"",IF('7'!$V14=1,IF('3'!E14='7'!$V14,"Sol",'4'!E14),IF('7'!$V14=2,IF('3'!E14&lt;='7'!$V14,"Dua",'4'!E14),IF('7'!$V14&gt;=3,IF('3'!E14&lt;='7'!$V14,"Shr",'4'!E14),'4'!E14))))</f>
        <v>-</v>
      </c>
      <c r="F15" s="19" t="str">
        <f>IF(ISBLANK('Raw counts'!F15),"",IF('7'!$V14=1,IF('3'!F14='7'!$V14,"Sol",'4'!F14),IF('7'!$V14=2,IF('3'!F14&lt;='7'!$V14,"Dua",'4'!F14),IF('7'!$V14&gt;=3,IF('3'!F14&lt;='7'!$V14,"Shr",'4'!F14),'4'!F14))))</f>
        <v>+</v>
      </c>
      <c r="G15" s="19" t="str">
        <f>IF(ISBLANK('Raw counts'!G15),"",IF('7'!$V14=1,IF('3'!G14='7'!$V14,"Sol",'4'!G14),IF('7'!$V14=2,IF('3'!G14&lt;='7'!$V14,"Dua",'4'!G14),IF('7'!$V14&gt;=3,IF('3'!G14&lt;='7'!$V14,"Shr",'4'!G14),'4'!G14))))</f>
        <v>+1</v>
      </c>
      <c r="H15" s="19" t="str">
        <f>IF(ISBLANK('Raw counts'!H15),"",IF('7'!$V14=1,IF('3'!H14='7'!$V14,"Sol",'4'!H14),IF('7'!$V14=2,IF('3'!H14&lt;='7'!$V14,"Dua",'4'!H14),IF('7'!$V14&gt;=3,IF('3'!H14&lt;='7'!$V14,"Shr",'4'!H14),'4'!H14))))</f>
        <v>Sol</v>
      </c>
      <c r="I15" s="19" t="str">
        <f>IF(ISBLANK('Raw counts'!I15),"",IF('7'!$V14=1,IF('3'!I14='7'!$V14,"Sol",'4'!I14),IF('7'!$V14=2,IF('3'!I14&lt;='7'!$V14,"Dua",'4'!I14),IF('7'!$V14&gt;=3,IF('3'!I14&lt;='7'!$V14,"Shr",'4'!I14),'4'!I14))))</f>
        <v>-</v>
      </c>
      <c r="J15" s="19" t="str">
        <f>IF(ISBLANK('Raw counts'!J15),"",IF('7'!$V14=1,IF('3'!J14='7'!$V14,"Sol",'4'!J14),IF('7'!$V14=2,IF('3'!J14&lt;='7'!$V14,"Dua",'4'!J14),IF('7'!$V14&gt;=3,IF('3'!J14&lt;='7'!$V14,"Shr",'4'!J14),'4'!J14))))</f>
        <v>-</v>
      </c>
      <c r="K15" s="19" t="str">
        <f>IF(ISBLANK('Raw counts'!K15),"",IF('7'!$V14=1,IF('3'!K14='7'!$V14,"Sol",'4'!K14),IF('7'!$V14=2,IF('3'!K14&lt;='7'!$V14,"Dua",'4'!K14),IF('7'!$V14&gt;=3,IF('3'!K14&lt;='7'!$V14,"Shr",'4'!K14),'4'!K14))))</f>
        <v>-1</v>
      </c>
      <c r="L15" s="19" t="str">
        <f>IF(ISBLANK('Raw counts'!L15),"",IF('7'!$V14=1,IF('3'!L14='7'!$V14,"Sol",'4'!L14),IF('7'!$V14=2,IF('3'!L14&lt;='7'!$V14,"Dua",'4'!L14),IF('7'!$V14&gt;=3,IF('3'!L14&lt;='7'!$V14,"Shr",'4'!L14),'4'!L14))))</f>
        <v>-</v>
      </c>
      <c r="M15" s="19" t="str">
        <f>IF(ISBLANK('Raw counts'!M15),"",IF('7'!$V14=1,IF('3'!M14='7'!$V14,"Sol",'4'!M14),IF('7'!$V14=2,IF('3'!M14&lt;='7'!$V14,"Dua",'4'!M14),IF('7'!$V14&gt;=3,IF('3'!M14&lt;='7'!$V14,"Shr",'4'!M14),'4'!M14))))</f>
        <v/>
      </c>
      <c r="N15" s="19" t="str">
        <f>IF(ISBLANK('Raw counts'!N15),"",IF('7'!$V14=1,IF('3'!N14='7'!$V14,"Sol",'4'!N14),IF('7'!$V14=2,IF('3'!N14&lt;='7'!$V14,"Dua",'4'!N14),IF('7'!$V14&gt;=3,IF('3'!N14&lt;='7'!$V14,"Shr",'4'!N14),'4'!N14))))</f>
        <v/>
      </c>
      <c r="O15" s="19" t="str">
        <f>IF(ISBLANK('Raw counts'!O15),"",IF('7'!$V14=1,IF('3'!O14='7'!$V14,"Sol",'4'!O14),IF('7'!$V14=2,IF('3'!O14&lt;='7'!$V14,"Dua",'4'!O14),IF('7'!$V14&gt;=3,IF('3'!O14&lt;='7'!$V14,"Shr",'4'!O14),'4'!O14))))</f>
        <v/>
      </c>
      <c r="P15" s="19" t="str">
        <f>IF(ISBLANK('Raw counts'!P15),"",IF('7'!$V14=1,IF('3'!P14='7'!$V14,"Sol",'4'!P14),IF('7'!$V14=2,IF('3'!P14&lt;='7'!$V14,"Dua",'4'!P14),IF('7'!$V14&gt;=3,IF('3'!P14&lt;='7'!$V14,"Shr",'4'!P14),'4'!P14))))</f>
        <v/>
      </c>
      <c r="Q15" s="19" t="str">
        <f>IF(ISBLANK('Raw counts'!Q15),"",IF('7'!$V14=1,IF('3'!Q14='7'!$V14,"Sol",'4'!Q14),IF('7'!$V14=2,IF('3'!Q14&lt;='7'!$V14,"Dua",'4'!Q14),IF('7'!$V14&gt;=3,IF('3'!Q14&lt;='7'!$V14,"Shr",'4'!Q14),'4'!Q14))))</f>
        <v/>
      </c>
      <c r="R15" s="19" t="str">
        <f>IF(ISBLANK('Raw counts'!R15),"",IF('7'!$V14=1,IF('3'!R14='7'!$V14,"Sol",'4'!R14),IF('7'!$V14=2,IF('3'!R14&lt;='7'!$V14,"Dua",'4'!R14),IF('7'!$V14&gt;=3,IF('3'!R14&lt;='7'!$V14,"Shr",'4'!R14),'4'!R14))))</f>
        <v/>
      </c>
      <c r="S15" s="19" t="str">
        <f>IF(ISBLANK('Raw counts'!S15),"",IF('7'!$V14=1,IF('3'!S14='7'!$V14,"Sol",'4'!S14),IF('7'!$V14=2,IF('3'!S14&lt;='7'!$V14,"Dua",'4'!S14),IF('7'!$V14&gt;=3,IF('3'!S14&lt;='7'!$V14,"Shr",'4'!S14),'4'!S14))))</f>
        <v/>
      </c>
      <c r="T15" s="19" t="str">
        <f>IF(ISBLANK('Raw counts'!T15),"",IF('7'!$V14=1,IF('3'!T14='7'!$V14,"Sol",'4'!T14),IF('7'!$V14=2,IF('3'!T14&lt;='7'!$V14,"Dua",'4'!T14),IF('7'!$V14&gt;=3,IF('3'!T14&lt;='7'!$V14,"Shr",'4'!T14),'4'!T14))))</f>
        <v/>
      </c>
      <c r="U15" s="19" t="str">
        <f>IF(ISBLANK('Raw counts'!U15),"",IF('7'!$V14=1,IF('3'!U14='7'!$V14,"Sol",'4'!U14),IF('7'!$V14=2,IF('3'!U14&lt;='7'!$V14,"Dua",'4'!U14),IF('7'!$V14&gt;=3,IF('3'!U14&lt;='7'!$V14,"Shr",'4'!U14),'4'!U14))))</f>
        <v/>
      </c>
    </row>
    <row r="16" spans="1:21" x14ac:dyDescent="0.15">
      <c r="A16" s="18" t="str">
        <f>IF(ISBLANK('Raw counts'!A16),"",'Raw counts'!A16)</f>
        <v xml:space="preserve">Other brands offer more promotions, discounts or coupons                    </v>
      </c>
      <c r="B16" s="19" t="str">
        <f>IF(ISBLANK('Raw counts'!B16),"",IF('7'!$V15=1,IF('3'!B15='7'!$V15,"Sol",'4'!B15),IF('7'!$V15=2,IF('3'!B15&lt;='7'!$V15,"Dua",'4'!B15),IF('7'!$V15&gt;=3,IF('3'!B15&lt;='7'!$V15,"Shr",'4'!B15),'4'!B15))))</f>
        <v>+</v>
      </c>
      <c r="C16" s="19" t="str">
        <f>IF(ISBLANK('Raw counts'!C16),"",IF('7'!$V15=1,IF('3'!C15='7'!$V15,"Sol",'4'!C15),IF('7'!$V15=2,IF('3'!C15&lt;='7'!$V15,"Dua",'4'!C15),IF('7'!$V15&gt;=3,IF('3'!C15&lt;='7'!$V15,"Shr",'4'!C15),'4'!C15))))</f>
        <v>Sol</v>
      </c>
      <c r="D16" s="19" t="str">
        <f>IF(ISBLANK('Raw counts'!D16),"",IF('7'!$V15=1,IF('3'!D15='7'!$V15,"Sol",'4'!D15),IF('7'!$V15=2,IF('3'!D15&lt;='7'!$V15,"Dua",'4'!D15),IF('7'!$V15&gt;=3,IF('3'!D15&lt;='7'!$V15,"Shr",'4'!D15),'4'!D15))))</f>
        <v>-</v>
      </c>
      <c r="E16" s="19" t="str">
        <f>IF(ISBLANK('Raw counts'!E16),"",IF('7'!$V15=1,IF('3'!E15='7'!$V15,"Sol",'4'!E15),IF('7'!$V15=2,IF('3'!E15&lt;='7'!$V15,"Dua",'4'!E15),IF('7'!$V15&gt;=3,IF('3'!E15&lt;='7'!$V15,"Shr",'4'!E15),'4'!E15))))</f>
        <v>-</v>
      </c>
      <c r="F16" s="19" t="str">
        <f>IF(ISBLANK('Raw counts'!F16),"",IF('7'!$V15=1,IF('3'!F15='7'!$V15,"Sol",'4'!F15),IF('7'!$V15=2,IF('3'!F15&lt;='7'!$V15,"Dua",'4'!F15),IF('7'!$V15&gt;=3,IF('3'!F15&lt;='7'!$V15,"Shr",'4'!F15),'4'!F15))))</f>
        <v>+</v>
      </c>
      <c r="G16" s="19" t="str">
        <f>IF(ISBLANK('Raw counts'!G16),"",IF('7'!$V15=1,IF('3'!G15='7'!$V15,"Sol",'4'!G15),IF('7'!$V15=2,IF('3'!G15&lt;='7'!$V15,"Dua",'4'!G15),IF('7'!$V15&gt;=3,IF('3'!G15&lt;='7'!$V15,"Shr",'4'!G15),'4'!G15))))</f>
        <v>-</v>
      </c>
      <c r="H16" s="19" t="str">
        <f>IF(ISBLANK('Raw counts'!H16),"",IF('7'!$V15=1,IF('3'!H15='7'!$V15,"Sol",'4'!H15),IF('7'!$V15=2,IF('3'!H15&lt;='7'!$V15,"Dua",'4'!H15),IF('7'!$V15&gt;=3,IF('3'!H15&lt;='7'!$V15,"Shr",'4'!H15),'4'!H15))))</f>
        <v>-</v>
      </c>
      <c r="I16" s="19" t="str">
        <f>IF(ISBLANK('Raw counts'!I16),"",IF('7'!$V15=1,IF('3'!I15='7'!$V15,"Sol",'4'!I15),IF('7'!$V15=2,IF('3'!I15&lt;='7'!$V15,"Dua",'4'!I15),IF('7'!$V15&gt;=3,IF('3'!I15&lt;='7'!$V15,"Shr",'4'!I15),'4'!I15))))</f>
        <v>+</v>
      </c>
      <c r="J16" s="19" t="str">
        <f>IF(ISBLANK('Raw counts'!J16),"",IF('7'!$V15=1,IF('3'!J15='7'!$V15,"Sol",'4'!J15),IF('7'!$V15=2,IF('3'!J15&lt;='7'!$V15,"Dua",'4'!J15),IF('7'!$V15&gt;=3,IF('3'!J15&lt;='7'!$V15,"Shr",'4'!J15),'4'!J15))))</f>
        <v>-</v>
      </c>
      <c r="K16" s="19" t="str">
        <f>IF(ISBLANK('Raw counts'!K16),"",IF('7'!$V15=1,IF('3'!K15='7'!$V15,"Sol",'4'!K15),IF('7'!$V15=2,IF('3'!K15&lt;='7'!$V15,"Dua",'4'!K15),IF('7'!$V15&gt;=3,IF('3'!K15&lt;='7'!$V15,"Shr",'4'!K15),'4'!K15))))</f>
        <v>-</v>
      </c>
      <c r="L16" s="19" t="str">
        <f>IF(ISBLANK('Raw counts'!L16),"",IF('7'!$V15=1,IF('3'!L15='7'!$V15,"Sol",'4'!L15),IF('7'!$V15=2,IF('3'!L15&lt;='7'!$V15,"Dua",'4'!L15),IF('7'!$V15&gt;=3,IF('3'!L15&lt;='7'!$V15,"Shr",'4'!L15),'4'!L15))))</f>
        <v>-</v>
      </c>
      <c r="M16" s="19" t="str">
        <f>IF(ISBLANK('Raw counts'!M16),"",IF('7'!$V15=1,IF('3'!M15='7'!$V15,"Sol",'4'!M15),IF('7'!$V15=2,IF('3'!M15&lt;='7'!$V15,"Dua",'4'!M15),IF('7'!$V15&gt;=3,IF('3'!M15&lt;='7'!$V15,"Shr",'4'!M15),'4'!M15))))</f>
        <v/>
      </c>
      <c r="N16" s="19" t="str">
        <f>IF(ISBLANK('Raw counts'!N16),"",IF('7'!$V15=1,IF('3'!N15='7'!$V15,"Sol",'4'!N15),IF('7'!$V15=2,IF('3'!N15&lt;='7'!$V15,"Dua",'4'!N15),IF('7'!$V15&gt;=3,IF('3'!N15&lt;='7'!$V15,"Shr",'4'!N15),'4'!N15))))</f>
        <v/>
      </c>
      <c r="O16" s="19" t="str">
        <f>IF(ISBLANK('Raw counts'!O16),"",IF('7'!$V15=1,IF('3'!O15='7'!$V15,"Sol",'4'!O15),IF('7'!$V15=2,IF('3'!O15&lt;='7'!$V15,"Dua",'4'!O15),IF('7'!$V15&gt;=3,IF('3'!O15&lt;='7'!$V15,"Shr",'4'!O15),'4'!O15))))</f>
        <v/>
      </c>
      <c r="P16" s="19" t="str">
        <f>IF(ISBLANK('Raw counts'!P16),"",IF('7'!$V15=1,IF('3'!P15='7'!$V15,"Sol",'4'!P15),IF('7'!$V15=2,IF('3'!P15&lt;='7'!$V15,"Dua",'4'!P15),IF('7'!$V15&gt;=3,IF('3'!P15&lt;='7'!$V15,"Shr",'4'!P15),'4'!P15))))</f>
        <v/>
      </c>
      <c r="Q16" s="19" t="str">
        <f>IF(ISBLANK('Raw counts'!Q16),"",IF('7'!$V15=1,IF('3'!Q15='7'!$V15,"Sol",'4'!Q15),IF('7'!$V15=2,IF('3'!Q15&lt;='7'!$V15,"Dua",'4'!Q15),IF('7'!$V15&gt;=3,IF('3'!Q15&lt;='7'!$V15,"Shr",'4'!Q15),'4'!Q15))))</f>
        <v/>
      </c>
      <c r="R16" s="19" t="str">
        <f>IF(ISBLANK('Raw counts'!R16),"",IF('7'!$V15=1,IF('3'!R15='7'!$V15,"Sol",'4'!R15),IF('7'!$V15=2,IF('3'!R15&lt;='7'!$V15,"Dua",'4'!R15),IF('7'!$V15&gt;=3,IF('3'!R15&lt;='7'!$V15,"Shr",'4'!R15),'4'!R15))))</f>
        <v/>
      </c>
      <c r="S16" s="19" t="str">
        <f>IF(ISBLANK('Raw counts'!S16),"",IF('7'!$V15=1,IF('3'!S15='7'!$V15,"Sol",'4'!S15),IF('7'!$V15=2,IF('3'!S15&lt;='7'!$V15,"Dua",'4'!S15),IF('7'!$V15&gt;=3,IF('3'!S15&lt;='7'!$V15,"Shr",'4'!S15),'4'!S15))))</f>
        <v/>
      </c>
      <c r="T16" s="19" t="str">
        <f>IF(ISBLANK('Raw counts'!T16),"",IF('7'!$V15=1,IF('3'!T15='7'!$V15,"Sol",'4'!T15),IF('7'!$V15=2,IF('3'!T15&lt;='7'!$V15,"Dua",'4'!T15),IF('7'!$V15&gt;=3,IF('3'!T15&lt;='7'!$V15,"Shr",'4'!T15),'4'!T15))))</f>
        <v/>
      </c>
      <c r="U16" s="19" t="str">
        <f>IF(ISBLANK('Raw counts'!U16),"",IF('7'!$V15=1,IF('3'!U15='7'!$V15,"Sol",'4'!U15),IF('7'!$V15=2,IF('3'!U15&lt;='7'!$V15,"Dua",'4'!U15),IF('7'!$V15&gt;=3,IF('3'!U15&lt;='7'!$V15,"Shr",'4'!U15),'4'!U15))))</f>
        <v/>
      </c>
    </row>
    <row r="17" spans="1:21" x14ac:dyDescent="0.15">
      <c r="A17" s="18" t="str">
        <f>IF(ISBLANK('Raw counts'!A17),"",'Raw counts'!A17)</f>
        <v xml:space="preserve">Other brands have more shopper or loyalty card offers                       </v>
      </c>
      <c r="B17" s="19" t="str">
        <f>IF(ISBLANK('Raw counts'!B17),"",IF('7'!$V16=1,IF('3'!B16='7'!$V16,"Sol",'4'!B16),IF('7'!$V16=2,IF('3'!B16&lt;='7'!$V16,"Dua",'4'!B16),IF('7'!$V16&gt;=3,IF('3'!B16&lt;='7'!$V16,"Shr",'4'!B16),'4'!B16))))</f>
        <v>+</v>
      </c>
      <c r="C17" s="19" t="str">
        <f>IF(ISBLANK('Raw counts'!C17),"",IF('7'!$V16=1,IF('3'!C16='7'!$V16,"Sol",'4'!C16),IF('7'!$V16=2,IF('3'!C16&lt;='7'!$V16,"Dua",'4'!C16),IF('7'!$V16&gt;=3,IF('3'!C16&lt;='7'!$V16,"Shr",'4'!C16),'4'!C16))))</f>
        <v>-</v>
      </c>
      <c r="D17" s="19" t="str">
        <f>IF(ISBLANK('Raw counts'!D17),"",IF('7'!$V16=1,IF('3'!D16='7'!$V16,"Sol",'4'!D16),IF('7'!$V16=2,IF('3'!D16&lt;='7'!$V16,"Dua",'4'!D16),IF('7'!$V16&gt;=3,IF('3'!D16&lt;='7'!$V16,"Shr",'4'!D16),'4'!D16))))</f>
        <v>+</v>
      </c>
      <c r="E17" s="19" t="str">
        <f>IF(ISBLANK('Raw counts'!E17),"",IF('7'!$V16=1,IF('3'!E16='7'!$V16,"Sol",'4'!E16),IF('7'!$V16=2,IF('3'!E16&lt;='7'!$V16,"Dua",'4'!E16),IF('7'!$V16&gt;=3,IF('3'!E16&lt;='7'!$V16,"Shr",'4'!E16),'4'!E16))))</f>
        <v>-</v>
      </c>
      <c r="F17" s="19" t="str">
        <f>IF(ISBLANK('Raw counts'!F17),"",IF('7'!$V16=1,IF('3'!F16='7'!$V16,"Sol",'4'!F16),IF('7'!$V16=2,IF('3'!F16&lt;='7'!$V16,"Dua",'4'!F16),IF('7'!$V16&gt;=3,IF('3'!F16&lt;='7'!$V16,"Shr",'4'!F16),'4'!F16))))</f>
        <v>+</v>
      </c>
      <c r="G17" s="19" t="str">
        <f>IF(ISBLANK('Raw counts'!G17),"",IF('7'!$V16=1,IF('3'!G16='7'!$V16,"Sol",'4'!G16),IF('7'!$V16=2,IF('3'!G16&lt;='7'!$V16,"Dua",'4'!G16),IF('7'!$V16&gt;=3,IF('3'!G16&lt;='7'!$V16,"Shr",'4'!G16),'4'!G16))))</f>
        <v>-1</v>
      </c>
      <c r="H17" s="19" t="str">
        <f>IF(ISBLANK('Raw counts'!H17),"",IF('7'!$V16=1,IF('3'!H16='7'!$V16,"Sol",'4'!H16),IF('7'!$V16=2,IF('3'!H16&lt;='7'!$V16,"Dua",'4'!H16),IF('7'!$V16&gt;=3,IF('3'!H16&lt;='7'!$V16,"Shr",'4'!H16),'4'!H16))))</f>
        <v>+</v>
      </c>
      <c r="I17" s="19" t="str">
        <f>IF(ISBLANK('Raw counts'!I17),"",IF('7'!$V16=1,IF('3'!I16='7'!$V16,"Sol",'4'!I16),IF('7'!$V16=2,IF('3'!I16&lt;='7'!$V16,"Dua",'4'!I16),IF('7'!$V16&gt;=3,IF('3'!I16&lt;='7'!$V16,"Shr",'4'!I16),'4'!I16))))</f>
        <v>-</v>
      </c>
      <c r="J17" s="19" t="str">
        <f>IF(ISBLANK('Raw counts'!J17),"",IF('7'!$V16=1,IF('3'!J16='7'!$V16,"Sol",'4'!J16),IF('7'!$V16=2,IF('3'!J16&lt;='7'!$V16,"Dua",'4'!J16),IF('7'!$V16&gt;=3,IF('3'!J16&lt;='7'!$V16,"Shr",'4'!J16),'4'!J16))))</f>
        <v>-</v>
      </c>
      <c r="K17" s="19" t="str">
        <f>IF(ISBLANK('Raw counts'!K17),"",IF('7'!$V16=1,IF('3'!K16='7'!$V16,"Sol",'4'!K16),IF('7'!$V16=2,IF('3'!K16&lt;='7'!$V16,"Dua",'4'!K16),IF('7'!$V16&gt;=3,IF('3'!K16&lt;='7'!$V16,"Shr",'4'!K16),'4'!K16))))</f>
        <v>+1</v>
      </c>
      <c r="L17" s="19" t="str">
        <f>IF(ISBLANK('Raw counts'!L17),"",IF('7'!$V16=1,IF('3'!L16='7'!$V16,"Sol",'4'!L16),IF('7'!$V16=2,IF('3'!L16&lt;='7'!$V16,"Dua",'4'!L16),IF('7'!$V16&gt;=3,IF('3'!L16&lt;='7'!$V16,"Shr",'4'!L16),'4'!L16))))</f>
        <v>-</v>
      </c>
      <c r="M17" s="19" t="str">
        <f>IF(ISBLANK('Raw counts'!M17),"",IF('7'!$V16=1,IF('3'!M16='7'!$V16,"Sol",'4'!M16),IF('7'!$V16=2,IF('3'!M16&lt;='7'!$V16,"Dua",'4'!M16),IF('7'!$V16&gt;=3,IF('3'!M16&lt;='7'!$V16,"Shr",'4'!M16),'4'!M16))))</f>
        <v/>
      </c>
      <c r="N17" s="19" t="str">
        <f>IF(ISBLANK('Raw counts'!N17),"",IF('7'!$V16=1,IF('3'!N16='7'!$V16,"Sol",'4'!N16),IF('7'!$V16=2,IF('3'!N16&lt;='7'!$V16,"Dua",'4'!N16),IF('7'!$V16&gt;=3,IF('3'!N16&lt;='7'!$V16,"Shr",'4'!N16),'4'!N16))))</f>
        <v/>
      </c>
      <c r="O17" s="19" t="str">
        <f>IF(ISBLANK('Raw counts'!O17),"",IF('7'!$V16=1,IF('3'!O16='7'!$V16,"Sol",'4'!O16),IF('7'!$V16=2,IF('3'!O16&lt;='7'!$V16,"Dua",'4'!O16),IF('7'!$V16&gt;=3,IF('3'!O16&lt;='7'!$V16,"Shr",'4'!O16),'4'!O16))))</f>
        <v/>
      </c>
      <c r="P17" s="19" t="str">
        <f>IF(ISBLANK('Raw counts'!P17),"",IF('7'!$V16=1,IF('3'!P16='7'!$V16,"Sol",'4'!P16),IF('7'!$V16=2,IF('3'!P16&lt;='7'!$V16,"Dua",'4'!P16),IF('7'!$V16&gt;=3,IF('3'!P16&lt;='7'!$V16,"Shr",'4'!P16),'4'!P16))))</f>
        <v/>
      </c>
      <c r="Q17" s="19" t="str">
        <f>IF(ISBLANK('Raw counts'!Q17),"",IF('7'!$V16=1,IF('3'!Q16='7'!$V16,"Sol",'4'!Q16),IF('7'!$V16=2,IF('3'!Q16&lt;='7'!$V16,"Dua",'4'!Q16),IF('7'!$V16&gt;=3,IF('3'!Q16&lt;='7'!$V16,"Shr",'4'!Q16),'4'!Q16))))</f>
        <v/>
      </c>
      <c r="R17" s="19" t="str">
        <f>IF(ISBLANK('Raw counts'!R17),"",IF('7'!$V16=1,IF('3'!R16='7'!$V16,"Sol",'4'!R16),IF('7'!$V16=2,IF('3'!R16&lt;='7'!$V16,"Dua",'4'!R16),IF('7'!$V16&gt;=3,IF('3'!R16&lt;='7'!$V16,"Shr",'4'!R16),'4'!R16))))</f>
        <v/>
      </c>
      <c r="S17" s="19" t="str">
        <f>IF(ISBLANK('Raw counts'!S17),"",IF('7'!$V16=1,IF('3'!S16='7'!$V16,"Sol",'4'!S16),IF('7'!$V16=2,IF('3'!S16&lt;='7'!$V16,"Dua",'4'!S16),IF('7'!$V16&gt;=3,IF('3'!S16&lt;='7'!$V16,"Shr",'4'!S16),'4'!S16))))</f>
        <v/>
      </c>
      <c r="T17" s="19" t="str">
        <f>IF(ISBLANK('Raw counts'!T17),"",IF('7'!$V16=1,IF('3'!T16='7'!$V16,"Sol",'4'!T16),IF('7'!$V16=2,IF('3'!T16&lt;='7'!$V16,"Dua",'4'!T16),IF('7'!$V16&gt;=3,IF('3'!T16&lt;='7'!$V16,"Shr",'4'!T16),'4'!T16))))</f>
        <v/>
      </c>
      <c r="U17" s="19" t="str">
        <f>IF(ISBLANK('Raw counts'!U17),"",IF('7'!$V16=1,IF('3'!U16='7'!$V16,"Sol",'4'!U16),IF('7'!$V16=2,IF('3'!U16&lt;='7'!$V16,"Dua",'4'!U16),IF('7'!$V16&gt;=3,IF('3'!U16&lt;='7'!$V16,"Shr",'4'!U16),'4'!U16))))</f>
        <v/>
      </c>
    </row>
    <row r="18" spans="1:21" x14ac:dyDescent="0.15">
      <c r="A18" s="18" t="str">
        <f>IF(ISBLANK('Raw counts'!A18),"",'Raw counts'!A18)</f>
        <v xml:space="preserve">Recommended another brand by others(i.e. family members/peers or iWOM)      </v>
      </c>
      <c r="B18" s="19" t="str">
        <f>IF(ISBLANK('Raw counts'!B18),"",IF('7'!$V17=1,IF('3'!B17='7'!$V17,"Sol",'4'!B17),IF('7'!$V17=2,IF('3'!B17&lt;='7'!$V17,"Dua",'4'!B17),IF('7'!$V17&gt;=3,IF('3'!B17&lt;='7'!$V17,"Shr",'4'!B17),'4'!B17))))</f>
        <v>-1</v>
      </c>
      <c r="C18" s="19" t="str">
        <f>IF(ISBLANK('Raw counts'!C18),"",IF('7'!$V17=1,IF('3'!C17='7'!$V17,"Sol",'4'!C17),IF('7'!$V17=2,IF('3'!C17&lt;='7'!$V17,"Dua",'4'!C17),IF('7'!$V17&gt;=3,IF('3'!C17&lt;='7'!$V17,"Shr",'4'!C17),'4'!C17))))</f>
        <v>+1</v>
      </c>
      <c r="D18" s="19" t="str">
        <f>IF(ISBLANK('Raw counts'!D18),"",IF('7'!$V17=1,IF('3'!D17='7'!$V17,"Sol",'4'!D17),IF('7'!$V17=2,IF('3'!D17&lt;='7'!$V17,"Dua",'4'!D17),IF('7'!$V17&gt;=3,IF('3'!D17&lt;='7'!$V17,"Shr",'4'!D17),'4'!D17))))</f>
        <v>-</v>
      </c>
      <c r="E18" s="19" t="str">
        <f>IF(ISBLANK('Raw counts'!E18),"",IF('7'!$V17=1,IF('3'!E17='7'!$V17,"Sol",'4'!E17),IF('7'!$V17=2,IF('3'!E17&lt;='7'!$V17,"Dua",'4'!E17),IF('7'!$V17&gt;=3,IF('3'!E17&lt;='7'!$V17,"Shr",'4'!E17),'4'!E17))))</f>
        <v>+</v>
      </c>
      <c r="F18" s="19" t="str">
        <f>IF(ISBLANK('Raw counts'!F18),"",IF('7'!$V17=1,IF('3'!F17='7'!$V17,"Sol",'4'!F17),IF('7'!$V17=2,IF('3'!F17&lt;='7'!$V17,"Dua",'4'!F17),IF('7'!$V17&gt;=3,IF('3'!F17&lt;='7'!$V17,"Shr",'4'!F17),'4'!F17))))</f>
        <v>-</v>
      </c>
      <c r="G18" s="19" t="str">
        <f>IF(ISBLANK('Raw counts'!G18),"",IF('7'!$V17=1,IF('3'!G17='7'!$V17,"Sol",'4'!G17),IF('7'!$V17=2,IF('3'!G17&lt;='7'!$V17,"Dua",'4'!G17),IF('7'!$V17&gt;=3,IF('3'!G17&lt;='7'!$V17,"Shr",'4'!G17),'4'!G17))))</f>
        <v>+</v>
      </c>
      <c r="H18" s="19" t="str">
        <f>IF(ISBLANK('Raw counts'!H18),"",IF('7'!$V17=1,IF('3'!H17='7'!$V17,"Sol",'4'!H17),IF('7'!$V17=2,IF('3'!H17&lt;='7'!$V17,"Dua",'4'!H17),IF('7'!$V17&gt;=3,IF('3'!H17&lt;='7'!$V17,"Shr",'4'!H17),'4'!H17))))</f>
        <v>+</v>
      </c>
      <c r="I18" s="19" t="str">
        <f>IF(ISBLANK('Raw counts'!I18),"",IF('7'!$V17=1,IF('3'!I17='7'!$V17,"Sol",'4'!I17),IF('7'!$V17=2,IF('3'!I17&lt;='7'!$V17,"Dua",'4'!I17),IF('7'!$V17&gt;=3,IF('3'!I17&lt;='7'!$V17,"Shr",'4'!I17),'4'!I17))))</f>
        <v>+</v>
      </c>
      <c r="J18" s="19" t="str">
        <f>IF(ISBLANK('Raw counts'!J18),"",IF('7'!$V17=1,IF('3'!J17='7'!$V17,"Sol",'4'!J17),IF('7'!$V17=2,IF('3'!J17&lt;='7'!$V17,"Dua",'4'!J17),IF('7'!$V17&gt;=3,IF('3'!J17&lt;='7'!$V17,"Shr",'4'!J17),'4'!J17))))</f>
        <v>-</v>
      </c>
      <c r="K18" s="19" t="str">
        <f>IF(ISBLANK('Raw counts'!K18),"",IF('7'!$V17=1,IF('3'!K17='7'!$V17,"Sol",'4'!K17),IF('7'!$V17=2,IF('3'!K17&lt;='7'!$V17,"Dua",'4'!K17),IF('7'!$V17&gt;=3,IF('3'!K17&lt;='7'!$V17,"Shr",'4'!K17),'4'!K17))))</f>
        <v>+</v>
      </c>
      <c r="L18" s="19" t="str">
        <f>IF(ISBLANK('Raw counts'!L18),"",IF('7'!$V17=1,IF('3'!L17='7'!$V17,"Sol",'4'!L17),IF('7'!$V17=2,IF('3'!L17&lt;='7'!$V17,"Dua",'4'!L17),IF('7'!$V17&gt;=3,IF('3'!L17&lt;='7'!$V17,"Shr",'4'!L17),'4'!L17))))</f>
        <v>-</v>
      </c>
      <c r="M18" s="19" t="str">
        <f>IF(ISBLANK('Raw counts'!M18),"",IF('7'!$V17=1,IF('3'!M17='7'!$V17,"Sol",'4'!M17),IF('7'!$V17=2,IF('3'!M17&lt;='7'!$V17,"Dua",'4'!M17),IF('7'!$V17&gt;=3,IF('3'!M17&lt;='7'!$V17,"Shr",'4'!M17),'4'!M17))))</f>
        <v/>
      </c>
      <c r="N18" s="19" t="str">
        <f>IF(ISBLANK('Raw counts'!N18),"",IF('7'!$V17=1,IF('3'!N17='7'!$V17,"Sol",'4'!N17),IF('7'!$V17=2,IF('3'!N17&lt;='7'!$V17,"Dua",'4'!N17),IF('7'!$V17&gt;=3,IF('3'!N17&lt;='7'!$V17,"Shr",'4'!N17),'4'!N17))))</f>
        <v/>
      </c>
      <c r="O18" s="19" t="str">
        <f>IF(ISBLANK('Raw counts'!O18),"",IF('7'!$V17=1,IF('3'!O17='7'!$V17,"Sol",'4'!O17),IF('7'!$V17=2,IF('3'!O17&lt;='7'!$V17,"Dua",'4'!O17),IF('7'!$V17&gt;=3,IF('3'!O17&lt;='7'!$V17,"Shr",'4'!O17),'4'!O17))))</f>
        <v/>
      </c>
      <c r="P18" s="19" t="str">
        <f>IF(ISBLANK('Raw counts'!P18),"",IF('7'!$V17=1,IF('3'!P17='7'!$V17,"Sol",'4'!P17),IF('7'!$V17=2,IF('3'!P17&lt;='7'!$V17,"Dua",'4'!P17),IF('7'!$V17&gt;=3,IF('3'!P17&lt;='7'!$V17,"Shr",'4'!P17),'4'!P17))))</f>
        <v/>
      </c>
      <c r="Q18" s="19" t="str">
        <f>IF(ISBLANK('Raw counts'!Q18),"",IF('7'!$V17=1,IF('3'!Q17='7'!$V17,"Sol",'4'!Q17),IF('7'!$V17=2,IF('3'!Q17&lt;='7'!$V17,"Dua",'4'!Q17),IF('7'!$V17&gt;=3,IF('3'!Q17&lt;='7'!$V17,"Shr",'4'!Q17),'4'!Q17))))</f>
        <v/>
      </c>
      <c r="R18" s="19" t="str">
        <f>IF(ISBLANK('Raw counts'!R18),"",IF('7'!$V17=1,IF('3'!R17='7'!$V17,"Sol",'4'!R17),IF('7'!$V17=2,IF('3'!R17&lt;='7'!$V17,"Dua",'4'!R17),IF('7'!$V17&gt;=3,IF('3'!R17&lt;='7'!$V17,"Shr",'4'!R17),'4'!R17))))</f>
        <v/>
      </c>
      <c r="S18" s="19" t="str">
        <f>IF(ISBLANK('Raw counts'!S18),"",IF('7'!$V17=1,IF('3'!S17='7'!$V17,"Sol",'4'!S17),IF('7'!$V17=2,IF('3'!S17&lt;='7'!$V17,"Dua",'4'!S17),IF('7'!$V17&gt;=3,IF('3'!S17&lt;='7'!$V17,"Shr",'4'!S17),'4'!S17))))</f>
        <v/>
      </c>
      <c r="T18" s="19" t="str">
        <f>IF(ISBLANK('Raw counts'!T18),"",IF('7'!$V17=1,IF('3'!T17='7'!$V17,"Sol",'4'!T17),IF('7'!$V17=2,IF('3'!T17&lt;='7'!$V17,"Dua",'4'!T17),IF('7'!$V17&gt;=3,IF('3'!T17&lt;='7'!$V17,"Shr",'4'!T17),'4'!T17))))</f>
        <v/>
      </c>
      <c r="U18" s="19" t="str">
        <f>IF(ISBLANK('Raw counts'!U18),"",IF('7'!$V17=1,IF('3'!U17='7'!$V17,"Sol",'4'!U17),IF('7'!$V17=2,IF('3'!U17&lt;='7'!$V17,"Dua",'4'!U17),IF('7'!$V17&gt;=3,IF('3'!U17&lt;='7'!$V17,"Shr",'4'!U17),'4'!U17))))</f>
        <v/>
      </c>
    </row>
    <row r="19" spans="1:21" x14ac:dyDescent="0.15">
      <c r="A19" s="18" t="str">
        <f>IF(ISBLANK('Raw counts'!A19),"",'Raw counts'!A19)</f>
        <v xml:space="preserve">In-store salesperson or advisor recommended another brand                   </v>
      </c>
      <c r="B19" s="19" t="str">
        <f>IF(ISBLANK('Raw counts'!B19),"",IF('7'!$V18=1,IF('3'!B18='7'!$V18,"Sol",'4'!B18),IF('7'!$V18=2,IF('3'!B18&lt;='7'!$V18,"Dua",'4'!B18),IF('7'!$V18&gt;=3,IF('3'!B18&lt;='7'!$V18,"Shr",'4'!B18),'4'!B18))))</f>
        <v>+</v>
      </c>
      <c r="C19" s="19" t="str">
        <f>IF(ISBLANK('Raw counts'!C19),"",IF('7'!$V18=1,IF('3'!C18='7'!$V18,"Sol",'4'!C18),IF('7'!$V18=2,IF('3'!C18&lt;='7'!$V18,"Dua",'4'!C18),IF('7'!$V18&gt;=3,IF('3'!C18&lt;='7'!$V18,"Shr",'4'!C18),'4'!C18))))</f>
        <v>-1</v>
      </c>
      <c r="D19" s="19" t="str">
        <f>IF(ISBLANK('Raw counts'!D19),"",IF('7'!$V18=1,IF('3'!D18='7'!$V18,"Sol",'4'!D18),IF('7'!$V18=2,IF('3'!D18&lt;='7'!$V18,"Dua",'4'!D18),IF('7'!$V18&gt;=3,IF('3'!D18&lt;='7'!$V18,"Shr",'4'!D18),'4'!D18))))</f>
        <v>+</v>
      </c>
      <c r="E19" s="19" t="str">
        <f>IF(ISBLANK('Raw counts'!E19),"",IF('7'!$V18=1,IF('3'!E18='7'!$V18,"Sol",'4'!E18),IF('7'!$V18=2,IF('3'!E18&lt;='7'!$V18,"Dua",'4'!E18),IF('7'!$V18&gt;=3,IF('3'!E18&lt;='7'!$V18,"Shr",'4'!E18),'4'!E18))))</f>
        <v>+</v>
      </c>
      <c r="F19" s="19" t="str">
        <f>IF(ISBLANK('Raw counts'!F19),"",IF('7'!$V18=1,IF('3'!F18='7'!$V18,"Sol",'4'!F18),IF('7'!$V18=2,IF('3'!F18&lt;='7'!$V18,"Dua",'4'!F18),IF('7'!$V18&gt;=3,IF('3'!F18&lt;='7'!$V18,"Shr",'4'!F18),'4'!F18))))</f>
        <v>-</v>
      </c>
      <c r="G19" s="19" t="str">
        <f>IF(ISBLANK('Raw counts'!G19),"",IF('7'!$V18=1,IF('3'!G18='7'!$V18,"Sol",'4'!G18),IF('7'!$V18=2,IF('3'!G18&lt;='7'!$V18,"Dua",'4'!G18),IF('7'!$V18&gt;=3,IF('3'!G18&lt;='7'!$V18,"Shr",'4'!G18),'4'!G18))))</f>
        <v>-</v>
      </c>
      <c r="H19" s="19" t="str">
        <f>IF(ISBLANK('Raw counts'!H19),"",IF('7'!$V18=1,IF('3'!H18='7'!$V18,"Sol",'4'!H18),IF('7'!$V18=2,IF('3'!H18&lt;='7'!$V18,"Dua",'4'!H18),IF('7'!$V18&gt;=3,IF('3'!H18&lt;='7'!$V18,"Shr",'4'!H18),'4'!H18))))</f>
        <v>-</v>
      </c>
      <c r="I19" s="19" t="str">
        <f>IF(ISBLANK('Raw counts'!I19),"",IF('7'!$V18=1,IF('3'!I18='7'!$V18,"Sol",'4'!I18),IF('7'!$V18=2,IF('3'!I18&lt;='7'!$V18,"Dua",'4'!I18),IF('7'!$V18&gt;=3,IF('3'!I18&lt;='7'!$V18,"Shr",'4'!I18),'4'!I18))))</f>
        <v>+</v>
      </c>
      <c r="J19" s="19" t="str">
        <f>IF(ISBLANK('Raw counts'!J19),"",IF('7'!$V18=1,IF('3'!J18='7'!$V18,"Sol",'4'!J18),IF('7'!$V18=2,IF('3'!J18&lt;='7'!$V18,"Dua",'4'!J18),IF('7'!$V18&gt;=3,IF('3'!J18&lt;='7'!$V18,"Shr",'4'!J18),'4'!J18))))</f>
        <v>-</v>
      </c>
      <c r="K19" s="19" t="str">
        <f>IF(ISBLANK('Raw counts'!K19),"",IF('7'!$V18=1,IF('3'!K18='7'!$V18,"Sol",'4'!K18),IF('7'!$V18=2,IF('3'!K18&lt;='7'!$V18,"Dua",'4'!K18),IF('7'!$V18&gt;=3,IF('3'!K18&lt;='7'!$V18,"Shr",'4'!K18),'4'!K18))))</f>
        <v>+1</v>
      </c>
      <c r="L19" s="19" t="str">
        <f>IF(ISBLANK('Raw counts'!L19),"",IF('7'!$V18=1,IF('3'!L18='7'!$V18,"Sol",'4'!L18),IF('7'!$V18=2,IF('3'!L18&lt;='7'!$V18,"Dua",'4'!L18),IF('7'!$V18&gt;=3,IF('3'!L18&lt;='7'!$V18,"Shr",'4'!L18),'4'!L18))))</f>
        <v>+</v>
      </c>
      <c r="M19" s="19" t="str">
        <f>IF(ISBLANK('Raw counts'!M19),"",IF('7'!$V18=1,IF('3'!M18='7'!$V18,"Sol",'4'!M18),IF('7'!$V18=2,IF('3'!M18&lt;='7'!$V18,"Dua",'4'!M18),IF('7'!$V18&gt;=3,IF('3'!M18&lt;='7'!$V18,"Shr",'4'!M18),'4'!M18))))</f>
        <v/>
      </c>
      <c r="N19" s="19" t="str">
        <f>IF(ISBLANK('Raw counts'!N19),"",IF('7'!$V18=1,IF('3'!N18='7'!$V18,"Sol",'4'!N18),IF('7'!$V18=2,IF('3'!N18&lt;='7'!$V18,"Dua",'4'!N18),IF('7'!$V18&gt;=3,IF('3'!N18&lt;='7'!$V18,"Shr",'4'!N18),'4'!N18))))</f>
        <v/>
      </c>
      <c r="O19" s="19" t="str">
        <f>IF(ISBLANK('Raw counts'!O19),"",IF('7'!$V18=1,IF('3'!O18='7'!$V18,"Sol",'4'!O18),IF('7'!$V18=2,IF('3'!O18&lt;='7'!$V18,"Dua",'4'!O18),IF('7'!$V18&gt;=3,IF('3'!O18&lt;='7'!$V18,"Shr",'4'!O18),'4'!O18))))</f>
        <v/>
      </c>
      <c r="P19" s="19" t="str">
        <f>IF(ISBLANK('Raw counts'!P19),"",IF('7'!$V18=1,IF('3'!P18='7'!$V18,"Sol",'4'!P18),IF('7'!$V18=2,IF('3'!P18&lt;='7'!$V18,"Dua",'4'!P18),IF('7'!$V18&gt;=3,IF('3'!P18&lt;='7'!$V18,"Shr",'4'!P18),'4'!P18))))</f>
        <v/>
      </c>
      <c r="Q19" s="19" t="str">
        <f>IF(ISBLANK('Raw counts'!Q19),"",IF('7'!$V18=1,IF('3'!Q18='7'!$V18,"Sol",'4'!Q18),IF('7'!$V18=2,IF('3'!Q18&lt;='7'!$V18,"Dua",'4'!Q18),IF('7'!$V18&gt;=3,IF('3'!Q18&lt;='7'!$V18,"Shr",'4'!Q18),'4'!Q18))))</f>
        <v/>
      </c>
      <c r="R19" s="19" t="str">
        <f>IF(ISBLANK('Raw counts'!R19),"",IF('7'!$V18=1,IF('3'!R18='7'!$V18,"Sol",'4'!R18),IF('7'!$V18=2,IF('3'!R18&lt;='7'!$V18,"Dua",'4'!R18),IF('7'!$V18&gt;=3,IF('3'!R18&lt;='7'!$V18,"Shr",'4'!R18),'4'!R18))))</f>
        <v/>
      </c>
      <c r="S19" s="19" t="str">
        <f>IF(ISBLANK('Raw counts'!S19),"",IF('7'!$V18=1,IF('3'!S18='7'!$V18,"Sol",'4'!S18),IF('7'!$V18=2,IF('3'!S18&lt;='7'!$V18,"Dua",'4'!S18),IF('7'!$V18&gt;=3,IF('3'!S18&lt;='7'!$V18,"Shr",'4'!S18),'4'!S18))))</f>
        <v/>
      </c>
      <c r="T19" s="19" t="str">
        <f>IF(ISBLANK('Raw counts'!T19),"",IF('7'!$V18=1,IF('3'!T18='7'!$V18,"Sol",'4'!T18),IF('7'!$V18=2,IF('3'!T18&lt;='7'!$V18,"Dua",'4'!T18),IF('7'!$V18&gt;=3,IF('3'!T18&lt;='7'!$V18,"Shr",'4'!T18),'4'!T18))))</f>
        <v/>
      </c>
      <c r="U19" s="19" t="str">
        <f>IF(ISBLANK('Raw counts'!U19),"",IF('7'!$V18=1,IF('3'!U18='7'!$V18,"Sol",'4'!U18),IF('7'!$V18=2,IF('3'!U18&lt;='7'!$V18,"Dua",'4'!U18),IF('7'!$V18&gt;=3,IF('3'!U18&lt;='7'!$V18,"Shr",'4'!U18),'4'!U18))))</f>
        <v/>
      </c>
    </row>
    <row r="20" spans="1:21" ht="25.5" x14ac:dyDescent="0.15">
      <c r="A20" s="18" t="str">
        <f>IF(ISBLANK('Raw counts'!A20),"",'Raw counts'!A20)</f>
        <v xml:space="preserve">Researched online while shopping and found negative reviews of the product  </v>
      </c>
      <c r="B20" s="19" t="str">
        <f>IF(ISBLANK('Raw counts'!B20),"",IF('7'!$V19=1,IF('3'!B19='7'!$V19,"Sol",'4'!B19),IF('7'!$V19=2,IF('3'!B19&lt;='7'!$V19,"Dua",'4'!B19),IF('7'!$V19&gt;=3,IF('3'!B19&lt;='7'!$V19,"Shr",'4'!B19),'4'!B19))))</f>
        <v>+</v>
      </c>
      <c r="C20" s="19" t="str">
        <f>IF(ISBLANK('Raw counts'!C20),"",IF('7'!$V19=1,IF('3'!C19='7'!$V19,"Sol",'4'!C19),IF('7'!$V19=2,IF('3'!C19&lt;='7'!$V19,"Dua",'4'!C19),IF('7'!$V19&gt;=3,IF('3'!C19&lt;='7'!$V19,"Shr",'4'!C19),'4'!C19))))</f>
        <v>+1</v>
      </c>
      <c r="D20" s="19" t="str">
        <f>IF(ISBLANK('Raw counts'!D20),"",IF('7'!$V19=1,IF('3'!D19='7'!$V19,"Sol",'4'!D19),IF('7'!$V19=2,IF('3'!D19&lt;='7'!$V19,"Dua",'4'!D19),IF('7'!$V19&gt;=3,IF('3'!D19&lt;='7'!$V19,"Shr",'4'!D19),'4'!D19))))</f>
        <v>+</v>
      </c>
      <c r="E20" s="19" t="str">
        <f>IF(ISBLANK('Raw counts'!E20),"",IF('7'!$V19=1,IF('3'!E19='7'!$V19,"Sol",'4'!E19),IF('7'!$V19=2,IF('3'!E19&lt;='7'!$V19,"Dua",'4'!E19),IF('7'!$V19&gt;=3,IF('3'!E19&lt;='7'!$V19,"Shr",'4'!E19),'4'!E19))))</f>
        <v>+</v>
      </c>
      <c r="F20" s="19" t="str">
        <f>IF(ISBLANK('Raw counts'!F20),"",IF('7'!$V19=1,IF('3'!F19='7'!$V19,"Sol",'4'!F19),IF('7'!$V19=2,IF('3'!F19&lt;='7'!$V19,"Dua",'4'!F19),IF('7'!$V19&gt;=3,IF('3'!F19&lt;='7'!$V19,"Shr",'4'!F19),'4'!F19))))</f>
        <v>-</v>
      </c>
      <c r="G20" s="19" t="str">
        <f>IF(ISBLANK('Raw counts'!G20),"",IF('7'!$V19=1,IF('3'!G19='7'!$V19,"Sol",'4'!G19),IF('7'!$V19=2,IF('3'!G19&lt;='7'!$V19,"Dua",'4'!G19),IF('7'!$V19&gt;=3,IF('3'!G19&lt;='7'!$V19,"Shr",'4'!G19),'4'!G19))))</f>
        <v>-1</v>
      </c>
      <c r="H20" s="19" t="str">
        <f>IF(ISBLANK('Raw counts'!H20),"",IF('7'!$V19=1,IF('3'!H19='7'!$V19,"Sol",'4'!H19),IF('7'!$V19=2,IF('3'!H19&lt;='7'!$V19,"Dua",'4'!H19),IF('7'!$V19&gt;=3,IF('3'!H19&lt;='7'!$V19,"Shr",'4'!H19),'4'!H19))))</f>
        <v>-1</v>
      </c>
      <c r="I20" s="19" t="str">
        <f>IF(ISBLANK('Raw counts'!I20),"",IF('7'!$V19=1,IF('3'!I19='7'!$V19,"Sol",'4'!I19),IF('7'!$V19=2,IF('3'!I19&lt;='7'!$V19,"Dua",'4'!I19),IF('7'!$V19&gt;=3,IF('3'!I19&lt;='7'!$V19,"Shr",'4'!I19),'4'!I19))))</f>
        <v>-</v>
      </c>
      <c r="J20" s="19" t="str">
        <f>IF(ISBLANK('Raw counts'!J20),"",IF('7'!$V19=1,IF('3'!J19='7'!$V19,"Sol",'4'!J19),IF('7'!$V19=2,IF('3'!J19&lt;='7'!$V19,"Dua",'4'!J19),IF('7'!$V19&gt;=3,IF('3'!J19&lt;='7'!$V19,"Shr",'4'!J19),'4'!J19))))</f>
        <v>+</v>
      </c>
      <c r="K20" s="19" t="str">
        <f>IF(ISBLANK('Raw counts'!K20),"",IF('7'!$V19=1,IF('3'!K19='7'!$V19,"Sol",'4'!K19),IF('7'!$V19=2,IF('3'!K19&lt;='7'!$V19,"Dua",'4'!K19),IF('7'!$V19&gt;=3,IF('3'!K19&lt;='7'!$V19,"Shr",'4'!K19),'4'!K19))))</f>
        <v>+</v>
      </c>
      <c r="L20" s="19" t="str">
        <f>IF(ISBLANK('Raw counts'!L20),"",IF('7'!$V19=1,IF('3'!L19='7'!$V19,"Sol",'4'!L19),IF('7'!$V19=2,IF('3'!L19&lt;='7'!$V19,"Dua",'4'!L19),IF('7'!$V19&gt;=3,IF('3'!L19&lt;='7'!$V19,"Shr",'4'!L19),'4'!L19))))</f>
        <v>-</v>
      </c>
      <c r="M20" s="19" t="str">
        <f>IF(ISBLANK('Raw counts'!M20),"",IF('7'!$V19=1,IF('3'!M19='7'!$V19,"Sol",'4'!M19),IF('7'!$V19=2,IF('3'!M19&lt;='7'!$V19,"Dua",'4'!M19),IF('7'!$V19&gt;=3,IF('3'!M19&lt;='7'!$V19,"Shr",'4'!M19),'4'!M19))))</f>
        <v/>
      </c>
      <c r="N20" s="19" t="str">
        <f>IF(ISBLANK('Raw counts'!N20),"",IF('7'!$V19=1,IF('3'!N19='7'!$V19,"Sol",'4'!N19),IF('7'!$V19=2,IF('3'!N19&lt;='7'!$V19,"Dua",'4'!N19),IF('7'!$V19&gt;=3,IF('3'!N19&lt;='7'!$V19,"Shr",'4'!N19),'4'!N19))))</f>
        <v/>
      </c>
      <c r="O20" s="19" t="str">
        <f>IF(ISBLANK('Raw counts'!O20),"",IF('7'!$V19=1,IF('3'!O19='7'!$V19,"Sol",'4'!O19),IF('7'!$V19=2,IF('3'!O19&lt;='7'!$V19,"Dua",'4'!O19),IF('7'!$V19&gt;=3,IF('3'!O19&lt;='7'!$V19,"Shr",'4'!O19),'4'!O19))))</f>
        <v/>
      </c>
      <c r="P20" s="19" t="str">
        <f>IF(ISBLANK('Raw counts'!P20),"",IF('7'!$V19=1,IF('3'!P19='7'!$V19,"Sol",'4'!P19),IF('7'!$V19=2,IF('3'!P19&lt;='7'!$V19,"Dua",'4'!P19),IF('7'!$V19&gt;=3,IF('3'!P19&lt;='7'!$V19,"Shr",'4'!P19),'4'!P19))))</f>
        <v/>
      </c>
      <c r="Q20" s="19" t="str">
        <f>IF(ISBLANK('Raw counts'!Q20),"",IF('7'!$V19=1,IF('3'!Q19='7'!$V19,"Sol",'4'!Q19),IF('7'!$V19=2,IF('3'!Q19&lt;='7'!$V19,"Dua",'4'!Q19),IF('7'!$V19&gt;=3,IF('3'!Q19&lt;='7'!$V19,"Shr",'4'!Q19),'4'!Q19))))</f>
        <v/>
      </c>
      <c r="R20" s="19" t="str">
        <f>IF(ISBLANK('Raw counts'!R20),"",IF('7'!$V19=1,IF('3'!R19='7'!$V19,"Sol",'4'!R19),IF('7'!$V19=2,IF('3'!R19&lt;='7'!$V19,"Dua",'4'!R19),IF('7'!$V19&gt;=3,IF('3'!R19&lt;='7'!$V19,"Shr",'4'!R19),'4'!R19))))</f>
        <v/>
      </c>
      <c r="S20" s="19" t="str">
        <f>IF(ISBLANK('Raw counts'!S20),"",IF('7'!$V19=1,IF('3'!S19='7'!$V19,"Sol",'4'!S19),IF('7'!$V19=2,IF('3'!S19&lt;='7'!$V19,"Dua",'4'!S19),IF('7'!$V19&gt;=3,IF('3'!S19&lt;='7'!$V19,"Shr",'4'!S19),'4'!S19))))</f>
        <v/>
      </c>
      <c r="T20" s="19" t="str">
        <f>IF(ISBLANK('Raw counts'!T20),"",IF('7'!$V19=1,IF('3'!T19='7'!$V19,"Sol",'4'!T19),IF('7'!$V19=2,IF('3'!T19&lt;='7'!$V19,"Dua",'4'!T19),IF('7'!$V19&gt;=3,IF('3'!T19&lt;='7'!$V19,"Shr",'4'!T19),'4'!T19))))</f>
        <v/>
      </c>
      <c r="U20" s="19" t="str">
        <f>IF(ISBLANK('Raw counts'!U20),"",IF('7'!$V19=1,IF('3'!U19='7'!$V19,"Sol",'4'!U19),IF('7'!$V19=2,IF('3'!U19&lt;='7'!$V19,"Dua",'4'!U19),IF('7'!$V19&gt;=3,IF('3'!U19&lt;='7'!$V19,"Shr",'4'!U19),'4'!U19))))</f>
        <v/>
      </c>
    </row>
    <row r="21" spans="1:21" ht="25.5" x14ac:dyDescent="0.15">
      <c r="A21" s="18" t="str">
        <f>IF(ISBLANK('Raw counts'!A21),"",'Raw counts'!A21)</f>
        <v xml:space="preserve">Dentist recommended another brand                                           </v>
      </c>
      <c r="B21" s="19" t="str">
        <f>IF(ISBLANK('Raw counts'!B21),"",IF('7'!$V20=1,IF('3'!B20='7'!$V20,"Sol",'4'!B20),IF('7'!$V20=2,IF('3'!B20&lt;='7'!$V20,"Dua",'4'!B20),IF('7'!$V20&gt;=3,IF('3'!B20&lt;='7'!$V20,"Shr",'4'!B20),'4'!B20))))</f>
        <v>-1</v>
      </c>
      <c r="C21" s="19" t="str">
        <f>IF(ISBLANK('Raw counts'!C21),"",IF('7'!$V20=1,IF('3'!C20='7'!$V20,"Sol",'4'!C20),IF('7'!$V20=2,IF('3'!C20&lt;='7'!$V20,"Dua",'4'!C20),IF('7'!$V20&gt;=3,IF('3'!C20&lt;='7'!$V20,"Shr",'4'!C20),'4'!C20))))</f>
        <v>+1</v>
      </c>
      <c r="D21" s="19" t="str">
        <f>IF(ISBLANK('Raw counts'!D21),"",IF('7'!$V20=1,IF('3'!D20='7'!$V20,"Sol",'4'!D20),IF('7'!$V20=2,IF('3'!D20&lt;='7'!$V20,"Dua",'4'!D20),IF('7'!$V20&gt;=3,IF('3'!D20&lt;='7'!$V20,"Shr",'4'!D20),'4'!D20))))</f>
        <v>+</v>
      </c>
      <c r="E21" s="19" t="str">
        <f>IF(ISBLANK('Raw counts'!E21),"",IF('7'!$V20=1,IF('3'!E20='7'!$V20,"Sol",'4'!E20),IF('7'!$V20=2,IF('3'!E20&lt;='7'!$V20,"Dua",'4'!E20),IF('7'!$V20&gt;=3,IF('3'!E20&lt;='7'!$V20,"Shr",'4'!E20),'4'!E20))))</f>
        <v>-</v>
      </c>
      <c r="F21" s="19" t="str">
        <f>IF(ISBLANK('Raw counts'!F21),"",IF('7'!$V20=1,IF('3'!F20='7'!$V20,"Sol",'4'!F20),IF('7'!$V20=2,IF('3'!F20&lt;='7'!$V20,"Dua",'4'!F20),IF('7'!$V20&gt;=3,IF('3'!F20&lt;='7'!$V20,"Shr",'4'!F20),'4'!F20))))</f>
        <v>-</v>
      </c>
      <c r="G21" s="19" t="str">
        <f>IF(ISBLANK('Raw counts'!G21),"",IF('7'!$V20=1,IF('3'!G20='7'!$V20,"Sol",'4'!G20),IF('7'!$V20=2,IF('3'!G20&lt;='7'!$V20,"Dua",'4'!G20),IF('7'!$V20&gt;=3,IF('3'!G20&lt;='7'!$V20,"Shr",'4'!G20),'4'!G20))))</f>
        <v>-1</v>
      </c>
      <c r="H21" s="19" t="str">
        <f>IF(ISBLANK('Raw counts'!H21),"",IF('7'!$V20=1,IF('3'!H20='7'!$V20,"Sol",'4'!H20),IF('7'!$V20=2,IF('3'!H20&lt;='7'!$V20,"Dua",'4'!H20),IF('7'!$V20&gt;=3,IF('3'!H20&lt;='7'!$V20,"Shr",'4'!H20),'4'!H20))))</f>
        <v>+1</v>
      </c>
      <c r="I21" s="19" t="str">
        <f>IF(ISBLANK('Raw counts'!I21),"",IF('7'!$V20=1,IF('3'!I20='7'!$V20,"Sol",'4'!I20),IF('7'!$V20=2,IF('3'!I20&lt;='7'!$V20,"Dua",'4'!I20),IF('7'!$V20&gt;=3,IF('3'!I20&lt;='7'!$V20,"Shr",'4'!I20),'4'!I20))))</f>
        <v>-</v>
      </c>
      <c r="J21" s="19" t="str">
        <f>IF(ISBLANK('Raw counts'!J21),"",IF('7'!$V20=1,IF('3'!J20='7'!$V20,"Sol",'4'!J20),IF('7'!$V20=2,IF('3'!J20&lt;='7'!$V20,"Dua",'4'!J20),IF('7'!$V20&gt;=3,IF('3'!J20&lt;='7'!$V20,"Shr",'4'!J20),'4'!J20))))</f>
        <v>+</v>
      </c>
      <c r="K21" s="19" t="str">
        <f>IF(ISBLANK('Raw counts'!K21),"",IF('7'!$V20=1,IF('3'!K20='7'!$V20,"Sol",'4'!K20),IF('7'!$V20=2,IF('3'!K20&lt;='7'!$V20,"Dua",'4'!K20),IF('7'!$V20&gt;=3,IF('3'!K20&lt;='7'!$V20,"Shr",'4'!K20),'4'!K20))))</f>
        <v>+</v>
      </c>
      <c r="L21" s="19" t="str">
        <f>IF(ISBLANK('Raw counts'!L21),"",IF('7'!$V20=1,IF('3'!L20='7'!$V20,"Sol",'4'!L20),IF('7'!$V20=2,IF('3'!L20&lt;='7'!$V20,"Dua",'4'!L20),IF('7'!$V20&gt;=3,IF('3'!L20&lt;='7'!$V20,"Shr",'4'!L20),'4'!L20))))</f>
        <v>+</v>
      </c>
      <c r="M21" s="19" t="str">
        <f>IF(ISBLANK('Raw counts'!M21),"",IF('7'!$V20=1,IF('3'!M20='7'!$V20,"Sol",'4'!M20),IF('7'!$V20=2,IF('3'!M20&lt;='7'!$V20,"Dua",'4'!M20),IF('7'!$V20&gt;=3,IF('3'!M20&lt;='7'!$V20,"Shr",'4'!M20),'4'!M20))))</f>
        <v/>
      </c>
      <c r="N21" s="19" t="str">
        <f>IF(ISBLANK('Raw counts'!N21),"",IF('7'!$V20=1,IF('3'!N20='7'!$V20,"Sol",'4'!N20),IF('7'!$V20=2,IF('3'!N20&lt;='7'!$V20,"Dua",'4'!N20),IF('7'!$V20&gt;=3,IF('3'!N20&lt;='7'!$V20,"Shr",'4'!N20),'4'!N20))))</f>
        <v/>
      </c>
      <c r="O21" s="19" t="str">
        <f>IF(ISBLANK('Raw counts'!O21),"",IF('7'!$V20=1,IF('3'!O20='7'!$V20,"Sol",'4'!O20),IF('7'!$V20=2,IF('3'!O20&lt;='7'!$V20,"Dua",'4'!O20),IF('7'!$V20&gt;=3,IF('3'!O20&lt;='7'!$V20,"Shr",'4'!O20),'4'!O20))))</f>
        <v/>
      </c>
      <c r="P21" s="19" t="str">
        <f>IF(ISBLANK('Raw counts'!P21),"",IF('7'!$V20=1,IF('3'!P20='7'!$V20,"Sol",'4'!P20),IF('7'!$V20=2,IF('3'!P20&lt;='7'!$V20,"Dua",'4'!P20),IF('7'!$V20&gt;=3,IF('3'!P20&lt;='7'!$V20,"Shr",'4'!P20),'4'!P20))))</f>
        <v/>
      </c>
      <c r="Q21" s="19" t="str">
        <f>IF(ISBLANK('Raw counts'!Q21),"",IF('7'!$V20=1,IF('3'!Q20='7'!$V20,"Sol",'4'!Q20),IF('7'!$V20=2,IF('3'!Q20&lt;='7'!$V20,"Dua",'4'!Q20),IF('7'!$V20&gt;=3,IF('3'!Q20&lt;='7'!$V20,"Shr",'4'!Q20),'4'!Q20))))</f>
        <v/>
      </c>
      <c r="R21" s="19" t="str">
        <f>IF(ISBLANK('Raw counts'!R21),"",IF('7'!$V20=1,IF('3'!R20='7'!$V20,"Sol",'4'!R20),IF('7'!$V20=2,IF('3'!R20&lt;='7'!$V20,"Dua",'4'!R20),IF('7'!$V20&gt;=3,IF('3'!R20&lt;='7'!$V20,"Shr",'4'!R20),'4'!R20))))</f>
        <v/>
      </c>
      <c r="S21" s="19" t="str">
        <f>IF(ISBLANK('Raw counts'!S21),"",IF('7'!$V20=1,IF('3'!S20='7'!$V20,"Sol",'4'!S20),IF('7'!$V20=2,IF('3'!S20&lt;='7'!$V20,"Dua",'4'!S20),IF('7'!$V20&gt;=3,IF('3'!S20&lt;='7'!$V20,"Shr",'4'!S20),'4'!S20))))</f>
        <v/>
      </c>
      <c r="T21" s="19" t="str">
        <f>IF(ISBLANK('Raw counts'!T21),"",IF('7'!$V20=1,IF('3'!T20='7'!$V20,"Sol",'4'!T20),IF('7'!$V20=2,IF('3'!T20&lt;='7'!$V20,"Dua",'4'!T20),IF('7'!$V20&gt;=3,IF('3'!T20&lt;='7'!$V20,"Shr",'4'!T20),'4'!T20))))</f>
        <v/>
      </c>
      <c r="U21" s="19" t="str">
        <f>IF(ISBLANK('Raw counts'!U21),"",IF('7'!$V20=1,IF('3'!U20='7'!$V20,"Sol",'4'!U20),IF('7'!$V20=2,IF('3'!U20&lt;='7'!$V20,"Dua",'4'!U20),IF('7'!$V20&gt;=3,IF('3'!U20&lt;='7'!$V20,"Shr",'4'!U20),'4'!U20))))</f>
        <v/>
      </c>
    </row>
    <row r="22" spans="1:21" ht="25.5" x14ac:dyDescent="0.15">
      <c r="A22" s="18" t="str">
        <f>IF(ISBLANK('Raw counts'!A22),"",'Raw counts'!A22)</f>
        <v xml:space="preserve">Some other reason                                                           </v>
      </c>
      <c r="B22" s="19" t="str">
        <f>IF(ISBLANK('Raw counts'!B22),"",IF('7'!$V21=1,IF('3'!B21='7'!$V21,"Sol",'4'!B21),IF('7'!$V21=2,IF('3'!B21&lt;='7'!$V21,"Dua",'4'!B21),IF('7'!$V21&gt;=3,IF('3'!B21&lt;='7'!$V21,"Shr",'4'!B21),'4'!B21))))</f>
        <v>-</v>
      </c>
      <c r="C22" s="19" t="str">
        <f>IF(ISBLANK('Raw counts'!C22),"",IF('7'!$V21=1,IF('3'!C21='7'!$V21,"Sol",'4'!C21),IF('7'!$V21=2,IF('3'!C21&lt;='7'!$V21,"Dua",'4'!C21),IF('7'!$V21&gt;=3,IF('3'!C21&lt;='7'!$V21,"Shr",'4'!C21),'4'!C21))))</f>
        <v>+</v>
      </c>
      <c r="D22" s="19" t="str">
        <f>IF(ISBLANK('Raw counts'!D22),"",IF('7'!$V21=1,IF('3'!D21='7'!$V21,"Sol",'4'!D21),IF('7'!$V21=2,IF('3'!D21&lt;='7'!$V21,"Dua",'4'!D21),IF('7'!$V21&gt;=3,IF('3'!D21&lt;='7'!$V21,"Shr",'4'!D21),'4'!D21))))</f>
        <v>+</v>
      </c>
      <c r="E22" s="19" t="str">
        <f>IF(ISBLANK('Raw counts'!E22),"",IF('7'!$V21=1,IF('3'!E21='7'!$V21,"Sol",'4'!E21),IF('7'!$V21=2,IF('3'!E21&lt;='7'!$V21,"Dua",'4'!E21),IF('7'!$V21&gt;=3,IF('3'!E21&lt;='7'!$V21,"Shr",'4'!E21),'4'!E21))))</f>
        <v>+</v>
      </c>
      <c r="F22" s="19" t="str">
        <f>IF(ISBLANK('Raw counts'!F22),"",IF('7'!$V21=1,IF('3'!F21='7'!$V21,"Sol",'4'!F21),IF('7'!$V21=2,IF('3'!F21&lt;='7'!$V21,"Dua",'4'!F21),IF('7'!$V21&gt;=3,IF('3'!F21&lt;='7'!$V21,"Shr",'4'!F21),'4'!F21))))</f>
        <v>-</v>
      </c>
      <c r="G22" s="19" t="str">
        <f>IF(ISBLANK('Raw counts'!G22),"",IF('7'!$V21=1,IF('3'!G21='7'!$V21,"Sol",'4'!G21),IF('7'!$V21=2,IF('3'!G21&lt;='7'!$V21,"Dua",'4'!G21),IF('7'!$V21&gt;=3,IF('3'!G21&lt;='7'!$V21,"Shr",'4'!G21),'4'!G21))))</f>
        <v>+</v>
      </c>
      <c r="H22" s="19" t="str">
        <f>IF(ISBLANK('Raw counts'!H22),"",IF('7'!$V21=1,IF('3'!H21='7'!$V21,"Sol",'4'!H21),IF('7'!$V21=2,IF('3'!H21&lt;='7'!$V21,"Dua",'4'!H21),IF('7'!$V21&gt;=3,IF('3'!H21&lt;='7'!$V21,"Shr",'4'!H21),'4'!H21))))</f>
        <v>-</v>
      </c>
      <c r="I22" s="19" t="str">
        <f>IF(ISBLANK('Raw counts'!I22),"",IF('7'!$V21=1,IF('3'!I21='7'!$V21,"Sol",'4'!I21),IF('7'!$V21=2,IF('3'!I21&lt;='7'!$V21,"Dua",'4'!I21),IF('7'!$V21&gt;=3,IF('3'!I21&lt;='7'!$V21,"Shr",'4'!I21),'4'!I21))))</f>
        <v>+</v>
      </c>
      <c r="J22" s="19" t="str">
        <f>IF(ISBLANK('Raw counts'!J22),"",IF('7'!$V21=1,IF('3'!J21='7'!$V21,"Sol",'4'!J21),IF('7'!$V21=2,IF('3'!J21&lt;='7'!$V21,"Dua",'4'!J21),IF('7'!$V21&gt;=3,IF('3'!J21&lt;='7'!$V21,"Shr",'4'!J21),'4'!J21))))</f>
        <v>+</v>
      </c>
      <c r="K22" s="19" t="str">
        <f>IF(ISBLANK('Raw counts'!K22),"",IF('7'!$V21=1,IF('3'!K21='7'!$V21,"Sol",'4'!K21),IF('7'!$V21=2,IF('3'!K21&lt;='7'!$V21,"Dua",'4'!K21),IF('7'!$V21&gt;=3,IF('3'!K21&lt;='7'!$V21,"Shr",'4'!K21),'4'!K21))))</f>
        <v>+</v>
      </c>
      <c r="L22" s="19" t="str">
        <f>IF(ISBLANK('Raw counts'!L22),"",IF('7'!$V21=1,IF('3'!L21='7'!$V21,"Sol",'4'!L21),IF('7'!$V21=2,IF('3'!L21&lt;='7'!$V21,"Dua",'4'!L21),IF('7'!$V21&gt;=3,IF('3'!L21&lt;='7'!$V21,"Shr",'4'!L21),'4'!L21))))</f>
        <v>+</v>
      </c>
      <c r="M22" s="19" t="str">
        <f>IF(ISBLANK('Raw counts'!M22),"",IF('7'!$V21=1,IF('3'!M21='7'!$V21,"Sol",'4'!M21),IF('7'!$V21=2,IF('3'!M21&lt;='7'!$V21,"Dua",'4'!M21),IF('7'!$V21&gt;=3,IF('3'!M21&lt;='7'!$V21,"Shr",'4'!M21),'4'!M21))))</f>
        <v/>
      </c>
      <c r="N22" s="19" t="str">
        <f>IF(ISBLANK('Raw counts'!N22),"",IF('7'!$V21=1,IF('3'!N21='7'!$V21,"Sol",'4'!N21),IF('7'!$V21=2,IF('3'!N21&lt;='7'!$V21,"Dua",'4'!N21),IF('7'!$V21&gt;=3,IF('3'!N21&lt;='7'!$V21,"Shr",'4'!N21),'4'!N21))))</f>
        <v/>
      </c>
      <c r="O22" s="19" t="str">
        <f>IF(ISBLANK('Raw counts'!O22),"",IF('7'!$V21=1,IF('3'!O21='7'!$V21,"Sol",'4'!O21),IF('7'!$V21=2,IF('3'!O21&lt;='7'!$V21,"Dua",'4'!O21),IF('7'!$V21&gt;=3,IF('3'!O21&lt;='7'!$V21,"Shr",'4'!O21),'4'!O21))))</f>
        <v/>
      </c>
      <c r="P22" s="19" t="str">
        <f>IF(ISBLANK('Raw counts'!P22),"",IF('7'!$V21=1,IF('3'!P21='7'!$V21,"Sol",'4'!P21),IF('7'!$V21=2,IF('3'!P21&lt;='7'!$V21,"Dua",'4'!P21),IF('7'!$V21&gt;=3,IF('3'!P21&lt;='7'!$V21,"Shr",'4'!P21),'4'!P21))))</f>
        <v/>
      </c>
      <c r="Q22" s="19" t="str">
        <f>IF(ISBLANK('Raw counts'!Q22),"",IF('7'!$V21=1,IF('3'!Q21='7'!$V21,"Sol",'4'!Q21),IF('7'!$V21=2,IF('3'!Q21&lt;='7'!$V21,"Dua",'4'!Q21),IF('7'!$V21&gt;=3,IF('3'!Q21&lt;='7'!$V21,"Shr",'4'!Q21),'4'!Q21))))</f>
        <v/>
      </c>
      <c r="R22" s="19" t="str">
        <f>IF(ISBLANK('Raw counts'!R22),"",IF('7'!$V21=1,IF('3'!R21='7'!$V21,"Sol",'4'!R21),IF('7'!$V21=2,IF('3'!R21&lt;='7'!$V21,"Dua",'4'!R21),IF('7'!$V21&gt;=3,IF('3'!R21&lt;='7'!$V21,"Shr",'4'!R21),'4'!R21))))</f>
        <v/>
      </c>
      <c r="S22" s="19" t="str">
        <f>IF(ISBLANK('Raw counts'!S22),"",IF('7'!$V21=1,IF('3'!S21='7'!$V21,"Sol",'4'!S21),IF('7'!$V21=2,IF('3'!S21&lt;='7'!$V21,"Dua",'4'!S21),IF('7'!$V21&gt;=3,IF('3'!S21&lt;='7'!$V21,"Shr",'4'!S21),'4'!S21))))</f>
        <v/>
      </c>
      <c r="T22" s="19" t="str">
        <f>IF(ISBLANK('Raw counts'!T22),"",IF('7'!$V21=1,IF('3'!T21='7'!$V21,"Sol",'4'!T21),IF('7'!$V21=2,IF('3'!T21&lt;='7'!$V21,"Dua",'4'!T21),IF('7'!$V21&gt;=3,IF('3'!T21&lt;='7'!$V21,"Shr",'4'!T21),'4'!T21))))</f>
        <v/>
      </c>
      <c r="U22" s="19" t="str">
        <f>IF(ISBLANK('Raw counts'!U22),"",IF('7'!$V21=1,IF('3'!U21='7'!$V21,"Sol",'4'!U21),IF('7'!$V21=2,IF('3'!U21&lt;='7'!$V21,"Dua",'4'!U21),IF('7'!$V21&gt;=3,IF('3'!U21&lt;='7'!$V21,"Shr",'4'!U21),'4'!U21))))</f>
        <v/>
      </c>
    </row>
    <row r="23" spans="1:21" ht="25.5" x14ac:dyDescent="0.15">
      <c r="A23" s="18" t="str">
        <f>IF(ISBLANK('Raw counts'!A23),"",'Raw counts'!A23)</f>
        <v/>
      </c>
      <c r="B23" s="19" t="str">
        <f>IF(ISBLANK('Raw counts'!B23),"",IF('7'!$V22=1,IF('3'!B22='7'!$V22,"Sol",'4'!B22),IF('7'!$V22=2,IF('3'!B22&lt;='7'!$V22,"Dua",'4'!B22),IF('7'!$V22&gt;=3,IF('3'!B22&lt;='7'!$V22,"Shr",'4'!B22),'4'!B22))))</f>
        <v/>
      </c>
      <c r="C23" s="19" t="str">
        <f>IF(ISBLANK('Raw counts'!C23),"",IF('7'!$V22=1,IF('3'!C22='7'!$V22,"Sol",'4'!C22),IF('7'!$V22=2,IF('3'!C22&lt;='7'!$V22,"Dua",'4'!C22),IF('7'!$V22&gt;=3,IF('3'!C22&lt;='7'!$V22,"Shr",'4'!C22),'4'!C22))))</f>
        <v/>
      </c>
      <c r="D23" s="19" t="str">
        <f>IF(ISBLANK('Raw counts'!D23),"",IF('7'!$V22=1,IF('3'!D22='7'!$V22,"Sol",'4'!D22),IF('7'!$V22=2,IF('3'!D22&lt;='7'!$V22,"Dua",'4'!D22),IF('7'!$V22&gt;=3,IF('3'!D22&lt;='7'!$V22,"Shr",'4'!D22),'4'!D22))))</f>
        <v/>
      </c>
      <c r="E23" s="19" t="str">
        <f>IF(ISBLANK('Raw counts'!E23),"",IF('7'!$V22=1,IF('3'!E22='7'!$V22,"Sol",'4'!E22),IF('7'!$V22=2,IF('3'!E22&lt;='7'!$V22,"Dua",'4'!E22),IF('7'!$V22&gt;=3,IF('3'!E22&lt;='7'!$V22,"Shr",'4'!E22),'4'!E22))))</f>
        <v/>
      </c>
      <c r="F23" s="19" t="str">
        <f>IF(ISBLANK('Raw counts'!F23),"",IF('7'!$V22=1,IF('3'!F22='7'!$V22,"Sol",'4'!F22),IF('7'!$V22=2,IF('3'!F22&lt;='7'!$V22,"Dua",'4'!F22),IF('7'!$V22&gt;=3,IF('3'!F22&lt;='7'!$V22,"Shr",'4'!F22),'4'!F22))))</f>
        <v/>
      </c>
      <c r="G23" s="19" t="str">
        <f>IF(ISBLANK('Raw counts'!G23),"",IF('7'!$V22=1,IF('3'!G22='7'!$V22,"Sol",'4'!G22),IF('7'!$V22=2,IF('3'!G22&lt;='7'!$V22,"Dua",'4'!G22),IF('7'!$V22&gt;=3,IF('3'!G22&lt;='7'!$V22,"Shr",'4'!G22),'4'!G22))))</f>
        <v/>
      </c>
      <c r="H23" s="19" t="str">
        <f>IF(ISBLANK('Raw counts'!H23),"",IF('7'!$V22=1,IF('3'!H22='7'!$V22,"Sol",'4'!H22),IF('7'!$V22=2,IF('3'!H22&lt;='7'!$V22,"Dua",'4'!H22),IF('7'!$V22&gt;=3,IF('3'!H22&lt;='7'!$V22,"Shr",'4'!H22),'4'!H22))))</f>
        <v/>
      </c>
      <c r="I23" s="19" t="str">
        <f>IF(ISBLANK('Raw counts'!I23),"",IF('7'!$V22=1,IF('3'!I22='7'!$V22,"Sol",'4'!I22),IF('7'!$V22=2,IF('3'!I22&lt;='7'!$V22,"Dua",'4'!I22),IF('7'!$V22&gt;=3,IF('3'!I22&lt;='7'!$V22,"Shr",'4'!I22),'4'!I22))))</f>
        <v/>
      </c>
      <c r="J23" s="19" t="str">
        <f>IF(ISBLANK('Raw counts'!J23),"",IF('7'!$V22=1,IF('3'!J22='7'!$V22,"Sol",'4'!J22),IF('7'!$V22=2,IF('3'!J22&lt;='7'!$V22,"Dua",'4'!J22),IF('7'!$V22&gt;=3,IF('3'!J22&lt;='7'!$V22,"Shr",'4'!J22),'4'!J22))))</f>
        <v/>
      </c>
      <c r="K23" s="19" t="str">
        <f>IF(ISBLANK('Raw counts'!K23),"",IF('7'!$V22=1,IF('3'!K22='7'!$V22,"Sol",'4'!K22),IF('7'!$V22=2,IF('3'!K22&lt;='7'!$V22,"Dua",'4'!K22),IF('7'!$V22&gt;=3,IF('3'!K22&lt;='7'!$V22,"Shr",'4'!K22),'4'!K22))))</f>
        <v/>
      </c>
      <c r="L23" s="19" t="str">
        <f>IF(ISBLANK('Raw counts'!L23),"",IF('7'!$V22=1,IF('3'!L22='7'!$V22,"Sol",'4'!L22),IF('7'!$V22=2,IF('3'!L22&lt;='7'!$V22,"Dua",'4'!L22),IF('7'!$V22&gt;=3,IF('3'!L22&lt;='7'!$V22,"Shr",'4'!L22),'4'!L22))))</f>
        <v/>
      </c>
      <c r="M23" s="19" t="str">
        <f>IF(ISBLANK('Raw counts'!M23),"",IF('7'!$V22=1,IF('3'!M22='7'!$V22,"Sol",'4'!M22),IF('7'!$V22=2,IF('3'!M22&lt;='7'!$V22,"Dua",'4'!M22),IF('7'!$V22&gt;=3,IF('3'!M22&lt;='7'!$V22,"Shr",'4'!M22),'4'!M22))))</f>
        <v/>
      </c>
      <c r="N23" s="19" t="str">
        <f>IF(ISBLANK('Raw counts'!N23),"",IF('7'!$V22=1,IF('3'!N22='7'!$V22,"Sol",'4'!N22),IF('7'!$V22=2,IF('3'!N22&lt;='7'!$V22,"Dua",'4'!N22),IF('7'!$V22&gt;=3,IF('3'!N22&lt;='7'!$V22,"Shr",'4'!N22),'4'!N22))))</f>
        <v/>
      </c>
      <c r="O23" s="19" t="str">
        <f>IF(ISBLANK('Raw counts'!O23),"",IF('7'!$V22=1,IF('3'!O22='7'!$V22,"Sol",'4'!O22),IF('7'!$V22=2,IF('3'!O22&lt;='7'!$V22,"Dua",'4'!O22),IF('7'!$V22&gt;=3,IF('3'!O22&lt;='7'!$V22,"Shr",'4'!O22),'4'!O22))))</f>
        <v/>
      </c>
      <c r="P23" s="19" t="str">
        <f>IF(ISBLANK('Raw counts'!P23),"",IF('7'!$V22=1,IF('3'!P22='7'!$V22,"Sol",'4'!P22),IF('7'!$V22=2,IF('3'!P22&lt;='7'!$V22,"Dua",'4'!P22),IF('7'!$V22&gt;=3,IF('3'!P22&lt;='7'!$V22,"Shr",'4'!P22),'4'!P22))))</f>
        <v/>
      </c>
      <c r="Q23" s="19" t="str">
        <f>IF(ISBLANK('Raw counts'!Q23),"",IF('7'!$V22=1,IF('3'!Q22='7'!$V22,"Sol",'4'!Q22),IF('7'!$V22=2,IF('3'!Q22&lt;='7'!$V22,"Dua",'4'!Q22),IF('7'!$V22&gt;=3,IF('3'!Q22&lt;='7'!$V22,"Shr",'4'!Q22),'4'!Q22))))</f>
        <v/>
      </c>
      <c r="R23" s="19" t="str">
        <f>IF(ISBLANK('Raw counts'!R23),"",IF('7'!$V22=1,IF('3'!R22='7'!$V22,"Sol",'4'!R22),IF('7'!$V22=2,IF('3'!R22&lt;='7'!$V22,"Dua",'4'!R22),IF('7'!$V22&gt;=3,IF('3'!R22&lt;='7'!$V22,"Shr",'4'!R22),'4'!R22))))</f>
        <v/>
      </c>
      <c r="S23" s="19" t="str">
        <f>IF(ISBLANK('Raw counts'!S23),"",IF('7'!$V22=1,IF('3'!S22='7'!$V22,"Sol",'4'!S22),IF('7'!$V22=2,IF('3'!S22&lt;='7'!$V22,"Dua",'4'!S22),IF('7'!$V22&gt;=3,IF('3'!S22&lt;='7'!$V22,"Shr",'4'!S22),'4'!S22))))</f>
        <v/>
      </c>
      <c r="T23" s="19" t="str">
        <f>IF(ISBLANK('Raw counts'!T23),"",IF('7'!$V22=1,IF('3'!T22='7'!$V22,"Sol",'4'!T22),IF('7'!$V22=2,IF('3'!T22&lt;='7'!$V22,"Dua",'4'!T22),IF('7'!$V22&gt;=3,IF('3'!T22&lt;='7'!$V22,"Shr",'4'!T22),'4'!T22))))</f>
        <v/>
      </c>
      <c r="U23" s="19" t="str">
        <f>IF(ISBLANK('Raw counts'!U23),"",IF('7'!$V22=1,IF('3'!U22='7'!$V22,"Sol",'4'!U22),IF('7'!$V22=2,IF('3'!U22&lt;='7'!$V22,"Dua",'4'!U22),IF('7'!$V22&gt;=3,IF('3'!U22&lt;='7'!$V22,"Shr",'4'!U22),'4'!U22))))</f>
        <v/>
      </c>
    </row>
    <row r="24" spans="1:21" ht="25.5" x14ac:dyDescent="0.15">
      <c r="A24" s="18" t="str">
        <f>IF(ISBLANK('Raw counts'!A24),"",'Raw counts'!A24)</f>
        <v/>
      </c>
      <c r="B24" s="19" t="str">
        <f>IF(ISBLANK('Raw counts'!B24),"",IF('7'!$V23=1,IF('3'!B23='7'!$V23,"Sol",'4'!B23),IF('7'!$V23=2,IF('3'!B23&lt;='7'!$V23,"Dua",'4'!B23),IF('7'!$V23&gt;=3,IF('3'!B23&lt;='7'!$V23,"Shr",'4'!B23),'4'!B23))))</f>
        <v/>
      </c>
      <c r="C24" s="19" t="str">
        <f>IF(ISBLANK('Raw counts'!C24),"",IF('7'!$V23=1,IF('3'!C23='7'!$V23,"Sol",'4'!C23),IF('7'!$V23=2,IF('3'!C23&lt;='7'!$V23,"Dua",'4'!C23),IF('7'!$V23&gt;=3,IF('3'!C23&lt;='7'!$V23,"Shr",'4'!C23),'4'!C23))))</f>
        <v/>
      </c>
      <c r="D24" s="19" t="str">
        <f>IF(ISBLANK('Raw counts'!D24),"",IF('7'!$V23=1,IF('3'!D23='7'!$V23,"Sol",'4'!D23),IF('7'!$V23=2,IF('3'!D23&lt;='7'!$V23,"Dua",'4'!D23),IF('7'!$V23&gt;=3,IF('3'!D23&lt;='7'!$V23,"Shr",'4'!D23),'4'!D23))))</f>
        <v/>
      </c>
      <c r="E24" s="19" t="str">
        <f>IF(ISBLANK('Raw counts'!E24),"",IF('7'!$V23=1,IF('3'!E23='7'!$V23,"Sol",'4'!E23),IF('7'!$V23=2,IF('3'!E23&lt;='7'!$V23,"Dua",'4'!E23),IF('7'!$V23&gt;=3,IF('3'!E23&lt;='7'!$V23,"Shr",'4'!E23),'4'!E23))))</f>
        <v/>
      </c>
      <c r="F24" s="19" t="str">
        <f>IF(ISBLANK('Raw counts'!F24),"",IF('7'!$V23=1,IF('3'!F23='7'!$V23,"Sol",'4'!F23),IF('7'!$V23=2,IF('3'!F23&lt;='7'!$V23,"Dua",'4'!F23),IF('7'!$V23&gt;=3,IF('3'!F23&lt;='7'!$V23,"Shr",'4'!F23),'4'!F23))))</f>
        <v/>
      </c>
      <c r="G24" s="19" t="str">
        <f>IF(ISBLANK('Raw counts'!G24),"",IF('7'!$V23=1,IF('3'!G23='7'!$V23,"Sol",'4'!G23),IF('7'!$V23=2,IF('3'!G23&lt;='7'!$V23,"Dua",'4'!G23),IF('7'!$V23&gt;=3,IF('3'!G23&lt;='7'!$V23,"Shr",'4'!G23),'4'!G23))))</f>
        <v/>
      </c>
      <c r="H24" s="19" t="str">
        <f>IF(ISBLANK('Raw counts'!H24),"",IF('7'!$V23=1,IF('3'!H23='7'!$V23,"Sol",'4'!H23),IF('7'!$V23=2,IF('3'!H23&lt;='7'!$V23,"Dua",'4'!H23),IF('7'!$V23&gt;=3,IF('3'!H23&lt;='7'!$V23,"Shr",'4'!H23),'4'!H23))))</f>
        <v/>
      </c>
      <c r="I24" s="19" t="str">
        <f>IF(ISBLANK('Raw counts'!I24),"",IF('7'!$V23=1,IF('3'!I23='7'!$V23,"Sol",'4'!I23),IF('7'!$V23=2,IF('3'!I23&lt;='7'!$V23,"Dua",'4'!I23),IF('7'!$V23&gt;=3,IF('3'!I23&lt;='7'!$V23,"Shr",'4'!I23),'4'!I23))))</f>
        <v/>
      </c>
      <c r="J24" s="19" t="str">
        <f>IF(ISBLANK('Raw counts'!J24),"",IF('7'!$V23=1,IF('3'!J23='7'!$V23,"Sol",'4'!J23),IF('7'!$V23=2,IF('3'!J23&lt;='7'!$V23,"Dua",'4'!J23),IF('7'!$V23&gt;=3,IF('3'!J23&lt;='7'!$V23,"Shr",'4'!J23),'4'!J23))))</f>
        <v/>
      </c>
      <c r="K24" s="19" t="str">
        <f>IF(ISBLANK('Raw counts'!K24),"",IF('7'!$V23=1,IF('3'!K23='7'!$V23,"Sol",'4'!K23),IF('7'!$V23=2,IF('3'!K23&lt;='7'!$V23,"Dua",'4'!K23),IF('7'!$V23&gt;=3,IF('3'!K23&lt;='7'!$V23,"Shr",'4'!K23),'4'!K23))))</f>
        <v/>
      </c>
      <c r="L24" s="19" t="str">
        <f>IF(ISBLANK('Raw counts'!L24),"",IF('7'!$V23=1,IF('3'!L23='7'!$V23,"Sol",'4'!L23),IF('7'!$V23=2,IF('3'!L23&lt;='7'!$V23,"Dua",'4'!L23),IF('7'!$V23&gt;=3,IF('3'!L23&lt;='7'!$V23,"Shr",'4'!L23),'4'!L23))))</f>
        <v/>
      </c>
      <c r="M24" s="19" t="str">
        <f>IF(ISBLANK('Raw counts'!M24),"",IF('7'!$V23=1,IF('3'!M23='7'!$V23,"Sol",'4'!M23),IF('7'!$V23=2,IF('3'!M23&lt;='7'!$V23,"Dua",'4'!M23),IF('7'!$V23&gt;=3,IF('3'!M23&lt;='7'!$V23,"Shr",'4'!M23),'4'!M23))))</f>
        <v/>
      </c>
      <c r="N24" s="19" t="str">
        <f>IF(ISBLANK('Raw counts'!N24),"",IF('7'!$V23=1,IF('3'!N23='7'!$V23,"Sol",'4'!N23),IF('7'!$V23=2,IF('3'!N23&lt;='7'!$V23,"Dua",'4'!N23),IF('7'!$V23&gt;=3,IF('3'!N23&lt;='7'!$V23,"Shr",'4'!N23),'4'!N23))))</f>
        <v/>
      </c>
      <c r="O24" s="19" t="str">
        <f>IF(ISBLANK('Raw counts'!O24),"",IF('7'!$V23=1,IF('3'!O23='7'!$V23,"Sol",'4'!O23),IF('7'!$V23=2,IF('3'!O23&lt;='7'!$V23,"Dua",'4'!O23),IF('7'!$V23&gt;=3,IF('3'!O23&lt;='7'!$V23,"Shr",'4'!O23),'4'!O23))))</f>
        <v/>
      </c>
      <c r="P24" s="19" t="str">
        <f>IF(ISBLANK('Raw counts'!P24),"",IF('7'!$V23=1,IF('3'!P23='7'!$V23,"Sol",'4'!P23),IF('7'!$V23=2,IF('3'!P23&lt;='7'!$V23,"Dua",'4'!P23),IF('7'!$V23&gt;=3,IF('3'!P23&lt;='7'!$V23,"Shr",'4'!P23),'4'!P23))))</f>
        <v/>
      </c>
      <c r="Q24" s="19" t="str">
        <f>IF(ISBLANK('Raw counts'!Q24),"",IF('7'!$V23=1,IF('3'!Q23='7'!$V23,"Sol",'4'!Q23),IF('7'!$V23=2,IF('3'!Q23&lt;='7'!$V23,"Dua",'4'!Q23),IF('7'!$V23&gt;=3,IF('3'!Q23&lt;='7'!$V23,"Shr",'4'!Q23),'4'!Q23))))</f>
        <v/>
      </c>
      <c r="R24" s="19" t="str">
        <f>IF(ISBLANK('Raw counts'!R24),"",IF('7'!$V23=1,IF('3'!R23='7'!$V23,"Sol",'4'!R23),IF('7'!$V23=2,IF('3'!R23&lt;='7'!$V23,"Dua",'4'!R23),IF('7'!$V23&gt;=3,IF('3'!R23&lt;='7'!$V23,"Shr",'4'!R23),'4'!R23))))</f>
        <v/>
      </c>
      <c r="S24" s="19" t="str">
        <f>IF(ISBLANK('Raw counts'!S24),"",IF('7'!$V23=1,IF('3'!S23='7'!$V23,"Sol",'4'!S23),IF('7'!$V23=2,IF('3'!S23&lt;='7'!$V23,"Dua",'4'!S23),IF('7'!$V23&gt;=3,IF('3'!S23&lt;='7'!$V23,"Shr",'4'!S23),'4'!S23))))</f>
        <v/>
      </c>
      <c r="T24" s="19" t="str">
        <f>IF(ISBLANK('Raw counts'!T24),"",IF('7'!$V23=1,IF('3'!T23='7'!$V23,"Sol",'4'!T23),IF('7'!$V23=2,IF('3'!T23&lt;='7'!$V23,"Dua",'4'!T23),IF('7'!$V23&gt;=3,IF('3'!T23&lt;='7'!$V23,"Shr",'4'!T23),'4'!T23))))</f>
        <v/>
      </c>
      <c r="U24" s="19" t="str">
        <f>IF(ISBLANK('Raw counts'!U24),"",IF('7'!$V23=1,IF('3'!U23='7'!$V23,"Sol",'4'!U23),IF('7'!$V23=2,IF('3'!U23&lt;='7'!$V23,"Dua",'4'!U23),IF('7'!$V23&gt;=3,IF('3'!U23&lt;='7'!$V23,"Shr",'4'!U23),'4'!U23))))</f>
        <v/>
      </c>
    </row>
    <row r="25" spans="1:21" x14ac:dyDescent="0.15">
      <c r="A25" s="18" t="str">
        <f>IF(ISBLANK('Raw counts'!A25),"",'Raw counts'!A25)</f>
        <v/>
      </c>
      <c r="B25" s="19" t="str">
        <f>IF(ISBLANK('Raw counts'!B25),"",IF('7'!$V24=1,IF('3'!B24='7'!$V24,"Sol",'4'!B24),IF('7'!$V24=2,IF('3'!B24&lt;='7'!$V24,"Dua",'4'!B24),IF('7'!$V24&gt;=3,IF('3'!B24&lt;='7'!$V24,"Shr",'4'!B24),'4'!B24))))</f>
        <v/>
      </c>
      <c r="C25" s="19" t="str">
        <f>IF(ISBLANK('Raw counts'!C25),"",IF('7'!$V24=1,IF('3'!C24='7'!$V24,"Sol",'4'!C24),IF('7'!$V24=2,IF('3'!C24&lt;='7'!$V24,"Dua",'4'!C24),IF('7'!$V24&gt;=3,IF('3'!C24&lt;='7'!$V24,"Shr",'4'!C24),'4'!C24))))</f>
        <v/>
      </c>
      <c r="D25" s="19" t="str">
        <f>IF(ISBLANK('Raw counts'!D25),"",IF('7'!$V24=1,IF('3'!D24='7'!$V24,"Sol",'4'!D24),IF('7'!$V24=2,IF('3'!D24&lt;='7'!$V24,"Dua",'4'!D24),IF('7'!$V24&gt;=3,IF('3'!D24&lt;='7'!$V24,"Shr",'4'!D24),'4'!D24))))</f>
        <v/>
      </c>
      <c r="E25" s="19" t="str">
        <f>IF(ISBLANK('Raw counts'!E25),"",IF('7'!$V24=1,IF('3'!E24='7'!$V24,"Sol",'4'!E24),IF('7'!$V24=2,IF('3'!E24&lt;='7'!$V24,"Dua",'4'!E24),IF('7'!$V24&gt;=3,IF('3'!E24&lt;='7'!$V24,"Shr",'4'!E24),'4'!E24))))</f>
        <v/>
      </c>
      <c r="F25" s="19" t="str">
        <f>IF(ISBLANK('Raw counts'!F25),"",IF('7'!$V24=1,IF('3'!F24='7'!$V24,"Sol",'4'!F24),IF('7'!$V24=2,IF('3'!F24&lt;='7'!$V24,"Dua",'4'!F24),IF('7'!$V24&gt;=3,IF('3'!F24&lt;='7'!$V24,"Shr",'4'!F24),'4'!F24))))</f>
        <v/>
      </c>
      <c r="G25" s="19" t="str">
        <f>IF(ISBLANK('Raw counts'!G25),"",IF('7'!$V24=1,IF('3'!G24='7'!$V24,"Sol",'4'!G24),IF('7'!$V24=2,IF('3'!G24&lt;='7'!$V24,"Dua",'4'!G24),IF('7'!$V24&gt;=3,IF('3'!G24&lt;='7'!$V24,"Shr",'4'!G24),'4'!G24))))</f>
        <v/>
      </c>
      <c r="H25" s="19" t="str">
        <f>IF(ISBLANK('Raw counts'!H25),"",IF('7'!$V24=1,IF('3'!H24='7'!$V24,"Sol",'4'!H24),IF('7'!$V24=2,IF('3'!H24&lt;='7'!$V24,"Dua",'4'!H24),IF('7'!$V24&gt;=3,IF('3'!H24&lt;='7'!$V24,"Shr",'4'!H24),'4'!H24))))</f>
        <v/>
      </c>
      <c r="I25" s="19" t="str">
        <f>IF(ISBLANK('Raw counts'!I25),"",IF('7'!$V24=1,IF('3'!I24='7'!$V24,"Sol",'4'!I24),IF('7'!$V24=2,IF('3'!I24&lt;='7'!$V24,"Dua",'4'!I24),IF('7'!$V24&gt;=3,IF('3'!I24&lt;='7'!$V24,"Shr",'4'!I24),'4'!I24))))</f>
        <v/>
      </c>
      <c r="J25" s="19" t="str">
        <f>IF(ISBLANK('Raw counts'!J25),"",IF('7'!$V24=1,IF('3'!J24='7'!$V24,"Sol",'4'!J24),IF('7'!$V24=2,IF('3'!J24&lt;='7'!$V24,"Dua",'4'!J24),IF('7'!$V24&gt;=3,IF('3'!J24&lt;='7'!$V24,"Shr",'4'!J24),'4'!J24))))</f>
        <v/>
      </c>
      <c r="K25" s="19" t="str">
        <f>IF(ISBLANK('Raw counts'!K25),"",IF('7'!$V24=1,IF('3'!K24='7'!$V24,"Sol",'4'!K24),IF('7'!$V24=2,IF('3'!K24&lt;='7'!$V24,"Dua",'4'!K24),IF('7'!$V24&gt;=3,IF('3'!K24&lt;='7'!$V24,"Shr",'4'!K24),'4'!K24))))</f>
        <v/>
      </c>
      <c r="L25" s="19" t="str">
        <f>IF(ISBLANK('Raw counts'!L25),"",IF('7'!$V24=1,IF('3'!L24='7'!$V24,"Sol",'4'!L24),IF('7'!$V24=2,IF('3'!L24&lt;='7'!$V24,"Dua",'4'!L24),IF('7'!$V24&gt;=3,IF('3'!L24&lt;='7'!$V24,"Shr",'4'!L24),'4'!L24))))</f>
        <v/>
      </c>
      <c r="M25" s="19" t="str">
        <f>IF(ISBLANK('Raw counts'!M25),"",IF('7'!$V24=1,IF('3'!M24='7'!$V24,"Sol",'4'!M24),IF('7'!$V24=2,IF('3'!M24&lt;='7'!$V24,"Dua",'4'!M24),IF('7'!$V24&gt;=3,IF('3'!M24&lt;='7'!$V24,"Shr",'4'!M24),'4'!M24))))</f>
        <v/>
      </c>
      <c r="N25" s="19" t="str">
        <f>IF(ISBLANK('Raw counts'!N25),"",IF('7'!$V24=1,IF('3'!N24='7'!$V24,"Sol",'4'!N24),IF('7'!$V24=2,IF('3'!N24&lt;='7'!$V24,"Dua",'4'!N24),IF('7'!$V24&gt;=3,IF('3'!N24&lt;='7'!$V24,"Shr",'4'!N24),'4'!N24))))</f>
        <v/>
      </c>
      <c r="O25" s="19" t="str">
        <f>IF(ISBLANK('Raw counts'!O25),"",IF('7'!$V24=1,IF('3'!O24='7'!$V24,"Sol",'4'!O24),IF('7'!$V24=2,IF('3'!O24&lt;='7'!$V24,"Dua",'4'!O24),IF('7'!$V24&gt;=3,IF('3'!O24&lt;='7'!$V24,"Shr",'4'!O24),'4'!O24))))</f>
        <v/>
      </c>
      <c r="P25" s="19" t="str">
        <f>IF(ISBLANK('Raw counts'!P25),"",IF('7'!$V24=1,IF('3'!P24='7'!$V24,"Sol",'4'!P24),IF('7'!$V24=2,IF('3'!P24&lt;='7'!$V24,"Dua",'4'!P24),IF('7'!$V24&gt;=3,IF('3'!P24&lt;='7'!$V24,"Shr",'4'!P24),'4'!P24))))</f>
        <v/>
      </c>
      <c r="Q25" s="19" t="str">
        <f>IF(ISBLANK('Raw counts'!Q25),"",IF('7'!$V24=1,IF('3'!Q24='7'!$V24,"Sol",'4'!Q24),IF('7'!$V24=2,IF('3'!Q24&lt;='7'!$V24,"Dua",'4'!Q24),IF('7'!$V24&gt;=3,IF('3'!Q24&lt;='7'!$V24,"Shr",'4'!Q24),'4'!Q24))))</f>
        <v/>
      </c>
      <c r="R25" s="19" t="str">
        <f>IF(ISBLANK('Raw counts'!R25),"",IF('7'!$V24=1,IF('3'!R24='7'!$V24,"Sol",'4'!R24),IF('7'!$V24=2,IF('3'!R24&lt;='7'!$V24,"Dua",'4'!R24),IF('7'!$V24&gt;=3,IF('3'!R24&lt;='7'!$V24,"Shr",'4'!R24),'4'!R24))))</f>
        <v/>
      </c>
      <c r="S25" s="19" t="str">
        <f>IF(ISBLANK('Raw counts'!S25),"",IF('7'!$V24=1,IF('3'!S24='7'!$V24,"Sol",'4'!S24),IF('7'!$V24=2,IF('3'!S24&lt;='7'!$V24,"Dua",'4'!S24),IF('7'!$V24&gt;=3,IF('3'!S24&lt;='7'!$V24,"Shr",'4'!S24),'4'!S24))))</f>
        <v/>
      </c>
      <c r="T25" s="19" t="str">
        <f>IF(ISBLANK('Raw counts'!T25),"",IF('7'!$V24=1,IF('3'!T24='7'!$V24,"Sol",'4'!T24),IF('7'!$V24=2,IF('3'!T24&lt;='7'!$V24,"Dua",'4'!T24),IF('7'!$V24&gt;=3,IF('3'!T24&lt;='7'!$V24,"Shr",'4'!T24),'4'!T24))))</f>
        <v/>
      </c>
      <c r="U25" s="19" t="str">
        <f>IF(ISBLANK('Raw counts'!U25),"",IF('7'!$V24=1,IF('3'!U24='7'!$V24,"Sol",'4'!U24),IF('7'!$V24=2,IF('3'!U24&lt;='7'!$V24,"Dua",'4'!U24),IF('7'!$V24&gt;=3,IF('3'!U24&lt;='7'!$V24,"Shr",'4'!U24),'4'!U24))))</f>
        <v/>
      </c>
    </row>
    <row r="26" spans="1:21" x14ac:dyDescent="0.15">
      <c r="A26" s="18" t="str">
        <f>IF(ISBLANK('Raw counts'!A26),"",'Raw counts'!A26)</f>
        <v/>
      </c>
      <c r="B26" s="19" t="str">
        <f>IF(ISBLANK('Raw counts'!B26),"",IF('7'!$V25=1,IF('3'!B25='7'!$V25,"Sol",'4'!B25),IF('7'!$V25=2,IF('3'!B25&lt;='7'!$V25,"Dua",'4'!B25),IF('7'!$V25&gt;=3,IF('3'!B25&lt;='7'!$V25,"Shr",'4'!B25),'4'!B25))))</f>
        <v/>
      </c>
      <c r="C26" s="19" t="str">
        <f>IF(ISBLANK('Raw counts'!C26),"",IF('7'!$V25=1,IF('3'!C25='7'!$V25,"Sol",'4'!C25),IF('7'!$V25=2,IF('3'!C25&lt;='7'!$V25,"Dua",'4'!C25),IF('7'!$V25&gt;=3,IF('3'!C25&lt;='7'!$V25,"Shr",'4'!C25),'4'!C25))))</f>
        <v/>
      </c>
      <c r="D26" s="19" t="str">
        <f>IF(ISBLANK('Raw counts'!D26),"",IF('7'!$V25=1,IF('3'!D25='7'!$V25,"Sol",'4'!D25),IF('7'!$V25=2,IF('3'!D25&lt;='7'!$V25,"Dua",'4'!D25),IF('7'!$V25&gt;=3,IF('3'!D25&lt;='7'!$V25,"Shr",'4'!D25),'4'!D25))))</f>
        <v/>
      </c>
      <c r="E26" s="19" t="str">
        <f>IF(ISBLANK('Raw counts'!E26),"",IF('7'!$V25=1,IF('3'!E25='7'!$V25,"Sol",'4'!E25),IF('7'!$V25=2,IF('3'!E25&lt;='7'!$V25,"Dua",'4'!E25),IF('7'!$V25&gt;=3,IF('3'!E25&lt;='7'!$V25,"Shr",'4'!E25),'4'!E25))))</f>
        <v/>
      </c>
      <c r="F26" s="19" t="str">
        <f>IF(ISBLANK('Raw counts'!F26),"",IF('7'!$V25=1,IF('3'!F25='7'!$V25,"Sol",'4'!F25),IF('7'!$V25=2,IF('3'!F25&lt;='7'!$V25,"Dua",'4'!F25),IF('7'!$V25&gt;=3,IF('3'!F25&lt;='7'!$V25,"Shr",'4'!F25),'4'!F25))))</f>
        <v/>
      </c>
      <c r="G26" s="19" t="str">
        <f>IF(ISBLANK('Raw counts'!G26),"",IF('7'!$V25=1,IF('3'!G25='7'!$V25,"Sol",'4'!G25),IF('7'!$V25=2,IF('3'!G25&lt;='7'!$V25,"Dua",'4'!G25),IF('7'!$V25&gt;=3,IF('3'!G25&lt;='7'!$V25,"Shr",'4'!G25),'4'!G25))))</f>
        <v/>
      </c>
      <c r="H26" s="19" t="str">
        <f>IF(ISBLANK('Raw counts'!H26),"",IF('7'!$V25=1,IF('3'!H25='7'!$V25,"Sol",'4'!H25),IF('7'!$V25=2,IF('3'!H25&lt;='7'!$V25,"Dua",'4'!H25),IF('7'!$V25&gt;=3,IF('3'!H25&lt;='7'!$V25,"Shr",'4'!H25),'4'!H25))))</f>
        <v/>
      </c>
      <c r="I26" s="19" t="str">
        <f>IF(ISBLANK('Raw counts'!I26),"",IF('7'!$V25=1,IF('3'!I25='7'!$V25,"Sol",'4'!I25),IF('7'!$V25=2,IF('3'!I25&lt;='7'!$V25,"Dua",'4'!I25),IF('7'!$V25&gt;=3,IF('3'!I25&lt;='7'!$V25,"Shr",'4'!I25),'4'!I25))))</f>
        <v/>
      </c>
      <c r="J26" s="19" t="str">
        <f>IF(ISBLANK('Raw counts'!J26),"",IF('7'!$V25=1,IF('3'!J25='7'!$V25,"Sol",'4'!J25),IF('7'!$V25=2,IF('3'!J25&lt;='7'!$V25,"Dua",'4'!J25),IF('7'!$V25&gt;=3,IF('3'!J25&lt;='7'!$V25,"Shr",'4'!J25),'4'!J25))))</f>
        <v/>
      </c>
      <c r="K26" s="19" t="str">
        <f>IF(ISBLANK('Raw counts'!K26),"",IF('7'!$V25=1,IF('3'!K25='7'!$V25,"Sol",'4'!K25),IF('7'!$V25=2,IF('3'!K25&lt;='7'!$V25,"Dua",'4'!K25),IF('7'!$V25&gt;=3,IF('3'!K25&lt;='7'!$V25,"Shr",'4'!K25),'4'!K25))))</f>
        <v/>
      </c>
      <c r="L26" s="19" t="str">
        <f>IF(ISBLANK('Raw counts'!L26),"",IF('7'!$V25=1,IF('3'!L25='7'!$V25,"Sol",'4'!L25),IF('7'!$V25=2,IF('3'!L25&lt;='7'!$V25,"Dua",'4'!L25),IF('7'!$V25&gt;=3,IF('3'!L25&lt;='7'!$V25,"Shr",'4'!L25),'4'!L25))))</f>
        <v/>
      </c>
      <c r="M26" s="19" t="str">
        <f>IF(ISBLANK('Raw counts'!M26),"",IF('7'!$V25=1,IF('3'!M25='7'!$V25,"Sol",'4'!M25),IF('7'!$V25=2,IF('3'!M25&lt;='7'!$V25,"Dua",'4'!M25),IF('7'!$V25&gt;=3,IF('3'!M25&lt;='7'!$V25,"Shr",'4'!M25),'4'!M25))))</f>
        <v/>
      </c>
      <c r="N26" s="19" t="str">
        <f>IF(ISBLANK('Raw counts'!N26),"",IF('7'!$V25=1,IF('3'!N25='7'!$V25,"Sol",'4'!N25),IF('7'!$V25=2,IF('3'!N25&lt;='7'!$V25,"Dua",'4'!N25),IF('7'!$V25&gt;=3,IF('3'!N25&lt;='7'!$V25,"Shr",'4'!N25),'4'!N25))))</f>
        <v/>
      </c>
      <c r="O26" s="19" t="str">
        <f>IF(ISBLANK('Raw counts'!O26),"",IF('7'!$V25=1,IF('3'!O25='7'!$V25,"Sol",'4'!O25),IF('7'!$V25=2,IF('3'!O25&lt;='7'!$V25,"Dua",'4'!O25),IF('7'!$V25&gt;=3,IF('3'!O25&lt;='7'!$V25,"Shr",'4'!O25),'4'!O25))))</f>
        <v/>
      </c>
      <c r="P26" s="19" t="str">
        <f>IF(ISBLANK('Raw counts'!P26),"",IF('7'!$V25=1,IF('3'!P25='7'!$V25,"Sol",'4'!P25),IF('7'!$V25=2,IF('3'!P25&lt;='7'!$V25,"Dua",'4'!P25),IF('7'!$V25&gt;=3,IF('3'!P25&lt;='7'!$V25,"Shr",'4'!P25),'4'!P25))))</f>
        <v/>
      </c>
      <c r="Q26" s="19" t="str">
        <f>IF(ISBLANK('Raw counts'!Q26),"",IF('7'!$V25=1,IF('3'!Q25='7'!$V25,"Sol",'4'!Q25),IF('7'!$V25=2,IF('3'!Q25&lt;='7'!$V25,"Dua",'4'!Q25),IF('7'!$V25&gt;=3,IF('3'!Q25&lt;='7'!$V25,"Shr",'4'!Q25),'4'!Q25))))</f>
        <v/>
      </c>
      <c r="R26" s="19" t="str">
        <f>IF(ISBLANK('Raw counts'!R26),"",IF('7'!$V25=1,IF('3'!R25='7'!$V25,"Sol",'4'!R25),IF('7'!$V25=2,IF('3'!R25&lt;='7'!$V25,"Dua",'4'!R25),IF('7'!$V25&gt;=3,IF('3'!R25&lt;='7'!$V25,"Shr",'4'!R25),'4'!R25))))</f>
        <v/>
      </c>
      <c r="S26" s="19" t="str">
        <f>IF(ISBLANK('Raw counts'!S26),"",IF('7'!$V25=1,IF('3'!S25='7'!$V25,"Sol",'4'!S25),IF('7'!$V25=2,IF('3'!S25&lt;='7'!$V25,"Dua",'4'!S25),IF('7'!$V25&gt;=3,IF('3'!S25&lt;='7'!$V25,"Shr",'4'!S25),'4'!S25))))</f>
        <v/>
      </c>
      <c r="T26" s="19" t="str">
        <f>IF(ISBLANK('Raw counts'!T26),"",IF('7'!$V25=1,IF('3'!T25='7'!$V25,"Sol",'4'!T25),IF('7'!$V25=2,IF('3'!T25&lt;='7'!$V25,"Dua",'4'!T25),IF('7'!$V25&gt;=3,IF('3'!T25&lt;='7'!$V25,"Shr",'4'!T25),'4'!T25))))</f>
        <v/>
      </c>
      <c r="U26" s="19" t="str">
        <f>IF(ISBLANK('Raw counts'!U26),"",IF('7'!$V25=1,IF('3'!U25='7'!$V25,"Sol",'4'!U25),IF('7'!$V25=2,IF('3'!U25&lt;='7'!$V25,"Dua",'4'!U25),IF('7'!$V25&gt;=3,IF('3'!U25&lt;='7'!$V25,"Shr",'4'!U25),'4'!U25))))</f>
        <v/>
      </c>
    </row>
    <row r="27" spans="1:21" ht="25.5" x14ac:dyDescent="0.15">
      <c r="A27" s="18" t="str">
        <f>IF(ISBLANK('Raw counts'!A27),"",'Raw counts'!A27)</f>
        <v/>
      </c>
      <c r="B27" s="19" t="str">
        <f>IF(ISBLANK('Raw counts'!B27),"",IF('7'!$V26=1,IF('3'!B26='7'!$V26,"Sol",'4'!B26),IF('7'!$V26=2,IF('3'!B26&lt;='7'!$V26,"Dua",'4'!B26),IF('7'!$V26&gt;=3,IF('3'!B26&lt;='7'!$V26,"Shr",'4'!B26),'4'!B26))))</f>
        <v/>
      </c>
      <c r="C27" s="19" t="str">
        <f>IF(ISBLANK('Raw counts'!C27),"",IF('7'!$V26=1,IF('3'!C26='7'!$V26,"Sol",'4'!C26),IF('7'!$V26=2,IF('3'!C26&lt;='7'!$V26,"Dua",'4'!C26),IF('7'!$V26&gt;=3,IF('3'!C26&lt;='7'!$V26,"Shr",'4'!C26),'4'!C26))))</f>
        <v/>
      </c>
      <c r="D27" s="19" t="str">
        <f>IF(ISBLANK('Raw counts'!D27),"",IF('7'!$V26=1,IF('3'!D26='7'!$V26,"Sol",'4'!D26),IF('7'!$V26=2,IF('3'!D26&lt;='7'!$V26,"Dua",'4'!D26),IF('7'!$V26&gt;=3,IF('3'!D26&lt;='7'!$V26,"Shr",'4'!D26),'4'!D26))))</f>
        <v/>
      </c>
      <c r="E27" s="19" t="str">
        <f>IF(ISBLANK('Raw counts'!E27),"",IF('7'!$V26=1,IF('3'!E26='7'!$V26,"Sol",'4'!E26),IF('7'!$V26=2,IF('3'!E26&lt;='7'!$V26,"Dua",'4'!E26),IF('7'!$V26&gt;=3,IF('3'!E26&lt;='7'!$V26,"Shr",'4'!E26),'4'!E26))))</f>
        <v/>
      </c>
      <c r="F27" s="19" t="str">
        <f>IF(ISBLANK('Raw counts'!F27),"",IF('7'!$V26=1,IF('3'!F26='7'!$V26,"Sol",'4'!F26),IF('7'!$V26=2,IF('3'!F26&lt;='7'!$V26,"Dua",'4'!F26),IF('7'!$V26&gt;=3,IF('3'!F26&lt;='7'!$V26,"Shr",'4'!F26),'4'!F26))))</f>
        <v/>
      </c>
      <c r="G27" s="19" t="str">
        <f>IF(ISBLANK('Raw counts'!G27),"",IF('7'!$V26=1,IF('3'!G26='7'!$V26,"Sol",'4'!G26),IF('7'!$V26=2,IF('3'!G26&lt;='7'!$V26,"Dua",'4'!G26),IF('7'!$V26&gt;=3,IF('3'!G26&lt;='7'!$V26,"Shr",'4'!G26),'4'!G26))))</f>
        <v/>
      </c>
      <c r="H27" s="19" t="str">
        <f>IF(ISBLANK('Raw counts'!H27),"",IF('7'!$V26=1,IF('3'!H26='7'!$V26,"Sol",'4'!H26),IF('7'!$V26=2,IF('3'!H26&lt;='7'!$V26,"Dua",'4'!H26),IF('7'!$V26&gt;=3,IF('3'!H26&lt;='7'!$V26,"Shr",'4'!H26),'4'!H26))))</f>
        <v/>
      </c>
      <c r="I27" s="19" t="str">
        <f>IF(ISBLANK('Raw counts'!I27),"",IF('7'!$V26=1,IF('3'!I26='7'!$V26,"Sol",'4'!I26),IF('7'!$V26=2,IF('3'!I26&lt;='7'!$V26,"Dua",'4'!I26),IF('7'!$V26&gt;=3,IF('3'!I26&lt;='7'!$V26,"Shr",'4'!I26),'4'!I26))))</f>
        <v/>
      </c>
      <c r="J27" s="19" t="str">
        <f>IF(ISBLANK('Raw counts'!J27),"",IF('7'!$V26=1,IF('3'!J26='7'!$V26,"Sol",'4'!J26),IF('7'!$V26=2,IF('3'!J26&lt;='7'!$V26,"Dua",'4'!J26),IF('7'!$V26&gt;=3,IF('3'!J26&lt;='7'!$V26,"Shr",'4'!J26),'4'!J26))))</f>
        <v/>
      </c>
      <c r="K27" s="19" t="str">
        <f>IF(ISBLANK('Raw counts'!K27),"",IF('7'!$V26=1,IF('3'!K26='7'!$V26,"Sol",'4'!K26),IF('7'!$V26=2,IF('3'!K26&lt;='7'!$V26,"Dua",'4'!K26),IF('7'!$V26&gt;=3,IF('3'!K26&lt;='7'!$V26,"Shr",'4'!K26),'4'!K26))))</f>
        <v/>
      </c>
      <c r="L27" s="19" t="str">
        <f>IF(ISBLANK('Raw counts'!L27),"",IF('7'!$V26=1,IF('3'!L26='7'!$V26,"Sol",'4'!L26),IF('7'!$V26=2,IF('3'!L26&lt;='7'!$V26,"Dua",'4'!L26),IF('7'!$V26&gt;=3,IF('3'!L26&lt;='7'!$V26,"Shr",'4'!L26),'4'!L26))))</f>
        <v/>
      </c>
      <c r="M27" s="19" t="str">
        <f>IF(ISBLANK('Raw counts'!M27),"",IF('7'!$V26=1,IF('3'!M26='7'!$V26,"Sol",'4'!M26),IF('7'!$V26=2,IF('3'!M26&lt;='7'!$V26,"Dua",'4'!M26),IF('7'!$V26&gt;=3,IF('3'!M26&lt;='7'!$V26,"Shr",'4'!M26),'4'!M26))))</f>
        <v/>
      </c>
      <c r="N27" s="19" t="str">
        <f>IF(ISBLANK('Raw counts'!N27),"",IF('7'!$V26=1,IF('3'!N26='7'!$V26,"Sol",'4'!N26),IF('7'!$V26=2,IF('3'!N26&lt;='7'!$V26,"Dua",'4'!N26),IF('7'!$V26&gt;=3,IF('3'!N26&lt;='7'!$V26,"Shr",'4'!N26),'4'!N26))))</f>
        <v/>
      </c>
      <c r="O27" s="19" t="str">
        <f>IF(ISBLANK('Raw counts'!O27),"",IF('7'!$V26=1,IF('3'!O26='7'!$V26,"Sol",'4'!O26),IF('7'!$V26=2,IF('3'!O26&lt;='7'!$V26,"Dua",'4'!O26),IF('7'!$V26&gt;=3,IF('3'!O26&lt;='7'!$V26,"Shr",'4'!O26),'4'!O26))))</f>
        <v/>
      </c>
      <c r="P27" s="19" t="str">
        <f>IF(ISBLANK('Raw counts'!P27),"",IF('7'!$V26=1,IF('3'!P26='7'!$V26,"Sol",'4'!P26),IF('7'!$V26=2,IF('3'!P26&lt;='7'!$V26,"Dua",'4'!P26),IF('7'!$V26&gt;=3,IF('3'!P26&lt;='7'!$V26,"Shr",'4'!P26),'4'!P26))))</f>
        <v/>
      </c>
      <c r="Q27" s="19" t="str">
        <f>IF(ISBLANK('Raw counts'!Q27),"",IF('7'!$V26=1,IF('3'!Q26='7'!$V26,"Sol",'4'!Q26),IF('7'!$V26=2,IF('3'!Q26&lt;='7'!$V26,"Dua",'4'!Q26),IF('7'!$V26&gt;=3,IF('3'!Q26&lt;='7'!$V26,"Shr",'4'!Q26),'4'!Q26))))</f>
        <v/>
      </c>
      <c r="R27" s="19" t="str">
        <f>IF(ISBLANK('Raw counts'!R27),"",IF('7'!$V26=1,IF('3'!R26='7'!$V26,"Sol",'4'!R26),IF('7'!$V26=2,IF('3'!R26&lt;='7'!$V26,"Dua",'4'!R26),IF('7'!$V26&gt;=3,IF('3'!R26&lt;='7'!$V26,"Shr",'4'!R26),'4'!R26))))</f>
        <v/>
      </c>
      <c r="S27" s="19" t="str">
        <f>IF(ISBLANK('Raw counts'!S27),"",IF('7'!$V26=1,IF('3'!S26='7'!$V26,"Sol",'4'!S26),IF('7'!$V26=2,IF('3'!S26&lt;='7'!$V26,"Dua",'4'!S26),IF('7'!$V26&gt;=3,IF('3'!S26&lt;='7'!$V26,"Shr",'4'!S26),'4'!S26))))</f>
        <v/>
      </c>
      <c r="T27" s="19" t="str">
        <f>IF(ISBLANK('Raw counts'!T27),"",IF('7'!$V26=1,IF('3'!T26='7'!$V26,"Sol",'4'!T26),IF('7'!$V26=2,IF('3'!T26&lt;='7'!$V26,"Dua",'4'!T26),IF('7'!$V26&gt;=3,IF('3'!T26&lt;='7'!$V26,"Shr",'4'!T26),'4'!T26))))</f>
        <v/>
      </c>
      <c r="U27" s="19" t="str">
        <f>IF(ISBLANK('Raw counts'!U27),"",IF('7'!$V26=1,IF('3'!U26='7'!$V26,"Sol",'4'!U26),IF('7'!$V26=2,IF('3'!U26&lt;='7'!$V26,"Dua",'4'!U26),IF('7'!$V26&gt;=3,IF('3'!U26&lt;='7'!$V26,"Shr",'4'!U26),'4'!U26))))</f>
        <v/>
      </c>
    </row>
    <row r="28" spans="1:21" x14ac:dyDescent="0.15">
      <c r="A28" s="18" t="str">
        <f>IF(ISBLANK('Raw counts'!A28),"",'Raw counts'!A28)</f>
        <v>Attr24</v>
      </c>
      <c r="B28" s="19" t="str">
        <f>IF(ISBLANK('Raw counts'!B28),"",IF('7'!$V27=1,IF('3'!B27='7'!$V27,"Sol",'4'!B27),IF('7'!$V27=2,IF('3'!B27&lt;='7'!$V27,"Dua",'4'!B27),IF('7'!$V27&gt;=3,IF('3'!B27&lt;='7'!$V27,"Shr",'4'!B27),'4'!B27))))</f>
        <v/>
      </c>
      <c r="C28" s="19" t="str">
        <f>IF(ISBLANK('Raw counts'!C28),"",IF('7'!$V27=1,IF('3'!C27='7'!$V27,"Sol",'4'!C27),IF('7'!$V27=2,IF('3'!C27&lt;='7'!$V27,"Dua",'4'!C27),IF('7'!$V27&gt;=3,IF('3'!C27&lt;='7'!$V27,"Shr",'4'!C27),'4'!C27))))</f>
        <v/>
      </c>
      <c r="D28" s="19" t="str">
        <f>IF(ISBLANK('Raw counts'!D28),"",IF('7'!$V27=1,IF('3'!D27='7'!$V27,"Sol",'4'!D27),IF('7'!$V27=2,IF('3'!D27&lt;='7'!$V27,"Dua",'4'!D27),IF('7'!$V27&gt;=3,IF('3'!D27&lt;='7'!$V27,"Shr",'4'!D27),'4'!D27))))</f>
        <v/>
      </c>
      <c r="E28" s="19" t="str">
        <f>IF(ISBLANK('Raw counts'!E28),"",IF('7'!$V27=1,IF('3'!E27='7'!$V27,"Sol",'4'!E27),IF('7'!$V27=2,IF('3'!E27&lt;='7'!$V27,"Dua",'4'!E27),IF('7'!$V27&gt;=3,IF('3'!E27&lt;='7'!$V27,"Shr",'4'!E27),'4'!E27))))</f>
        <v/>
      </c>
      <c r="F28" s="19" t="str">
        <f>IF(ISBLANK('Raw counts'!F28),"",IF('7'!$V27=1,IF('3'!F27='7'!$V27,"Sol",'4'!F27),IF('7'!$V27=2,IF('3'!F27&lt;='7'!$V27,"Dua",'4'!F27),IF('7'!$V27&gt;=3,IF('3'!F27&lt;='7'!$V27,"Shr",'4'!F27),'4'!F27))))</f>
        <v/>
      </c>
      <c r="G28" s="19" t="str">
        <f>IF(ISBLANK('Raw counts'!G28),"",IF('7'!$V27=1,IF('3'!G27='7'!$V27,"Sol",'4'!G27),IF('7'!$V27=2,IF('3'!G27&lt;='7'!$V27,"Dua",'4'!G27),IF('7'!$V27&gt;=3,IF('3'!G27&lt;='7'!$V27,"Shr",'4'!G27),'4'!G27))))</f>
        <v/>
      </c>
      <c r="H28" s="19" t="str">
        <f>IF(ISBLANK('Raw counts'!H28),"",IF('7'!$V27=1,IF('3'!H27='7'!$V27,"Sol",'4'!H27),IF('7'!$V27=2,IF('3'!H27&lt;='7'!$V27,"Dua",'4'!H27),IF('7'!$V27&gt;=3,IF('3'!H27&lt;='7'!$V27,"Shr",'4'!H27),'4'!H27))))</f>
        <v/>
      </c>
      <c r="I28" s="19" t="str">
        <f>IF(ISBLANK('Raw counts'!I28),"",IF('7'!$V27=1,IF('3'!I27='7'!$V27,"Sol",'4'!I27),IF('7'!$V27=2,IF('3'!I27&lt;='7'!$V27,"Dua",'4'!I27),IF('7'!$V27&gt;=3,IF('3'!I27&lt;='7'!$V27,"Shr",'4'!I27),'4'!I27))))</f>
        <v/>
      </c>
      <c r="J28" s="19" t="str">
        <f>IF(ISBLANK('Raw counts'!J28),"",IF('7'!$V27=1,IF('3'!J27='7'!$V27,"Sol",'4'!J27),IF('7'!$V27=2,IF('3'!J27&lt;='7'!$V27,"Dua",'4'!J27),IF('7'!$V27&gt;=3,IF('3'!J27&lt;='7'!$V27,"Shr",'4'!J27),'4'!J27))))</f>
        <v/>
      </c>
      <c r="K28" s="19" t="str">
        <f>IF(ISBLANK('Raw counts'!K28),"",IF('7'!$V27=1,IF('3'!K27='7'!$V27,"Sol",'4'!K27),IF('7'!$V27=2,IF('3'!K27&lt;='7'!$V27,"Dua",'4'!K27),IF('7'!$V27&gt;=3,IF('3'!K27&lt;='7'!$V27,"Shr",'4'!K27),'4'!K27))))</f>
        <v/>
      </c>
      <c r="L28" s="19" t="str">
        <f>IF(ISBLANK('Raw counts'!L28),"",IF('7'!$V27=1,IF('3'!L27='7'!$V27,"Sol",'4'!L27),IF('7'!$V27=2,IF('3'!L27&lt;='7'!$V27,"Dua",'4'!L27),IF('7'!$V27&gt;=3,IF('3'!L27&lt;='7'!$V27,"Shr",'4'!L27),'4'!L27))))</f>
        <v/>
      </c>
      <c r="M28" s="19" t="str">
        <f>IF(ISBLANK('Raw counts'!M28),"",IF('7'!$V27=1,IF('3'!M27='7'!$V27,"Sol",'4'!M27),IF('7'!$V27=2,IF('3'!M27&lt;='7'!$V27,"Dua",'4'!M27),IF('7'!$V27&gt;=3,IF('3'!M27&lt;='7'!$V27,"Shr",'4'!M27),'4'!M27))))</f>
        <v/>
      </c>
      <c r="N28" s="19" t="str">
        <f>IF(ISBLANK('Raw counts'!N28),"",IF('7'!$V27=1,IF('3'!N27='7'!$V27,"Sol",'4'!N27),IF('7'!$V27=2,IF('3'!N27&lt;='7'!$V27,"Dua",'4'!N27),IF('7'!$V27&gt;=3,IF('3'!N27&lt;='7'!$V27,"Shr",'4'!N27),'4'!N27))))</f>
        <v/>
      </c>
      <c r="O28" s="19" t="str">
        <f>IF(ISBLANK('Raw counts'!O28),"",IF('7'!$V27=1,IF('3'!O27='7'!$V27,"Sol",'4'!O27),IF('7'!$V27=2,IF('3'!O27&lt;='7'!$V27,"Dua",'4'!O27),IF('7'!$V27&gt;=3,IF('3'!O27&lt;='7'!$V27,"Shr",'4'!O27),'4'!O27))))</f>
        <v/>
      </c>
      <c r="P28" s="19" t="str">
        <f>IF(ISBLANK('Raw counts'!P28),"",IF('7'!$V27=1,IF('3'!P27='7'!$V27,"Sol",'4'!P27),IF('7'!$V27=2,IF('3'!P27&lt;='7'!$V27,"Dua",'4'!P27),IF('7'!$V27&gt;=3,IF('3'!P27&lt;='7'!$V27,"Shr",'4'!P27),'4'!P27))))</f>
        <v/>
      </c>
      <c r="Q28" s="19" t="str">
        <f>IF(ISBLANK('Raw counts'!Q28),"",IF('7'!$V27=1,IF('3'!Q27='7'!$V27,"Sol",'4'!Q27),IF('7'!$V27=2,IF('3'!Q27&lt;='7'!$V27,"Dua",'4'!Q27),IF('7'!$V27&gt;=3,IF('3'!Q27&lt;='7'!$V27,"Shr",'4'!Q27),'4'!Q27))))</f>
        <v/>
      </c>
      <c r="R28" s="19" t="str">
        <f>IF(ISBLANK('Raw counts'!R28),"",IF('7'!$V27=1,IF('3'!R27='7'!$V27,"Sol",'4'!R27),IF('7'!$V27=2,IF('3'!R27&lt;='7'!$V27,"Dua",'4'!R27),IF('7'!$V27&gt;=3,IF('3'!R27&lt;='7'!$V27,"Shr",'4'!R27),'4'!R27))))</f>
        <v/>
      </c>
      <c r="S28" s="19" t="str">
        <f>IF(ISBLANK('Raw counts'!S28),"",IF('7'!$V27=1,IF('3'!S27='7'!$V27,"Sol",'4'!S27),IF('7'!$V27=2,IF('3'!S27&lt;='7'!$V27,"Dua",'4'!S27),IF('7'!$V27&gt;=3,IF('3'!S27&lt;='7'!$V27,"Shr",'4'!S27),'4'!S27))))</f>
        <v/>
      </c>
      <c r="T28" s="19" t="str">
        <f>IF(ISBLANK('Raw counts'!T28),"",IF('7'!$V27=1,IF('3'!T27='7'!$V27,"Sol",'4'!T27),IF('7'!$V27=2,IF('3'!T27&lt;='7'!$V27,"Dua",'4'!T27),IF('7'!$V27&gt;=3,IF('3'!T27&lt;='7'!$V27,"Shr",'4'!T27),'4'!T27))))</f>
        <v/>
      </c>
      <c r="U28" s="19" t="str">
        <f>IF(ISBLANK('Raw counts'!U28),"",IF('7'!$V27=1,IF('3'!U27='7'!$V27,"Sol",'4'!U27),IF('7'!$V27=2,IF('3'!U27&lt;='7'!$V27,"Dua",'4'!U27),IF('7'!$V27&gt;=3,IF('3'!U27&lt;='7'!$V27,"Shr",'4'!U27),'4'!U27))))</f>
        <v/>
      </c>
    </row>
    <row r="29" spans="1:21" x14ac:dyDescent="0.15">
      <c r="A29" s="18" t="str">
        <f>IF(ISBLANK('Raw counts'!A29),"",'Raw counts'!A29)</f>
        <v>Attr25</v>
      </c>
      <c r="B29" s="19" t="str">
        <f>IF(ISBLANK('Raw counts'!B29),"",IF('7'!$V28=1,IF('3'!B28='7'!$V28,"Sol",'4'!B28),IF('7'!$V28=2,IF('3'!B28&lt;='7'!$V28,"Dua",'4'!B28),IF('7'!$V28&gt;=3,IF('3'!B28&lt;='7'!$V28,"Shr",'4'!B28),'4'!B28))))</f>
        <v/>
      </c>
      <c r="C29" s="19" t="str">
        <f>IF(ISBLANK('Raw counts'!C29),"",IF('7'!$V28=1,IF('3'!C28='7'!$V28,"Sol",'4'!C28),IF('7'!$V28=2,IF('3'!C28&lt;='7'!$V28,"Dua",'4'!C28),IF('7'!$V28&gt;=3,IF('3'!C28&lt;='7'!$V28,"Shr",'4'!C28),'4'!C28))))</f>
        <v/>
      </c>
      <c r="D29" s="19" t="str">
        <f>IF(ISBLANK('Raw counts'!D29),"",IF('7'!$V28=1,IF('3'!D28='7'!$V28,"Sol",'4'!D28),IF('7'!$V28=2,IF('3'!D28&lt;='7'!$V28,"Dua",'4'!D28),IF('7'!$V28&gt;=3,IF('3'!D28&lt;='7'!$V28,"Shr",'4'!D28),'4'!D28))))</f>
        <v/>
      </c>
      <c r="E29" s="19" t="str">
        <f>IF(ISBLANK('Raw counts'!E29),"",IF('7'!$V28=1,IF('3'!E28='7'!$V28,"Sol",'4'!E28),IF('7'!$V28=2,IF('3'!E28&lt;='7'!$V28,"Dua",'4'!E28),IF('7'!$V28&gt;=3,IF('3'!E28&lt;='7'!$V28,"Shr",'4'!E28),'4'!E28))))</f>
        <v/>
      </c>
      <c r="F29" s="19" t="str">
        <f>IF(ISBLANK('Raw counts'!F29),"",IF('7'!$V28=1,IF('3'!F28='7'!$V28,"Sol",'4'!F28),IF('7'!$V28=2,IF('3'!F28&lt;='7'!$V28,"Dua",'4'!F28),IF('7'!$V28&gt;=3,IF('3'!F28&lt;='7'!$V28,"Shr",'4'!F28),'4'!F28))))</f>
        <v/>
      </c>
      <c r="G29" s="19" t="str">
        <f>IF(ISBLANK('Raw counts'!G29),"",IF('7'!$V28=1,IF('3'!G28='7'!$V28,"Sol",'4'!G28),IF('7'!$V28=2,IF('3'!G28&lt;='7'!$V28,"Dua",'4'!G28),IF('7'!$V28&gt;=3,IF('3'!G28&lt;='7'!$V28,"Shr",'4'!G28),'4'!G28))))</f>
        <v/>
      </c>
      <c r="H29" s="19" t="str">
        <f>IF(ISBLANK('Raw counts'!H29),"",IF('7'!$V28=1,IF('3'!H28='7'!$V28,"Sol",'4'!H28),IF('7'!$V28=2,IF('3'!H28&lt;='7'!$V28,"Dua",'4'!H28),IF('7'!$V28&gt;=3,IF('3'!H28&lt;='7'!$V28,"Shr",'4'!H28),'4'!H28))))</f>
        <v/>
      </c>
      <c r="I29" s="19" t="str">
        <f>IF(ISBLANK('Raw counts'!I29),"",IF('7'!$V28=1,IF('3'!I28='7'!$V28,"Sol",'4'!I28),IF('7'!$V28=2,IF('3'!I28&lt;='7'!$V28,"Dua",'4'!I28),IF('7'!$V28&gt;=3,IF('3'!I28&lt;='7'!$V28,"Shr",'4'!I28),'4'!I28))))</f>
        <v/>
      </c>
      <c r="J29" s="19" t="str">
        <f>IF(ISBLANK('Raw counts'!J29),"",IF('7'!$V28=1,IF('3'!J28='7'!$V28,"Sol",'4'!J28),IF('7'!$V28=2,IF('3'!J28&lt;='7'!$V28,"Dua",'4'!J28),IF('7'!$V28&gt;=3,IF('3'!J28&lt;='7'!$V28,"Shr",'4'!J28),'4'!J28))))</f>
        <v/>
      </c>
      <c r="K29" s="19" t="str">
        <f>IF(ISBLANK('Raw counts'!K29),"",IF('7'!$V28=1,IF('3'!K28='7'!$V28,"Sol",'4'!K28),IF('7'!$V28=2,IF('3'!K28&lt;='7'!$V28,"Dua",'4'!K28),IF('7'!$V28&gt;=3,IF('3'!K28&lt;='7'!$V28,"Shr",'4'!K28),'4'!K28))))</f>
        <v/>
      </c>
      <c r="L29" s="19" t="str">
        <f>IF(ISBLANK('Raw counts'!L29),"",IF('7'!$V28=1,IF('3'!L28='7'!$V28,"Sol",'4'!L28),IF('7'!$V28=2,IF('3'!L28&lt;='7'!$V28,"Dua",'4'!L28),IF('7'!$V28&gt;=3,IF('3'!L28&lt;='7'!$V28,"Shr",'4'!L28),'4'!L28))))</f>
        <v/>
      </c>
      <c r="M29" s="19" t="str">
        <f>IF(ISBLANK('Raw counts'!M29),"",IF('7'!$V28=1,IF('3'!M28='7'!$V28,"Sol",'4'!M28),IF('7'!$V28=2,IF('3'!M28&lt;='7'!$V28,"Dua",'4'!M28),IF('7'!$V28&gt;=3,IF('3'!M28&lt;='7'!$V28,"Shr",'4'!M28),'4'!M28))))</f>
        <v/>
      </c>
      <c r="N29" s="19" t="str">
        <f>IF(ISBLANK('Raw counts'!N29),"",IF('7'!$V28=1,IF('3'!N28='7'!$V28,"Sol",'4'!N28),IF('7'!$V28=2,IF('3'!N28&lt;='7'!$V28,"Dua",'4'!N28),IF('7'!$V28&gt;=3,IF('3'!N28&lt;='7'!$V28,"Shr",'4'!N28),'4'!N28))))</f>
        <v/>
      </c>
      <c r="O29" s="19" t="str">
        <f>IF(ISBLANK('Raw counts'!O29),"",IF('7'!$V28=1,IF('3'!O28='7'!$V28,"Sol",'4'!O28),IF('7'!$V28=2,IF('3'!O28&lt;='7'!$V28,"Dua",'4'!O28),IF('7'!$V28&gt;=3,IF('3'!O28&lt;='7'!$V28,"Shr",'4'!O28),'4'!O28))))</f>
        <v/>
      </c>
      <c r="P29" s="19" t="str">
        <f>IF(ISBLANK('Raw counts'!P29),"",IF('7'!$V28=1,IF('3'!P28='7'!$V28,"Sol",'4'!P28),IF('7'!$V28=2,IF('3'!P28&lt;='7'!$V28,"Dua",'4'!P28),IF('7'!$V28&gt;=3,IF('3'!P28&lt;='7'!$V28,"Shr",'4'!P28),'4'!P28))))</f>
        <v/>
      </c>
      <c r="Q29" s="19" t="str">
        <f>IF(ISBLANK('Raw counts'!Q29),"",IF('7'!$V28=1,IF('3'!Q28='7'!$V28,"Sol",'4'!Q28),IF('7'!$V28=2,IF('3'!Q28&lt;='7'!$V28,"Dua",'4'!Q28),IF('7'!$V28&gt;=3,IF('3'!Q28&lt;='7'!$V28,"Shr",'4'!Q28),'4'!Q28))))</f>
        <v/>
      </c>
      <c r="R29" s="19" t="str">
        <f>IF(ISBLANK('Raw counts'!R29),"",IF('7'!$V28=1,IF('3'!R28='7'!$V28,"Sol",'4'!R28),IF('7'!$V28=2,IF('3'!R28&lt;='7'!$V28,"Dua",'4'!R28),IF('7'!$V28&gt;=3,IF('3'!R28&lt;='7'!$V28,"Shr",'4'!R28),'4'!R28))))</f>
        <v/>
      </c>
      <c r="S29" s="19" t="str">
        <f>IF(ISBLANK('Raw counts'!S29),"",IF('7'!$V28=1,IF('3'!S28='7'!$V28,"Sol",'4'!S28),IF('7'!$V28=2,IF('3'!S28&lt;='7'!$V28,"Dua",'4'!S28),IF('7'!$V28&gt;=3,IF('3'!S28&lt;='7'!$V28,"Shr",'4'!S28),'4'!S28))))</f>
        <v/>
      </c>
      <c r="T29" s="19" t="str">
        <f>IF(ISBLANK('Raw counts'!T29),"",IF('7'!$V28=1,IF('3'!T28='7'!$V28,"Sol",'4'!T28),IF('7'!$V28=2,IF('3'!T28&lt;='7'!$V28,"Dua",'4'!T28),IF('7'!$V28&gt;=3,IF('3'!T28&lt;='7'!$V28,"Shr",'4'!T28),'4'!T28))))</f>
        <v/>
      </c>
      <c r="U29" s="19" t="str">
        <f>IF(ISBLANK('Raw counts'!U29),"",IF('7'!$V28=1,IF('3'!U28='7'!$V28,"Sol",'4'!U28),IF('7'!$V28=2,IF('3'!U28&lt;='7'!$V28,"Dua",'4'!U28),IF('7'!$V28&gt;=3,IF('3'!U28&lt;='7'!$V28,"Shr",'4'!U28),'4'!U28))))</f>
        <v/>
      </c>
    </row>
    <row r="30" spans="1:21" x14ac:dyDescent="0.15">
      <c r="A30" s="18" t="str">
        <f>IF(ISBLANK('Raw counts'!A30),"",'Raw counts'!A30)</f>
        <v>Attr26</v>
      </c>
      <c r="B30" s="19" t="str">
        <f>IF(ISBLANK('Raw counts'!B30),"",IF('7'!$V29=1,IF('3'!B29='7'!$V29,"Sol",'4'!B29),IF('7'!$V29=2,IF('3'!B29&lt;='7'!$V29,"Dua",'4'!B29),IF('7'!$V29&gt;=3,IF('3'!B29&lt;='7'!$V29,"Shr",'4'!B29),'4'!B29))))</f>
        <v/>
      </c>
      <c r="C30" s="19" t="str">
        <f>IF(ISBLANK('Raw counts'!C30),"",IF('7'!$V29=1,IF('3'!C29='7'!$V29,"Sol",'4'!C29),IF('7'!$V29=2,IF('3'!C29&lt;='7'!$V29,"Dua",'4'!C29),IF('7'!$V29&gt;=3,IF('3'!C29&lt;='7'!$V29,"Shr",'4'!C29),'4'!C29))))</f>
        <v/>
      </c>
      <c r="D30" s="19" t="str">
        <f>IF(ISBLANK('Raw counts'!D30),"",IF('7'!$V29=1,IF('3'!D29='7'!$V29,"Sol",'4'!D29),IF('7'!$V29=2,IF('3'!D29&lt;='7'!$V29,"Dua",'4'!D29),IF('7'!$V29&gt;=3,IF('3'!D29&lt;='7'!$V29,"Shr",'4'!D29),'4'!D29))))</f>
        <v/>
      </c>
      <c r="E30" s="19" t="str">
        <f>IF(ISBLANK('Raw counts'!E30),"",IF('7'!$V29=1,IF('3'!E29='7'!$V29,"Sol",'4'!E29),IF('7'!$V29=2,IF('3'!E29&lt;='7'!$V29,"Dua",'4'!E29),IF('7'!$V29&gt;=3,IF('3'!E29&lt;='7'!$V29,"Shr",'4'!E29),'4'!E29))))</f>
        <v/>
      </c>
      <c r="F30" s="19" t="str">
        <f>IF(ISBLANK('Raw counts'!F30),"",IF('7'!$V29=1,IF('3'!F29='7'!$V29,"Sol",'4'!F29),IF('7'!$V29=2,IF('3'!F29&lt;='7'!$V29,"Dua",'4'!F29),IF('7'!$V29&gt;=3,IF('3'!F29&lt;='7'!$V29,"Shr",'4'!F29),'4'!F29))))</f>
        <v/>
      </c>
      <c r="G30" s="19" t="str">
        <f>IF(ISBLANK('Raw counts'!G30),"",IF('7'!$V29=1,IF('3'!G29='7'!$V29,"Sol",'4'!G29),IF('7'!$V29=2,IF('3'!G29&lt;='7'!$V29,"Dua",'4'!G29),IF('7'!$V29&gt;=3,IF('3'!G29&lt;='7'!$V29,"Shr",'4'!G29),'4'!G29))))</f>
        <v/>
      </c>
      <c r="H30" s="19" t="str">
        <f>IF(ISBLANK('Raw counts'!H30),"",IF('7'!$V29=1,IF('3'!H29='7'!$V29,"Sol",'4'!H29),IF('7'!$V29=2,IF('3'!H29&lt;='7'!$V29,"Dua",'4'!H29),IF('7'!$V29&gt;=3,IF('3'!H29&lt;='7'!$V29,"Shr",'4'!H29),'4'!H29))))</f>
        <v/>
      </c>
      <c r="I30" s="19" t="str">
        <f>IF(ISBLANK('Raw counts'!I30),"",IF('7'!$V29=1,IF('3'!I29='7'!$V29,"Sol",'4'!I29),IF('7'!$V29=2,IF('3'!I29&lt;='7'!$V29,"Dua",'4'!I29),IF('7'!$V29&gt;=3,IF('3'!I29&lt;='7'!$V29,"Shr",'4'!I29),'4'!I29))))</f>
        <v/>
      </c>
      <c r="J30" s="19" t="str">
        <f>IF(ISBLANK('Raw counts'!J30),"",IF('7'!$V29=1,IF('3'!J29='7'!$V29,"Sol",'4'!J29),IF('7'!$V29=2,IF('3'!J29&lt;='7'!$V29,"Dua",'4'!J29),IF('7'!$V29&gt;=3,IF('3'!J29&lt;='7'!$V29,"Shr",'4'!J29),'4'!J29))))</f>
        <v/>
      </c>
      <c r="K30" s="19" t="str">
        <f>IF(ISBLANK('Raw counts'!K30),"",IF('7'!$V29=1,IF('3'!K29='7'!$V29,"Sol",'4'!K29),IF('7'!$V29=2,IF('3'!K29&lt;='7'!$V29,"Dua",'4'!K29),IF('7'!$V29&gt;=3,IF('3'!K29&lt;='7'!$V29,"Shr",'4'!K29),'4'!K29))))</f>
        <v/>
      </c>
      <c r="L30" s="19" t="str">
        <f>IF(ISBLANK('Raw counts'!L30),"",IF('7'!$V29=1,IF('3'!L29='7'!$V29,"Sol",'4'!L29),IF('7'!$V29=2,IF('3'!L29&lt;='7'!$V29,"Dua",'4'!L29),IF('7'!$V29&gt;=3,IF('3'!L29&lt;='7'!$V29,"Shr",'4'!L29),'4'!L29))))</f>
        <v/>
      </c>
      <c r="M30" s="19" t="str">
        <f>IF(ISBLANK('Raw counts'!M30),"",IF('7'!$V29=1,IF('3'!M29='7'!$V29,"Sol",'4'!M29),IF('7'!$V29=2,IF('3'!M29&lt;='7'!$V29,"Dua",'4'!M29),IF('7'!$V29&gt;=3,IF('3'!M29&lt;='7'!$V29,"Shr",'4'!M29),'4'!M29))))</f>
        <v/>
      </c>
      <c r="N30" s="19" t="str">
        <f>IF(ISBLANK('Raw counts'!N30),"",IF('7'!$V29=1,IF('3'!N29='7'!$V29,"Sol",'4'!N29),IF('7'!$V29=2,IF('3'!N29&lt;='7'!$V29,"Dua",'4'!N29),IF('7'!$V29&gt;=3,IF('3'!N29&lt;='7'!$V29,"Shr",'4'!N29),'4'!N29))))</f>
        <v/>
      </c>
      <c r="O30" s="19" t="str">
        <f>IF(ISBLANK('Raw counts'!O30),"",IF('7'!$V29=1,IF('3'!O29='7'!$V29,"Sol",'4'!O29),IF('7'!$V29=2,IF('3'!O29&lt;='7'!$V29,"Dua",'4'!O29),IF('7'!$V29&gt;=3,IF('3'!O29&lt;='7'!$V29,"Shr",'4'!O29),'4'!O29))))</f>
        <v/>
      </c>
      <c r="P30" s="19" t="str">
        <f>IF(ISBLANK('Raw counts'!P30),"",IF('7'!$V29=1,IF('3'!P29='7'!$V29,"Sol",'4'!P29),IF('7'!$V29=2,IF('3'!P29&lt;='7'!$V29,"Dua",'4'!P29),IF('7'!$V29&gt;=3,IF('3'!P29&lt;='7'!$V29,"Shr",'4'!P29),'4'!P29))))</f>
        <v/>
      </c>
      <c r="Q30" s="19" t="str">
        <f>IF(ISBLANK('Raw counts'!Q30),"",IF('7'!$V29=1,IF('3'!Q29='7'!$V29,"Sol",'4'!Q29),IF('7'!$V29=2,IF('3'!Q29&lt;='7'!$V29,"Dua",'4'!Q29),IF('7'!$V29&gt;=3,IF('3'!Q29&lt;='7'!$V29,"Shr",'4'!Q29),'4'!Q29))))</f>
        <v/>
      </c>
      <c r="R30" s="19" t="str">
        <f>IF(ISBLANK('Raw counts'!R30),"",IF('7'!$V29=1,IF('3'!R29='7'!$V29,"Sol",'4'!R29),IF('7'!$V29=2,IF('3'!R29&lt;='7'!$V29,"Dua",'4'!R29),IF('7'!$V29&gt;=3,IF('3'!R29&lt;='7'!$V29,"Shr",'4'!R29),'4'!R29))))</f>
        <v/>
      </c>
      <c r="S30" s="19" t="str">
        <f>IF(ISBLANK('Raw counts'!S30),"",IF('7'!$V29=1,IF('3'!S29='7'!$V29,"Sol",'4'!S29),IF('7'!$V29=2,IF('3'!S29&lt;='7'!$V29,"Dua",'4'!S29),IF('7'!$V29&gt;=3,IF('3'!S29&lt;='7'!$V29,"Shr",'4'!S29),'4'!S29))))</f>
        <v/>
      </c>
      <c r="T30" s="19" t="str">
        <f>IF(ISBLANK('Raw counts'!T30),"",IF('7'!$V29=1,IF('3'!T29='7'!$V29,"Sol",'4'!T29),IF('7'!$V29=2,IF('3'!T29&lt;='7'!$V29,"Dua",'4'!T29),IF('7'!$V29&gt;=3,IF('3'!T29&lt;='7'!$V29,"Shr",'4'!T29),'4'!T29))))</f>
        <v/>
      </c>
      <c r="U30" s="19" t="str">
        <f>IF(ISBLANK('Raw counts'!U30),"",IF('7'!$V29=1,IF('3'!U29='7'!$V29,"Sol",'4'!U29),IF('7'!$V29=2,IF('3'!U29&lt;='7'!$V29,"Dua",'4'!U29),IF('7'!$V29&gt;=3,IF('3'!U29&lt;='7'!$V29,"Shr",'4'!U29),'4'!U29))))</f>
        <v/>
      </c>
    </row>
    <row r="31" spans="1:21" x14ac:dyDescent="0.15">
      <c r="A31" s="18" t="str">
        <f>IF(ISBLANK('Raw counts'!A31),"",'Raw counts'!A31)</f>
        <v>Attr27</v>
      </c>
      <c r="B31" s="19" t="str">
        <f>IF(ISBLANK('Raw counts'!B31),"",IF('7'!$V30=1,IF('3'!B30='7'!$V30,"Sol",'4'!B30),IF('7'!$V30=2,IF('3'!B30&lt;='7'!$V30,"Dua",'4'!B30),IF('7'!$V30&gt;=3,IF('3'!B30&lt;='7'!$V30,"Shr",'4'!B30),'4'!B30))))</f>
        <v/>
      </c>
      <c r="C31" s="19" t="str">
        <f>IF(ISBLANK('Raw counts'!C31),"",IF('7'!$V30=1,IF('3'!C30='7'!$V30,"Sol",'4'!C30),IF('7'!$V30=2,IF('3'!C30&lt;='7'!$V30,"Dua",'4'!C30),IF('7'!$V30&gt;=3,IF('3'!C30&lt;='7'!$V30,"Shr",'4'!C30),'4'!C30))))</f>
        <v/>
      </c>
      <c r="D31" s="19" t="str">
        <f>IF(ISBLANK('Raw counts'!D31),"",IF('7'!$V30=1,IF('3'!D30='7'!$V30,"Sol",'4'!D30),IF('7'!$V30=2,IF('3'!D30&lt;='7'!$V30,"Dua",'4'!D30),IF('7'!$V30&gt;=3,IF('3'!D30&lt;='7'!$V30,"Shr",'4'!D30),'4'!D30))))</f>
        <v/>
      </c>
      <c r="E31" s="19" t="str">
        <f>IF(ISBLANK('Raw counts'!E31),"",IF('7'!$V30=1,IF('3'!E30='7'!$V30,"Sol",'4'!E30),IF('7'!$V30=2,IF('3'!E30&lt;='7'!$V30,"Dua",'4'!E30),IF('7'!$V30&gt;=3,IF('3'!E30&lt;='7'!$V30,"Shr",'4'!E30),'4'!E30))))</f>
        <v/>
      </c>
      <c r="F31" s="19" t="str">
        <f>IF(ISBLANK('Raw counts'!F31),"",IF('7'!$V30=1,IF('3'!F30='7'!$V30,"Sol",'4'!F30),IF('7'!$V30=2,IF('3'!F30&lt;='7'!$V30,"Dua",'4'!F30),IF('7'!$V30&gt;=3,IF('3'!F30&lt;='7'!$V30,"Shr",'4'!F30),'4'!F30))))</f>
        <v/>
      </c>
      <c r="G31" s="19" t="str">
        <f>IF(ISBLANK('Raw counts'!G31),"",IF('7'!$V30=1,IF('3'!G30='7'!$V30,"Sol",'4'!G30),IF('7'!$V30=2,IF('3'!G30&lt;='7'!$V30,"Dua",'4'!G30),IF('7'!$V30&gt;=3,IF('3'!G30&lt;='7'!$V30,"Shr",'4'!G30),'4'!G30))))</f>
        <v/>
      </c>
      <c r="H31" s="19" t="str">
        <f>IF(ISBLANK('Raw counts'!H31),"",IF('7'!$V30=1,IF('3'!H30='7'!$V30,"Sol",'4'!H30),IF('7'!$V30=2,IF('3'!H30&lt;='7'!$V30,"Dua",'4'!H30),IF('7'!$V30&gt;=3,IF('3'!H30&lt;='7'!$V30,"Shr",'4'!H30),'4'!H30))))</f>
        <v/>
      </c>
      <c r="I31" s="19" t="str">
        <f>IF(ISBLANK('Raw counts'!I31),"",IF('7'!$V30=1,IF('3'!I30='7'!$V30,"Sol",'4'!I30),IF('7'!$V30=2,IF('3'!I30&lt;='7'!$V30,"Dua",'4'!I30),IF('7'!$V30&gt;=3,IF('3'!I30&lt;='7'!$V30,"Shr",'4'!I30),'4'!I30))))</f>
        <v/>
      </c>
      <c r="J31" s="19" t="str">
        <f>IF(ISBLANK('Raw counts'!J31),"",IF('7'!$V30=1,IF('3'!J30='7'!$V30,"Sol",'4'!J30),IF('7'!$V30=2,IF('3'!J30&lt;='7'!$V30,"Dua",'4'!J30),IF('7'!$V30&gt;=3,IF('3'!J30&lt;='7'!$V30,"Shr",'4'!J30),'4'!J30))))</f>
        <v/>
      </c>
      <c r="K31" s="19" t="str">
        <f>IF(ISBLANK('Raw counts'!K31),"",IF('7'!$V30=1,IF('3'!K30='7'!$V30,"Sol",'4'!K30),IF('7'!$V30=2,IF('3'!K30&lt;='7'!$V30,"Dua",'4'!K30),IF('7'!$V30&gt;=3,IF('3'!K30&lt;='7'!$V30,"Shr",'4'!K30),'4'!K30))))</f>
        <v/>
      </c>
      <c r="L31" s="19" t="str">
        <f>IF(ISBLANK('Raw counts'!L31),"",IF('7'!$V30=1,IF('3'!L30='7'!$V30,"Sol",'4'!L30),IF('7'!$V30=2,IF('3'!L30&lt;='7'!$V30,"Dua",'4'!L30),IF('7'!$V30&gt;=3,IF('3'!L30&lt;='7'!$V30,"Shr",'4'!L30),'4'!L30))))</f>
        <v/>
      </c>
      <c r="M31" s="19" t="str">
        <f>IF(ISBLANK('Raw counts'!M31),"",IF('7'!$V30=1,IF('3'!M30='7'!$V30,"Sol",'4'!M30),IF('7'!$V30=2,IF('3'!M30&lt;='7'!$V30,"Dua",'4'!M30),IF('7'!$V30&gt;=3,IF('3'!M30&lt;='7'!$V30,"Shr",'4'!M30),'4'!M30))))</f>
        <v/>
      </c>
      <c r="N31" s="19" t="str">
        <f>IF(ISBLANK('Raw counts'!N31),"",IF('7'!$V30=1,IF('3'!N30='7'!$V30,"Sol",'4'!N30),IF('7'!$V30=2,IF('3'!N30&lt;='7'!$V30,"Dua",'4'!N30),IF('7'!$V30&gt;=3,IF('3'!N30&lt;='7'!$V30,"Shr",'4'!N30),'4'!N30))))</f>
        <v/>
      </c>
      <c r="O31" s="19" t="str">
        <f>IF(ISBLANK('Raw counts'!O31),"",IF('7'!$V30=1,IF('3'!O30='7'!$V30,"Sol",'4'!O30),IF('7'!$V30=2,IF('3'!O30&lt;='7'!$V30,"Dua",'4'!O30),IF('7'!$V30&gt;=3,IF('3'!O30&lt;='7'!$V30,"Shr",'4'!O30),'4'!O30))))</f>
        <v/>
      </c>
      <c r="P31" s="19" t="str">
        <f>IF(ISBLANK('Raw counts'!P31),"",IF('7'!$V30=1,IF('3'!P30='7'!$V30,"Sol",'4'!P30),IF('7'!$V30=2,IF('3'!P30&lt;='7'!$V30,"Dua",'4'!P30),IF('7'!$V30&gt;=3,IF('3'!P30&lt;='7'!$V30,"Shr",'4'!P30),'4'!P30))))</f>
        <v/>
      </c>
      <c r="Q31" s="19" t="str">
        <f>IF(ISBLANK('Raw counts'!Q31),"",IF('7'!$V30=1,IF('3'!Q30='7'!$V30,"Sol",'4'!Q30),IF('7'!$V30=2,IF('3'!Q30&lt;='7'!$V30,"Dua",'4'!Q30),IF('7'!$V30&gt;=3,IF('3'!Q30&lt;='7'!$V30,"Shr",'4'!Q30),'4'!Q30))))</f>
        <v/>
      </c>
      <c r="R31" s="19" t="str">
        <f>IF(ISBLANK('Raw counts'!R31),"",IF('7'!$V30=1,IF('3'!R30='7'!$V30,"Sol",'4'!R30),IF('7'!$V30=2,IF('3'!R30&lt;='7'!$V30,"Dua",'4'!R30),IF('7'!$V30&gt;=3,IF('3'!R30&lt;='7'!$V30,"Shr",'4'!R30),'4'!R30))))</f>
        <v/>
      </c>
      <c r="S31" s="19" t="str">
        <f>IF(ISBLANK('Raw counts'!S31),"",IF('7'!$V30=1,IF('3'!S30='7'!$V30,"Sol",'4'!S30),IF('7'!$V30=2,IF('3'!S30&lt;='7'!$V30,"Dua",'4'!S30),IF('7'!$V30&gt;=3,IF('3'!S30&lt;='7'!$V30,"Shr",'4'!S30),'4'!S30))))</f>
        <v/>
      </c>
      <c r="T31" s="19" t="str">
        <f>IF(ISBLANK('Raw counts'!T31),"",IF('7'!$V30=1,IF('3'!T30='7'!$V30,"Sol",'4'!T30),IF('7'!$V30=2,IF('3'!T30&lt;='7'!$V30,"Dua",'4'!T30),IF('7'!$V30&gt;=3,IF('3'!T30&lt;='7'!$V30,"Shr",'4'!T30),'4'!T30))))</f>
        <v/>
      </c>
      <c r="U31" s="19" t="str">
        <f>IF(ISBLANK('Raw counts'!U31),"",IF('7'!$V30=1,IF('3'!U30='7'!$V30,"Sol",'4'!U30),IF('7'!$V30=2,IF('3'!U30&lt;='7'!$V30,"Dua",'4'!U30),IF('7'!$V30&gt;=3,IF('3'!U30&lt;='7'!$V30,"Shr",'4'!U30),'4'!U30))))</f>
        <v/>
      </c>
    </row>
    <row r="32" spans="1:21" x14ac:dyDescent="0.15">
      <c r="A32" s="18" t="str">
        <f>IF(ISBLANK('Raw counts'!A32),"",'Raw counts'!A32)</f>
        <v>Attr28</v>
      </c>
      <c r="B32" s="19" t="str">
        <f>IF(ISBLANK('Raw counts'!B32),"",IF('7'!$V31=1,IF('3'!B31='7'!$V31,"Sol",'4'!B31),IF('7'!$V31=2,IF('3'!B31&lt;='7'!$V31,"Dua",'4'!B31),IF('7'!$V31&gt;=3,IF('3'!B31&lt;='7'!$V31,"Shr",'4'!B31),'4'!B31))))</f>
        <v/>
      </c>
      <c r="C32" s="19" t="str">
        <f>IF(ISBLANK('Raw counts'!C32),"",IF('7'!$V31=1,IF('3'!C31='7'!$V31,"Sol",'4'!C31),IF('7'!$V31=2,IF('3'!C31&lt;='7'!$V31,"Dua",'4'!C31),IF('7'!$V31&gt;=3,IF('3'!C31&lt;='7'!$V31,"Shr",'4'!C31),'4'!C31))))</f>
        <v/>
      </c>
      <c r="D32" s="19" t="str">
        <f>IF(ISBLANK('Raw counts'!D32),"",IF('7'!$V31=1,IF('3'!D31='7'!$V31,"Sol",'4'!D31),IF('7'!$V31=2,IF('3'!D31&lt;='7'!$V31,"Dua",'4'!D31),IF('7'!$V31&gt;=3,IF('3'!D31&lt;='7'!$V31,"Shr",'4'!D31),'4'!D31))))</f>
        <v/>
      </c>
      <c r="E32" s="19" t="str">
        <f>IF(ISBLANK('Raw counts'!E32),"",IF('7'!$V31=1,IF('3'!E31='7'!$V31,"Sol",'4'!E31),IF('7'!$V31=2,IF('3'!E31&lt;='7'!$V31,"Dua",'4'!E31),IF('7'!$V31&gt;=3,IF('3'!E31&lt;='7'!$V31,"Shr",'4'!E31),'4'!E31))))</f>
        <v/>
      </c>
      <c r="F32" s="19" t="str">
        <f>IF(ISBLANK('Raw counts'!F32),"",IF('7'!$V31=1,IF('3'!F31='7'!$V31,"Sol",'4'!F31),IF('7'!$V31=2,IF('3'!F31&lt;='7'!$V31,"Dua",'4'!F31),IF('7'!$V31&gt;=3,IF('3'!F31&lt;='7'!$V31,"Shr",'4'!F31),'4'!F31))))</f>
        <v/>
      </c>
      <c r="G32" s="19" t="str">
        <f>IF(ISBLANK('Raw counts'!G32),"",IF('7'!$V31=1,IF('3'!G31='7'!$V31,"Sol",'4'!G31),IF('7'!$V31=2,IF('3'!G31&lt;='7'!$V31,"Dua",'4'!G31),IF('7'!$V31&gt;=3,IF('3'!G31&lt;='7'!$V31,"Shr",'4'!G31),'4'!G31))))</f>
        <v/>
      </c>
      <c r="H32" s="19" t="str">
        <f>IF(ISBLANK('Raw counts'!H32),"",IF('7'!$V31=1,IF('3'!H31='7'!$V31,"Sol",'4'!H31),IF('7'!$V31=2,IF('3'!H31&lt;='7'!$V31,"Dua",'4'!H31),IF('7'!$V31&gt;=3,IF('3'!H31&lt;='7'!$V31,"Shr",'4'!H31),'4'!H31))))</f>
        <v/>
      </c>
      <c r="I32" s="19" t="str">
        <f>IF(ISBLANK('Raw counts'!I32),"",IF('7'!$V31=1,IF('3'!I31='7'!$V31,"Sol",'4'!I31),IF('7'!$V31=2,IF('3'!I31&lt;='7'!$V31,"Dua",'4'!I31),IF('7'!$V31&gt;=3,IF('3'!I31&lt;='7'!$V31,"Shr",'4'!I31),'4'!I31))))</f>
        <v/>
      </c>
      <c r="J32" s="19" t="str">
        <f>IF(ISBLANK('Raw counts'!J32),"",IF('7'!$V31=1,IF('3'!J31='7'!$V31,"Sol",'4'!J31),IF('7'!$V31=2,IF('3'!J31&lt;='7'!$V31,"Dua",'4'!J31),IF('7'!$V31&gt;=3,IF('3'!J31&lt;='7'!$V31,"Shr",'4'!J31),'4'!J31))))</f>
        <v/>
      </c>
      <c r="K32" s="19" t="str">
        <f>IF(ISBLANK('Raw counts'!K32),"",IF('7'!$V31=1,IF('3'!K31='7'!$V31,"Sol",'4'!K31),IF('7'!$V31=2,IF('3'!K31&lt;='7'!$V31,"Dua",'4'!K31),IF('7'!$V31&gt;=3,IF('3'!K31&lt;='7'!$V31,"Shr",'4'!K31),'4'!K31))))</f>
        <v/>
      </c>
      <c r="L32" s="19" t="str">
        <f>IF(ISBLANK('Raw counts'!L32),"",IF('7'!$V31=1,IF('3'!L31='7'!$V31,"Sol",'4'!L31),IF('7'!$V31=2,IF('3'!L31&lt;='7'!$V31,"Dua",'4'!L31),IF('7'!$V31&gt;=3,IF('3'!L31&lt;='7'!$V31,"Shr",'4'!L31),'4'!L31))))</f>
        <v/>
      </c>
      <c r="M32" s="19" t="str">
        <f>IF(ISBLANK('Raw counts'!M32),"",IF('7'!$V31=1,IF('3'!M31='7'!$V31,"Sol",'4'!M31),IF('7'!$V31=2,IF('3'!M31&lt;='7'!$V31,"Dua",'4'!M31),IF('7'!$V31&gt;=3,IF('3'!M31&lt;='7'!$V31,"Shr",'4'!M31),'4'!M31))))</f>
        <v/>
      </c>
      <c r="N32" s="19" t="str">
        <f>IF(ISBLANK('Raw counts'!N32),"",IF('7'!$V31=1,IF('3'!N31='7'!$V31,"Sol",'4'!N31),IF('7'!$V31=2,IF('3'!N31&lt;='7'!$V31,"Dua",'4'!N31),IF('7'!$V31&gt;=3,IF('3'!N31&lt;='7'!$V31,"Shr",'4'!N31),'4'!N31))))</f>
        <v/>
      </c>
      <c r="O32" s="19" t="str">
        <f>IF(ISBLANK('Raw counts'!O32),"",IF('7'!$V31=1,IF('3'!O31='7'!$V31,"Sol",'4'!O31),IF('7'!$V31=2,IF('3'!O31&lt;='7'!$V31,"Dua",'4'!O31),IF('7'!$V31&gt;=3,IF('3'!O31&lt;='7'!$V31,"Shr",'4'!O31),'4'!O31))))</f>
        <v/>
      </c>
      <c r="P32" s="19" t="str">
        <f>IF(ISBLANK('Raw counts'!P32),"",IF('7'!$V31=1,IF('3'!P31='7'!$V31,"Sol",'4'!P31),IF('7'!$V31=2,IF('3'!P31&lt;='7'!$V31,"Dua",'4'!P31),IF('7'!$V31&gt;=3,IF('3'!P31&lt;='7'!$V31,"Shr",'4'!P31),'4'!P31))))</f>
        <v/>
      </c>
      <c r="Q32" s="19" t="str">
        <f>IF(ISBLANK('Raw counts'!Q32),"",IF('7'!$V31=1,IF('3'!Q31='7'!$V31,"Sol",'4'!Q31),IF('7'!$V31=2,IF('3'!Q31&lt;='7'!$V31,"Dua",'4'!Q31),IF('7'!$V31&gt;=3,IF('3'!Q31&lt;='7'!$V31,"Shr",'4'!Q31),'4'!Q31))))</f>
        <v/>
      </c>
      <c r="R32" s="19" t="str">
        <f>IF(ISBLANK('Raw counts'!R32),"",IF('7'!$V31=1,IF('3'!R31='7'!$V31,"Sol",'4'!R31),IF('7'!$V31=2,IF('3'!R31&lt;='7'!$V31,"Dua",'4'!R31),IF('7'!$V31&gt;=3,IF('3'!R31&lt;='7'!$V31,"Shr",'4'!R31),'4'!R31))))</f>
        <v/>
      </c>
      <c r="S32" s="19" t="str">
        <f>IF(ISBLANK('Raw counts'!S32),"",IF('7'!$V31=1,IF('3'!S31='7'!$V31,"Sol",'4'!S31),IF('7'!$V31=2,IF('3'!S31&lt;='7'!$V31,"Dua",'4'!S31),IF('7'!$V31&gt;=3,IF('3'!S31&lt;='7'!$V31,"Shr",'4'!S31),'4'!S31))))</f>
        <v/>
      </c>
      <c r="T32" s="19" t="str">
        <f>IF(ISBLANK('Raw counts'!T32),"",IF('7'!$V31=1,IF('3'!T31='7'!$V31,"Sol",'4'!T31),IF('7'!$V31=2,IF('3'!T31&lt;='7'!$V31,"Dua",'4'!T31),IF('7'!$V31&gt;=3,IF('3'!T31&lt;='7'!$V31,"Shr",'4'!T31),'4'!T31))))</f>
        <v/>
      </c>
      <c r="U32" s="19" t="str">
        <f>IF(ISBLANK('Raw counts'!U32),"",IF('7'!$V31=1,IF('3'!U31='7'!$V31,"Sol",'4'!U31),IF('7'!$V31=2,IF('3'!U31&lt;='7'!$V31,"Dua",'4'!U31),IF('7'!$V31&gt;=3,IF('3'!U31&lt;='7'!$V31,"Shr",'4'!U31),'4'!U31))))</f>
        <v/>
      </c>
    </row>
    <row r="33" spans="1:21" x14ac:dyDescent="0.15">
      <c r="A33" s="18" t="str">
        <f>IF(ISBLANK('Raw counts'!A33),"",'Raw counts'!A33)</f>
        <v>Attr29</v>
      </c>
      <c r="B33" s="19" t="str">
        <f>IF(ISBLANK('Raw counts'!B33),"",IF('7'!$V32=1,IF('3'!B32='7'!$V32,"Sol",'4'!B32),IF('7'!$V32=2,IF('3'!B32&lt;='7'!$V32,"Dua",'4'!B32),IF('7'!$V32&gt;=3,IF('3'!B32&lt;='7'!$V32,"Shr",'4'!B32),'4'!B32))))</f>
        <v/>
      </c>
      <c r="C33" s="19" t="str">
        <f>IF(ISBLANK('Raw counts'!C33),"",IF('7'!$V32=1,IF('3'!C32='7'!$V32,"Sol",'4'!C32),IF('7'!$V32=2,IF('3'!C32&lt;='7'!$V32,"Dua",'4'!C32),IF('7'!$V32&gt;=3,IF('3'!C32&lt;='7'!$V32,"Shr",'4'!C32),'4'!C32))))</f>
        <v/>
      </c>
      <c r="D33" s="19" t="str">
        <f>IF(ISBLANK('Raw counts'!D33),"",IF('7'!$V32=1,IF('3'!D32='7'!$V32,"Sol",'4'!D32),IF('7'!$V32=2,IF('3'!D32&lt;='7'!$V32,"Dua",'4'!D32),IF('7'!$V32&gt;=3,IF('3'!D32&lt;='7'!$V32,"Shr",'4'!D32),'4'!D32))))</f>
        <v/>
      </c>
      <c r="E33" s="19" t="str">
        <f>IF(ISBLANK('Raw counts'!E33),"",IF('7'!$V32=1,IF('3'!E32='7'!$V32,"Sol",'4'!E32),IF('7'!$V32=2,IF('3'!E32&lt;='7'!$V32,"Dua",'4'!E32),IF('7'!$V32&gt;=3,IF('3'!E32&lt;='7'!$V32,"Shr",'4'!E32),'4'!E32))))</f>
        <v/>
      </c>
      <c r="F33" s="19" t="str">
        <f>IF(ISBLANK('Raw counts'!F33),"",IF('7'!$V32=1,IF('3'!F32='7'!$V32,"Sol",'4'!F32),IF('7'!$V32=2,IF('3'!F32&lt;='7'!$V32,"Dua",'4'!F32),IF('7'!$V32&gt;=3,IF('3'!F32&lt;='7'!$V32,"Shr",'4'!F32),'4'!F32))))</f>
        <v/>
      </c>
      <c r="G33" s="19" t="str">
        <f>IF(ISBLANK('Raw counts'!G33),"",IF('7'!$V32=1,IF('3'!G32='7'!$V32,"Sol",'4'!G32),IF('7'!$V32=2,IF('3'!G32&lt;='7'!$V32,"Dua",'4'!G32),IF('7'!$V32&gt;=3,IF('3'!G32&lt;='7'!$V32,"Shr",'4'!G32),'4'!G32))))</f>
        <v/>
      </c>
      <c r="H33" s="19" t="str">
        <f>IF(ISBLANK('Raw counts'!H33),"",IF('7'!$V32=1,IF('3'!H32='7'!$V32,"Sol",'4'!H32),IF('7'!$V32=2,IF('3'!H32&lt;='7'!$V32,"Dua",'4'!H32),IF('7'!$V32&gt;=3,IF('3'!H32&lt;='7'!$V32,"Shr",'4'!H32),'4'!H32))))</f>
        <v/>
      </c>
      <c r="I33" s="19" t="str">
        <f>IF(ISBLANK('Raw counts'!I33),"",IF('7'!$V32=1,IF('3'!I32='7'!$V32,"Sol",'4'!I32),IF('7'!$V32=2,IF('3'!I32&lt;='7'!$V32,"Dua",'4'!I32),IF('7'!$V32&gt;=3,IF('3'!I32&lt;='7'!$V32,"Shr",'4'!I32),'4'!I32))))</f>
        <v/>
      </c>
      <c r="J33" s="19" t="str">
        <f>IF(ISBLANK('Raw counts'!J33),"",IF('7'!$V32=1,IF('3'!J32='7'!$V32,"Sol",'4'!J32),IF('7'!$V32=2,IF('3'!J32&lt;='7'!$V32,"Dua",'4'!J32),IF('7'!$V32&gt;=3,IF('3'!J32&lt;='7'!$V32,"Shr",'4'!J32),'4'!J32))))</f>
        <v/>
      </c>
      <c r="K33" s="19" t="str">
        <f>IF(ISBLANK('Raw counts'!K33),"",IF('7'!$V32=1,IF('3'!K32='7'!$V32,"Sol",'4'!K32),IF('7'!$V32=2,IF('3'!K32&lt;='7'!$V32,"Dua",'4'!K32),IF('7'!$V32&gt;=3,IF('3'!K32&lt;='7'!$V32,"Shr",'4'!K32),'4'!K32))))</f>
        <v/>
      </c>
      <c r="L33" s="19" t="str">
        <f>IF(ISBLANK('Raw counts'!L33),"",IF('7'!$V32=1,IF('3'!L32='7'!$V32,"Sol",'4'!L32),IF('7'!$V32=2,IF('3'!L32&lt;='7'!$V32,"Dua",'4'!L32),IF('7'!$V32&gt;=3,IF('3'!L32&lt;='7'!$V32,"Shr",'4'!L32),'4'!L32))))</f>
        <v/>
      </c>
      <c r="M33" s="19" t="str">
        <f>IF(ISBLANK('Raw counts'!M33),"",IF('7'!$V32=1,IF('3'!M32='7'!$V32,"Sol",'4'!M32),IF('7'!$V32=2,IF('3'!M32&lt;='7'!$V32,"Dua",'4'!M32),IF('7'!$V32&gt;=3,IF('3'!M32&lt;='7'!$V32,"Shr",'4'!M32),'4'!M32))))</f>
        <v/>
      </c>
      <c r="N33" s="19" t="str">
        <f>IF(ISBLANK('Raw counts'!N33),"",IF('7'!$V32=1,IF('3'!N32='7'!$V32,"Sol",'4'!N32),IF('7'!$V32=2,IF('3'!N32&lt;='7'!$V32,"Dua",'4'!N32),IF('7'!$V32&gt;=3,IF('3'!N32&lt;='7'!$V32,"Shr",'4'!N32),'4'!N32))))</f>
        <v/>
      </c>
      <c r="O33" s="19" t="str">
        <f>IF(ISBLANK('Raw counts'!O33),"",IF('7'!$V32=1,IF('3'!O32='7'!$V32,"Sol",'4'!O32),IF('7'!$V32=2,IF('3'!O32&lt;='7'!$V32,"Dua",'4'!O32),IF('7'!$V32&gt;=3,IF('3'!O32&lt;='7'!$V32,"Shr",'4'!O32),'4'!O32))))</f>
        <v/>
      </c>
      <c r="P33" s="19" t="str">
        <f>IF(ISBLANK('Raw counts'!P33),"",IF('7'!$V32=1,IF('3'!P32='7'!$V32,"Sol",'4'!P32),IF('7'!$V32=2,IF('3'!P32&lt;='7'!$V32,"Dua",'4'!P32),IF('7'!$V32&gt;=3,IF('3'!P32&lt;='7'!$V32,"Shr",'4'!P32),'4'!P32))))</f>
        <v/>
      </c>
      <c r="Q33" s="19" t="str">
        <f>IF(ISBLANK('Raw counts'!Q33),"",IF('7'!$V32=1,IF('3'!Q32='7'!$V32,"Sol",'4'!Q32),IF('7'!$V32=2,IF('3'!Q32&lt;='7'!$V32,"Dua",'4'!Q32),IF('7'!$V32&gt;=3,IF('3'!Q32&lt;='7'!$V32,"Shr",'4'!Q32),'4'!Q32))))</f>
        <v/>
      </c>
      <c r="R33" s="19" t="str">
        <f>IF(ISBLANK('Raw counts'!R33),"",IF('7'!$V32=1,IF('3'!R32='7'!$V32,"Sol",'4'!R32),IF('7'!$V32=2,IF('3'!R32&lt;='7'!$V32,"Dua",'4'!R32),IF('7'!$V32&gt;=3,IF('3'!R32&lt;='7'!$V32,"Shr",'4'!R32),'4'!R32))))</f>
        <v/>
      </c>
      <c r="S33" s="19" t="str">
        <f>IF(ISBLANK('Raw counts'!S33),"",IF('7'!$V32=1,IF('3'!S32='7'!$V32,"Sol",'4'!S32),IF('7'!$V32=2,IF('3'!S32&lt;='7'!$V32,"Dua",'4'!S32),IF('7'!$V32&gt;=3,IF('3'!S32&lt;='7'!$V32,"Shr",'4'!S32),'4'!S32))))</f>
        <v/>
      </c>
      <c r="T33" s="19" t="str">
        <f>IF(ISBLANK('Raw counts'!T33),"",IF('7'!$V32=1,IF('3'!T32='7'!$V32,"Sol",'4'!T32),IF('7'!$V32=2,IF('3'!T32&lt;='7'!$V32,"Dua",'4'!T32),IF('7'!$V32&gt;=3,IF('3'!T32&lt;='7'!$V32,"Shr",'4'!T32),'4'!T32))))</f>
        <v/>
      </c>
      <c r="U33" s="19" t="str">
        <f>IF(ISBLANK('Raw counts'!U33),"",IF('7'!$V32=1,IF('3'!U32='7'!$V32,"Sol",'4'!U32),IF('7'!$V32=2,IF('3'!U32&lt;='7'!$V32,"Dua",'4'!U32),IF('7'!$V32&gt;=3,IF('3'!U32&lt;='7'!$V32,"Shr",'4'!U32),'4'!U32))))</f>
        <v/>
      </c>
    </row>
    <row r="34" spans="1:21" x14ac:dyDescent="0.15">
      <c r="A34" s="18" t="str">
        <f>IF(ISBLANK('Raw counts'!A34),"",'Raw counts'!A34)</f>
        <v>Attr30</v>
      </c>
      <c r="B34" s="19" t="str">
        <f>IF(ISBLANK('Raw counts'!B34),"",IF('7'!$V33=1,IF('3'!B33='7'!$V33,"Sol",'4'!B33),IF('7'!$V33=2,IF('3'!B33&lt;='7'!$V33,"Dua",'4'!B33),IF('7'!$V33&gt;=3,IF('3'!B33&lt;='7'!$V33,"Shr",'4'!B33),'4'!B33))))</f>
        <v/>
      </c>
      <c r="C34" s="19" t="str">
        <f>IF(ISBLANK('Raw counts'!C34),"",IF('7'!$V33=1,IF('3'!C33='7'!$V33,"Sol",'4'!C33),IF('7'!$V33=2,IF('3'!C33&lt;='7'!$V33,"Dua",'4'!C33),IF('7'!$V33&gt;=3,IF('3'!C33&lt;='7'!$V33,"Shr",'4'!C33),'4'!C33))))</f>
        <v/>
      </c>
      <c r="D34" s="19" t="str">
        <f>IF(ISBLANK('Raw counts'!D34),"",IF('7'!$V33=1,IF('3'!D33='7'!$V33,"Sol",'4'!D33),IF('7'!$V33=2,IF('3'!D33&lt;='7'!$V33,"Dua",'4'!D33),IF('7'!$V33&gt;=3,IF('3'!D33&lt;='7'!$V33,"Shr",'4'!D33),'4'!D33))))</f>
        <v/>
      </c>
      <c r="E34" s="19" t="str">
        <f>IF(ISBLANK('Raw counts'!E34),"",IF('7'!$V33=1,IF('3'!E33='7'!$V33,"Sol",'4'!E33),IF('7'!$V33=2,IF('3'!E33&lt;='7'!$V33,"Dua",'4'!E33),IF('7'!$V33&gt;=3,IF('3'!E33&lt;='7'!$V33,"Shr",'4'!E33),'4'!E33))))</f>
        <v/>
      </c>
      <c r="F34" s="19" t="str">
        <f>IF(ISBLANK('Raw counts'!F34),"",IF('7'!$V33=1,IF('3'!F33='7'!$V33,"Sol",'4'!F33),IF('7'!$V33=2,IF('3'!F33&lt;='7'!$V33,"Dua",'4'!F33),IF('7'!$V33&gt;=3,IF('3'!F33&lt;='7'!$V33,"Shr",'4'!F33),'4'!F33))))</f>
        <v/>
      </c>
      <c r="G34" s="19" t="str">
        <f>IF(ISBLANK('Raw counts'!G34),"",IF('7'!$V33=1,IF('3'!G33='7'!$V33,"Sol",'4'!G33),IF('7'!$V33=2,IF('3'!G33&lt;='7'!$V33,"Dua",'4'!G33),IF('7'!$V33&gt;=3,IF('3'!G33&lt;='7'!$V33,"Shr",'4'!G33),'4'!G33))))</f>
        <v/>
      </c>
      <c r="H34" s="19" t="str">
        <f>IF(ISBLANK('Raw counts'!H34),"",IF('7'!$V33=1,IF('3'!H33='7'!$V33,"Sol",'4'!H33),IF('7'!$V33=2,IF('3'!H33&lt;='7'!$V33,"Dua",'4'!H33),IF('7'!$V33&gt;=3,IF('3'!H33&lt;='7'!$V33,"Shr",'4'!H33),'4'!H33))))</f>
        <v/>
      </c>
      <c r="I34" s="19" t="str">
        <f>IF(ISBLANK('Raw counts'!I34),"",IF('7'!$V33=1,IF('3'!I33='7'!$V33,"Sol",'4'!I33),IF('7'!$V33=2,IF('3'!I33&lt;='7'!$V33,"Dua",'4'!I33),IF('7'!$V33&gt;=3,IF('3'!I33&lt;='7'!$V33,"Shr",'4'!I33),'4'!I33))))</f>
        <v/>
      </c>
      <c r="J34" s="19" t="str">
        <f>IF(ISBLANK('Raw counts'!J34),"",IF('7'!$V33=1,IF('3'!J33='7'!$V33,"Sol",'4'!J33),IF('7'!$V33=2,IF('3'!J33&lt;='7'!$V33,"Dua",'4'!J33),IF('7'!$V33&gt;=3,IF('3'!J33&lt;='7'!$V33,"Shr",'4'!J33),'4'!J33))))</f>
        <v/>
      </c>
      <c r="K34" s="19" t="str">
        <f>IF(ISBLANK('Raw counts'!K34),"",IF('7'!$V33=1,IF('3'!K33='7'!$V33,"Sol",'4'!K33),IF('7'!$V33=2,IF('3'!K33&lt;='7'!$V33,"Dua",'4'!K33),IF('7'!$V33&gt;=3,IF('3'!K33&lt;='7'!$V33,"Shr",'4'!K33),'4'!K33))))</f>
        <v/>
      </c>
      <c r="L34" s="19" t="str">
        <f>IF(ISBLANK('Raw counts'!L34),"",IF('7'!$V33=1,IF('3'!L33='7'!$V33,"Sol",'4'!L33),IF('7'!$V33=2,IF('3'!L33&lt;='7'!$V33,"Dua",'4'!L33),IF('7'!$V33&gt;=3,IF('3'!L33&lt;='7'!$V33,"Shr",'4'!L33),'4'!L33))))</f>
        <v/>
      </c>
      <c r="M34" s="19" t="str">
        <f>IF(ISBLANK('Raw counts'!M34),"",IF('7'!$V33=1,IF('3'!M33='7'!$V33,"Sol",'4'!M33),IF('7'!$V33=2,IF('3'!M33&lt;='7'!$V33,"Dua",'4'!M33),IF('7'!$V33&gt;=3,IF('3'!M33&lt;='7'!$V33,"Shr",'4'!M33),'4'!M33))))</f>
        <v/>
      </c>
      <c r="N34" s="19" t="str">
        <f>IF(ISBLANK('Raw counts'!N34),"",IF('7'!$V33=1,IF('3'!N33='7'!$V33,"Sol",'4'!N33),IF('7'!$V33=2,IF('3'!N33&lt;='7'!$V33,"Dua",'4'!N33),IF('7'!$V33&gt;=3,IF('3'!N33&lt;='7'!$V33,"Shr",'4'!N33),'4'!N33))))</f>
        <v/>
      </c>
      <c r="O34" s="19" t="str">
        <f>IF(ISBLANK('Raw counts'!O34),"",IF('7'!$V33=1,IF('3'!O33='7'!$V33,"Sol",'4'!O33),IF('7'!$V33=2,IF('3'!O33&lt;='7'!$V33,"Dua",'4'!O33),IF('7'!$V33&gt;=3,IF('3'!O33&lt;='7'!$V33,"Shr",'4'!O33),'4'!O33))))</f>
        <v/>
      </c>
      <c r="P34" s="19" t="str">
        <f>IF(ISBLANK('Raw counts'!P34),"",IF('7'!$V33=1,IF('3'!P33='7'!$V33,"Sol",'4'!P33),IF('7'!$V33=2,IF('3'!P33&lt;='7'!$V33,"Dua",'4'!P33),IF('7'!$V33&gt;=3,IF('3'!P33&lt;='7'!$V33,"Shr",'4'!P33),'4'!P33))))</f>
        <v/>
      </c>
      <c r="Q34" s="19" t="str">
        <f>IF(ISBLANK('Raw counts'!Q34),"",IF('7'!$V33=1,IF('3'!Q33='7'!$V33,"Sol",'4'!Q33),IF('7'!$V33=2,IF('3'!Q33&lt;='7'!$V33,"Dua",'4'!Q33),IF('7'!$V33&gt;=3,IF('3'!Q33&lt;='7'!$V33,"Shr",'4'!Q33),'4'!Q33))))</f>
        <v/>
      </c>
      <c r="R34" s="19" t="str">
        <f>IF(ISBLANK('Raw counts'!R34),"",IF('7'!$V33=1,IF('3'!R33='7'!$V33,"Sol",'4'!R33),IF('7'!$V33=2,IF('3'!R33&lt;='7'!$V33,"Dua",'4'!R33),IF('7'!$V33&gt;=3,IF('3'!R33&lt;='7'!$V33,"Shr",'4'!R33),'4'!R33))))</f>
        <v/>
      </c>
      <c r="S34" s="19" t="str">
        <f>IF(ISBLANK('Raw counts'!S34),"",IF('7'!$V33=1,IF('3'!S33='7'!$V33,"Sol",'4'!S33),IF('7'!$V33=2,IF('3'!S33&lt;='7'!$V33,"Dua",'4'!S33),IF('7'!$V33&gt;=3,IF('3'!S33&lt;='7'!$V33,"Shr",'4'!S33),'4'!S33))))</f>
        <v/>
      </c>
      <c r="T34" s="19" t="str">
        <f>IF(ISBLANK('Raw counts'!T34),"",IF('7'!$V33=1,IF('3'!T33='7'!$V33,"Sol",'4'!T33),IF('7'!$V33=2,IF('3'!T33&lt;='7'!$V33,"Dua",'4'!T33),IF('7'!$V33&gt;=3,IF('3'!T33&lt;='7'!$V33,"Shr",'4'!T33),'4'!T33))))</f>
        <v/>
      </c>
      <c r="U34" s="19" t="str">
        <f>IF(ISBLANK('Raw counts'!U34),"",IF('7'!$V33=1,IF('3'!U33='7'!$V33,"Sol",'4'!U33),IF('7'!$V33=2,IF('3'!U33&lt;='7'!$V33,"Dua",'4'!U33),IF('7'!$V33&gt;=3,IF('3'!U33&lt;='7'!$V33,"Shr",'4'!U33),'4'!U33))))</f>
        <v/>
      </c>
    </row>
    <row r="35" spans="1:21" x14ac:dyDescent="0.15">
      <c r="A35" s="18" t="str">
        <f>IF(ISBLANK('Raw counts'!A35),"",'Raw counts'!A35)</f>
        <v>Attr31</v>
      </c>
      <c r="B35" s="19" t="str">
        <f>IF(ISBLANK('Raw counts'!B35),"",IF('7'!$V34=1,IF('3'!B34='7'!$V34,"Sol",'4'!B34),IF('7'!$V34=2,IF('3'!B34&lt;='7'!$V34,"Dua",'4'!B34),IF('7'!$V34&gt;=3,IF('3'!B34&lt;='7'!$V34,"Shr",'4'!B34),'4'!B34))))</f>
        <v/>
      </c>
      <c r="C35" s="19" t="str">
        <f>IF(ISBLANK('Raw counts'!C35),"",IF('7'!$V34=1,IF('3'!C34='7'!$V34,"Sol",'4'!C34),IF('7'!$V34=2,IF('3'!C34&lt;='7'!$V34,"Dua",'4'!C34),IF('7'!$V34&gt;=3,IF('3'!C34&lt;='7'!$V34,"Shr",'4'!C34),'4'!C34))))</f>
        <v/>
      </c>
      <c r="D35" s="19" t="str">
        <f>IF(ISBLANK('Raw counts'!D35),"",IF('7'!$V34=1,IF('3'!D34='7'!$V34,"Sol",'4'!D34),IF('7'!$V34=2,IF('3'!D34&lt;='7'!$V34,"Dua",'4'!D34),IF('7'!$V34&gt;=3,IF('3'!D34&lt;='7'!$V34,"Shr",'4'!D34),'4'!D34))))</f>
        <v/>
      </c>
      <c r="E35" s="19" t="str">
        <f>IF(ISBLANK('Raw counts'!E35),"",IF('7'!$V34=1,IF('3'!E34='7'!$V34,"Sol",'4'!E34),IF('7'!$V34=2,IF('3'!E34&lt;='7'!$V34,"Dua",'4'!E34),IF('7'!$V34&gt;=3,IF('3'!E34&lt;='7'!$V34,"Shr",'4'!E34),'4'!E34))))</f>
        <v/>
      </c>
      <c r="F35" s="19" t="str">
        <f>IF(ISBLANK('Raw counts'!F35),"",IF('7'!$V34=1,IF('3'!F34='7'!$V34,"Sol",'4'!F34),IF('7'!$V34=2,IF('3'!F34&lt;='7'!$V34,"Dua",'4'!F34),IF('7'!$V34&gt;=3,IF('3'!F34&lt;='7'!$V34,"Shr",'4'!F34),'4'!F34))))</f>
        <v/>
      </c>
      <c r="G35" s="19" t="str">
        <f>IF(ISBLANK('Raw counts'!G35),"",IF('7'!$V34=1,IF('3'!G34='7'!$V34,"Sol",'4'!G34),IF('7'!$V34=2,IF('3'!G34&lt;='7'!$V34,"Dua",'4'!G34),IF('7'!$V34&gt;=3,IF('3'!G34&lt;='7'!$V34,"Shr",'4'!G34),'4'!G34))))</f>
        <v/>
      </c>
      <c r="H35" s="19" t="str">
        <f>IF(ISBLANK('Raw counts'!H35),"",IF('7'!$V34=1,IF('3'!H34='7'!$V34,"Sol",'4'!H34),IF('7'!$V34=2,IF('3'!H34&lt;='7'!$V34,"Dua",'4'!H34),IF('7'!$V34&gt;=3,IF('3'!H34&lt;='7'!$V34,"Shr",'4'!H34),'4'!H34))))</f>
        <v/>
      </c>
      <c r="I35" s="19" t="str">
        <f>IF(ISBLANK('Raw counts'!I35),"",IF('7'!$V34=1,IF('3'!I34='7'!$V34,"Sol",'4'!I34),IF('7'!$V34=2,IF('3'!I34&lt;='7'!$V34,"Dua",'4'!I34),IF('7'!$V34&gt;=3,IF('3'!I34&lt;='7'!$V34,"Shr",'4'!I34),'4'!I34))))</f>
        <v/>
      </c>
      <c r="J35" s="19" t="str">
        <f>IF(ISBLANK('Raw counts'!J35),"",IF('7'!$V34=1,IF('3'!J34='7'!$V34,"Sol",'4'!J34),IF('7'!$V34=2,IF('3'!J34&lt;='7'!$V34,"Dua",'4'!J34),IF('7'!$V34&gt;=3,IF('3'!J34&lt;='7'!$V34,"Shr",'4'!J34),'4'!J34))))</f>
        <v/>
      </c>
      <c r="K35" s="19" t="str">
        <f>IF(ISBLANK('Raw counts'!K35),"",IF('7'!$V34=1,IF('3'!K34='7'!$V34,"Sol",'4'!K34),IF('7'!$V34=2,IF('3'!K34&lt;='7'!$V34,"Dua",'4'!K34),IF('7'!$V34&gt;=3,IF('3'!K34&lt;='7'!$V34,"Shr",'4'!K34),'4'!K34))))</f>
        <v/>
      </c>
      <c r="L35" s="19" t="str">
        <f>IF(ISBLANK('Raw counts'!L35),"",IF('7'!$V34=1,IF('3'!L34='7'!$V34,"Sol",'4'!L34),IF('7'!$V34=2,IF('3'!L34&lt;='7'!$V34,"Dua",'4'!L34),IF('7'!$V34&gt;=3,IF('3'!L34&lt;='7'!$V34,"Shr",'4'!L34),'4'!L34))))</f>
        <v/>
      </c>
      <c r="M35" s="19" t="str">
        <f>IF(ISBLANK('Raw counts'!M35),"",IF('7'!$V34=1,IF('3'!M34='7'!$V34,"Sol",'4'!M34),IF('7'!$V34=2,IF('3'!M34&lt;='7'!$V34,"Dua",'4'!M34),IF('7'!$V34&gt;=3,IF('3'!M34&lt;='7'!$V34,"Shr",'4'!M34),'4'!M34))))</f>
        <v/>
      </c>
      <c r="N35" s="19" t="str">
        <f>IF(ISBLANK('Raw counts'!N35),"",IF('7'!$V34=1,IF('3'!N34='7'!$V34,"Sol",'4'!N34),IF('7'!$V34=2,IF('3'!N34&lt;='7'!$V34,"Dua",'4'!N34),IF('7'!$V34&gt;=3,IF('3'!N34&lt;='7'!$V34,"Shr",'4'!N34),'4'!N34))))</f>
        <v/>
      </c>
      <c r="O35" s="19" t="str">
        <f>IF(ISBLANK('Raw counts'!O35),"",IF('7'!$V34=1,IF('3'!O34='7'!$V34,"Sol",'4'!O34),IF('7'!$V34=2,IF('3'!O34&lt;='7'!$V34,"Dua",'4'!O34),IF('7'!$V34&gt;=3,IF('3'!O34&lt;='7'!$V34,"Shr",'4'!O34),'4'!O34))))</f>
        <v/>
      </c>
      <c r="P35" s="19" t="str">
        <f>IF(ISBLANK('Raw counts'!P35),"",IF('7'!$V34=1,IF('3'!P34='7'!$V34,"Sol",'4'!P34),IF('7'!$V34=2,IF('3'!P34&lt;='7'!$V34,"Dua",'4'!P34),IF('7'!$V34&gt;=3,IF('3'!P34&lt;='7'!$V34,"Shr",'4'!P34),'4'!P34))))</f>
        <v/>
      </c>
      <c r="Q35" s="19" t="str">
        <f>IF(ISBLANK('Raw counts'!Q35),"",IF('7'!$V34=1,IF('3'!Q34='7'!$V34,"Sol",'4'!Q34),IF('7'!$V34=2,IF('3'!Q34&lt;='7'!$V34,"Dua",'4'!Q34),IF('7'!$V34&gt;=3,IF('3'!Q34&lt;='7'!$V34,"Shr",'4'!Q34),'4'!Q34))))</f>
        <v/>
      </c>
      <c r="R35" s="19" t="str">
        <f>IF(ISBLANK('Raw counts'!R35),"",IF('7'!$V34=1,IF('3'!R34='7'!$V34,"Sol",'4'!R34),IF('7'!$V34=2,IF('3'!R34&lt;='7'!$V34,"Dua",'4'!R34),IF('7'!$V34&gt;=3,IF('3'!R34&lt;='7'!$V34,"Shr",'4'!R34),'4'!R34))))</f>
        <v/>
      </c>
      <c r="S35" s="19" t="str">
        <f>IF(ISBLANK('Raw counts'!S35),"",IF('7'!$V34=1,IF('3'!S34='7'!$V34,"Sol",'4'!S34),IF('7'!$V34=2,IF('3'!S34&lt;='7'!$V34,"Dua",'4'!S34),IF('7'!$V34&gt;=3,IF('3'!S34&lt;='7'!$V34,"Shr",'4'!S34),'4'!S34))))</f>
        <v/>
      </c>
      <c r="T35" s="19" t="str">
        <f>IF(ISBLANK('Raw counts'!T35),"",IF('7'!$V34=1,IF('3'!T34='7'!$V34,"Sol",'4'!T34),IF('7'!$V34=2,IF('3'!T34&lt;='7'!$V34,"Dua",'4'!T34),IF('7'!$V34&gt;=3,IF('3'!T34&lt;='7'!$V34,"Shr",'4'!T34),'4'!T34))))</f>
        <v/>
      </c>
      <c r="U35" s="19" t="str">
        <f>IF(ISBLANK('Raw counts'!U35),"",IF('7'!$V34=1,IF('3'!U34='7'!$V34,"Sol",'4'!U34),IF('7'!$V34=2,IF('3'!U34&lt;='7'!$V34,"Dua",'4'!U34),IF('7'!$V34&gt;=3,IF('3'!U34&lt;='7'!$V34,"Shr",'4'!U34),'4'!U34))))</f>
        <v/>
      </c>
    </row>
    <row r="36" spans="1:21" x14ac:dyDescent="0.15">
      <c r="A36" s="18" t="str">
        <f>IF(ISBLANK('Raw counts'!A36),"",'Raw counts'!A36)</f>
        <v>Attr32</v>
      </c>
      <c r="B36" s="19" t="str">
        <f>IF(ISBLANK('Raw counts'!B36),"",IF('7'!$V35=1,IF('3'!B35='7'!$V35,"Sol",'4'!B35),IF('7'!$V35=2,IF('3'!B35&lt;='7'!$V35,"Dua",'4'!B35),IF('7'!$V35&gt;=3,IF('3'!B35&lt;='7'!$V35,"Shr",'4'!B35),'4'!B35))))</f>
        <v/>
      </c>
      <c r="C36" s="19" t="str">
        <f>IF(ISBLANK('Raw counts'!C36),"",IF('7'!$V35=1,IF('3'!C35='7'!$V35,"Sol",'4'!C35),IF('7'!$V35=2,IF('3'!C35&lt;='7'!$V35,"Dua",'4'!C35),IF('7'!$V35&gt;=3,IF('3'!C35&lt;='7'!$V35,"Shr",'4'!C35),'4'!C35))))</f>
        <v/>
      </c>
      <c r="D36" s="19" t="str">
        <f>IF(ISBLANK('Raw counts'!D36),"",IF('7'!$V35=1,IF('3'!D35='7'!$V35,"Sol",'4'!D35),IF('7'!$V35=2,IF('3'!D35&lt;='7'!$V35,"Dua",'4'!D35),IF('7'!$V35&gt;=3,IF('3'!D35&lt;='7'!$V35,"Shr",'4'!D35),'4'!D35))))</f>
        <v/>
      </c>
      <c r="E36" s="19" t="str">
        <f>IF(ISBLANK('Raw counts'!E36),"",IF('7'!$V35=1,IF('3'!E35='7'!$V35,"Sol",'4'!E35),IF('7'!$V35=2,IF('3'!E35&lt;='7'!$V35,"Dua",'4'!E35),IF('7'!$V35&gt;=3,IF('3'!E35&lt;='7'!$V35,"Shr",'4'!E35),'4'!E35))))</f>
        <v/>
      </c>
      <c r="F36" s="19" t="str">
        <f>IF(ISBLANK('Raw counts'!F36),"",IF('7'!$V35=1,IF('3'!F35='7'!$V35,"Sol",'4'!F35),IF('7'!$V35=2,IF('3'!F35&lt;='7'!$V35,"Dua",'4'!F35),IF('7'!$V35&gt;=3,IF('3'!F35&lt;='7'!$V35,"Shr",'4'!F35),'4'!F35))))</f>
        <v/>
      </c>
      <c r="G36" s="19" t="str">
        <f>IF(ISBLANK('Raw counts'!G36),"",IF('7'!$V35=1,IF('3'!G35='7'!$V35,"Sol",'4'!G35),IF('7'!$V35=2,IF('3'!G35&lt;='7'!$V35,"Dua",'4'!G35),IF('7'!$V35&gt;=3,IF('3'!G35&lt;='7'!$V35,"Shr",'4'!G35),'4'!G35))))</f>
        <v/>
      </c>
      <c r="H36" s="19" t="str">
        <f>IF(ISBLANK('Raw counts'!H36),"",IF('7'!$V35=1,IF('3'!H35='7'!$V35,"Sol",'4'!H35),IF('7'!$V35=2,IF('3'!H35&lt;='7'!$V35,"Dua",'4'!H35),IF('7'!$V35&gt;=3,IF('3'!H35&lt;='7'!$V35,"Shr",'4'!H35),'4'!H35))))</f>
        <v/>
      </c>
      <c r="I36" s="19" t="str">
        <f>IF(ISBLANK('Raw counts'!I36),"",IF('7'!$V35=1,IF('3'!I35='7'!$V35,"Sol",'4'!I35),IF('7'!$V35=2,IF('3'!I35&lt;='7'!$V35,"Dua",'4'!I35),IF('7'!$V35&gt;=3,IF('3'!I35&lt;='7'!$V35,"Shr",'4'!I35),'4'!I35))))</f>
        <v/>
      </c>
      <c r="J36" s="19" t="str">
        <f>IF(ISBLANK('Raw counts'!J36),"",IF('7'!$V35=1,IF('3'!J35='7'!$V35,"Sol",'4'!J35),IF('7'!$V35=2,IF('3'!J35&lt;='7'!$V35,"Dua",'4'!J35),IF('7'!$V35&gt;=3,IF('3'!J35&lt;='7'!$V35,"Shr",'4'!J35),'4'!J35))))</f>
        <v/>
      </c>
      <c r="K36" s="19" t="str">
        <f>IF(ISBLANK('Raw counts'!K36),"",IF('7'!$V35=1,IF('3'!K35='7'!$V35,"Sol",'4'!K35),IF('7'!$V35=2,IF('3'!K35&lt;='7'!$V35,"Dua",'4'!K35),IF('7'!$V35&gt;=3,IF('3'!K35&lt;='7'!$V35,"Shr",'4'!K35),'4'!K35))))</f>
        <v/>
      </c>
      <c r="L36" s="19" t="str">
        <f>IF(ISBLANK('Raw counts'!L36),"",IF('7'!$V35=1,IF('3'!L35='7'!$V35,"Sol",'4'!L35),IF('7'!$V35=2,IF('3'!L35&lt;='7'!$V35,"Dua",'4'!L35),IF('7'!$V35&gt;=3,IF('3'!L35&lt;='7'!$V35,"Shr",'4'!L35),'4'!L35))))</f>
        <v/>
      </c>
      <c r="M36" s="19" t="str">
        <f>IF(ISBLANK('Raw counts'!M36),"",IF('7'!$V35=1,IF('3'!M35='7'!$V35,"Sol",'4'!M35),IF('7'!$V35=2,IF('3'!M35&lt;='7'!$V35,"Dua",'4'!M35),IF('7'!$V35&gt;=3,IF('3'!M35&lt;='7'!$V35,"Shr",'4'!M35),'4'!M35))))</f>
        <v/>
      </c>
      <c r="N36" s="19" t="str">
        <f>IF(ISBLANK('Raw counts'!N36),"",IF('7'!$V35=1,IF('3'!N35='7'!$V35,"Sol",'4'!N35),IF('7'!$V35=2,IF('3'!N35&lt;='7'!$V35,"Dua",'4'!N35),IF('7'!$V35&gt;=3,IF('3'!N35&lt;='7'!$V35,"Shr",'4'!N35),'4'!N35))))</f>
        <v/>
      </c>
      <c r="O36" s="19" t="str">
        <f>IF(ISBLANK('Raw counts'!O36),"",IF('7'!$V35=1,IF('3'!O35='7'!$V35,"Sol",'4'!O35),IF('7'!$V35=2,IF('3'!O35&lt;='7'!$V35,"Dua",'4'!O35),IF('7'!$V35&gt;=3,IF('3'!O35&lt;='7'!$V35,"Shr",'4'!O35),'4'!O35))))</f>
        <v/>
      </c>
      <c r="P36" s="19" t="str">
        <f>IF(ISBLANK('Raw counts'!P36),"",IF('7'!$V35=1,IF('3'!P35='7'!$V35,"Sol",'4'!P35),IF('7'!$V35=2,IF('3'!P35&lt;='7'!$V35,"Dua",'4'!P35),IF('7'!$V35&gt;=3,IF('3'!P35&lt;='7'!$V35,"Shr",'4'!P35),'4'!P35))))</f>
        <v/>
      </c>
      <c r="Q36" s="19" t="str">
        <f>IF(ISBLANK('Raw counts'!Q36),"",IF('7'!$V35=1,IF('3'!Q35='7'!$V35,"Sol",'4'!Q35),IF('7'!$V35=2,IF('3'!Q35&lt;='7'!$V35,"Dua",'4'!Q35),IF('7'!$V35&gt;=3,IF('3'!Q35&lt;='7'!$V35,"Shr",'4'!Q35),'4'!Q35))))</f>
        <v/>
      </c>
      <c r="R36" s="19" t="str">
        <f>IF(ISBLANK('Raw counts'!R36),"",IF('7'!$V35=1,IF('3'!R35='7'!$V35,"Sol",'4'!R35),IF('7'!$V35=2,IF('3'!R35&lt;='7'!$V35,"Dua",'4'!R35),IF('7'!$V35&gt;=3,IF('3'!R35&lt;='7'!$V35,"Shr",'4'!R35),'4'!R35))))</f>
        <v/>
      </c>
      <c r="S36" s="19" t="str">
        <f>IF(ISBLANK('Raw counts'!S36),"",IF('7'!$V35=1,IF('3'!S35='7'!$V35,"Sol",'4'!S35),IF('7'!$V35=2,IF('3'!S35&lt;='7'!$V35,"Dua",'4'!S35),IF('7'!$V35&gt;=3,IF('3'!S35&lt;='7'!$V35,"Shr",'4'!S35),'4'!S35))))</f>
        <v/>
      </c>
      <c r="T36" s="19" t="str">
        <f>IF(ISBLANK('Raw counts'!T36),"",IF('7'!$V35=1,IF('3'!T35='7'!$V35,"Sol",'4'!T35),IF('7'!$V35=2,IF('3'!T35&lt;='7'!$V35,"Dua",'4'!T35),IF('7'!$V35&gt;=3,IF('3'!T35&lt;='7'!$V35,"Shr",'4'!T35),'4'!T35))))</f>
        <v/>
      </c>
      <c r="U36" s="19" t="str">
        <f>IF(ISBLANK('Raw counts'!U36),"",IF('7'!$V35=1,IF('3'!U35='7'!$V35,"Sol",'4'!U35),IF('7'!$V35=2,IF('3'!U35&lt;='7'!$V35,"Dua",'4'!U35),IF('7'!$V35&gt;=3,IF('3'!U35&lt;='7'!$V35,"Shr",'4'!U35),'4'!U35))))</f>
        <v/>
      </c>
    </row>
    <row r="37" spans="1:21" x14ac:dyDescent="0.15">
      <c r="A37" s="18" t="str">
        <f>IF(ISBLANK('Raw counts'!A37),"",'Raw counts'!A37)</f>
        <v>Attr33</v>
      </c>
      <c r="B37" s="19" t="str">
        <f>IF(ISBLANK('Raw counts'!B37),"",IF('7'!$V36=1,IF('3'!B36='7'!$V36,"Sol",'4'!B36),IF('7'!$V36=2,IF('3'!B36&lt;='7'!$V36,"Dua",'4'!B36),IF('7'!$V36&gt;=3,IF('3'!B36&lt;='7'!$V36,"Shr",'4'!B36),'4'!B36))))</f>
        <v/>
      </c>
      <c r="C37" s="19" t="str">
        <f>IF(ISBLANK('Raw counts'!C37),"",IF('7'!$V36=1,IF('3'!C36='7'!$V36,"Sol",'4'!C36),IF('7'!$V36=2,IF('3'!C36&lt;='7'!$V36,"Dua",'4'!C36),IF('7'!$V36&gt;=3,IF('3'!C36&lt;='7'!$V36,"Shr",'4'!C36),'4'!C36))))</f>
        <v/>
      </c>
      <c r="D37" s="19" t="str">
        <f>IF(ISBLANK('Raw counts'!D37),"",IF('7'!$V36=1,IF('3'!D36='7'!$V36,"Sol",'4'!D36),IF('7'!$V36=2,IF('3'!D36&lt;='7'!$V36,"Dua",'4'!D36),IF('7'!$V36&gt;=3,IF('3'!D36&lt;='7'!$V36,"Shr",'4'!D36),'4'!D36))))</f>
        <v/>
      </c>
      <c r="E37" s="19" t="str">
        <f>IF(ISBLANK('Raw counts'!E37),"",IF('7'!$V36=1,IF('3'!E36='7'!$V36,"Sol",'4'!E36),IF('7'!$V36=2,IF('3'!E36&lt;='7'!$V36,"Dua",'4'!E36),IF('7'!$V36&gt;=3,IF('3'!E36&lt;='7'!$V36,"Shr",'4'!E36),'4'!E36))))</f>
        <v/>
      </c>
      <c r="F37" s="19" t="str">
        <f>IF(ISBLANK('Raw counts'!F37),"",IF('7'!$V36=1,IF('3'!F36='7'!$V36,"Sol",'4'!F36),IF('7'!$V36=2,IF('3'!F36&lt;='7'!$V36,"Dua",'4'!F36),IF('7'!$V36&gt;=3,IF('3'!F36&lt;='7'!$V36,"Shr",'4'!F36),'4'!F36))))</f>
        <v/>
      </c>
      <c r="G37" s="19" t="str">
        <f>IF(ISBLANK('Raw counts'!G37),"",IF('7'!$V36=1,IF('3'!G36='7'!$V36,"Sol",'4'!G36),IF('7'!$V36=2,IF('3'!G36&lt;='7'!$V36,"Dua",'4'!G36),IF('7'!$V36&gt;=3,IF('3'!G36&lt;='7'!$V36,"Shr",'4'!G36),'4'!G36))))</f>
        <v/>
      </c>
      <c r="H37" s="19" t="str">
        <f>IF(ISBLANK('Raw counts'!H37),"",IF('7'!$V36=1,IF('3'!H36='7'!$V36,"Sol",'4'!H36),IF('7'!$V36=2,IF('3'!H36&lt;='7'!$V36,"Dua",'4'!H36),IF('7'!$V36&gt;=3,IF('3'!H36&lt;='7'!$V36,"Shr",'4'!H36),'4'!H36))))</f>
        <v/>
      </c>
      <c r="I37" s="19" t="str">
        <f>IF(ISBLANK('Raw counts'!I37),"",IF('7'!$V36=1,IF('3'!I36='7'!$V36,"Sol",'4'!I36),IF('7'!$V36=2,IF('3'!I36&lt;='7'!$V36,"Dua",'4'!I36),IF('7'!$V36&gt;=3,IF('3'!I36&lt;='7'!$V36,"Shr",'4'!I36),'4'!I36))))</f>
        <v/>
      </c>
      <c r="J37" s="19" t="str">
        <f>IF(ISBLANK('Raw counts'!J37),"",IF('7'!$V36=1,IF('3'!J36='7'!$V36,"Sol",'4'!J36),IF('7'!$V36=2,IF('3'!J36&lt;='7'!$V36,"Dua",'4'!J36),IF('7'!$V36&gt;=3,IF('3'!J36&lt;='7'!$V36,"Shr",'4'!J36),'4'!J36))))</f>
        <v/>
      </c>
      <c r="K37" s="19" t="str">
        <f>IF(ISBLANK('Raw counts'!K37),"",IF('7'!$V36=1,IF('3'!K36='7'!$V36,"Sol",'4'!K36),IF('7'!$V36=2,IF('3'!K36&lt;='7'!$V36,"Dua",'4'!K36),IF('7'!$V36&gt;=3,IF('3'!K36&lt;='7'!$V36,"Shr",'4'!K36),'4'!K36))))</f>
        <v/>
      </c>
      <c r="L37" s="19" t="str">
        <f>IF(ISBLANK('Raw counts'!L37),"",IF('7'!$V36=1,IF('3'!L36='7'!$V36,"Sol",'4'!L36),IF('7'!$V36=2,IF('3'!L36&lt;='7'!$V36,"Dua",'4'!L36),IF('7'!$V36&gt;=3,IF('3'!L36&lt;='7'!$V36,"Shr",'4'!L36),'4'!L36))))</f>
        <v/>
      </c>
      <c r="M37" s="19" t="str">
        <f>IF(ISBLANK('Raw counts'!M37),"",IF('7'!$V36=1,IF('3'!M36='7'!$V36,"Sol",'4'!M36),IF('7'!$V36=2,IF('3'!M36&lt;='7'!$V36,"Dua",'4'!M36),IF('7'!$V36&gt;=3,IF('3'!M36&lt;='7'!$V36,"Shr",'4'!M36),'4'!M36))))</f>
        <v/>
      </c>
      <c r="N37" s="19" t="str">
        <f>IF(ISBLANK('Raw counts'!N37),"",IF('7'!$V36=1,IF('3'!N36='7'!$V36,"Sol",'4'!N36),IF('7'!$V36=2,IF('3'!N36&lt;='7'!$V36,"Dua",'4'!N36),IF('7'!$V36&gt;=3,IF('3'!N36&lt;='7'!$V36,"Shr",'4'!N36),'4'!N36))))</f>
        <v/>
      </c>
      <c r="O37" s="19" t="str">
        <f>IF(ISBLANK('Raw counts'!O37),"",IF('7'!$V36=1,IF('3'!O36='7'!$V36,"Sol",'4'!O36),IF('7'!$V36=2,IF('3'!O36&lt;='7'!$V36,"Dua",'4'!O36),IF('7'!$V36&gt;=3,IF('3'!O36&lt;='7'!$V36,"Shr",'4'!O36),'4'!O36))))</f>
        <v/>
      </c>
      <c r="P37" s="19" t="str">
        <f>IF(ISBLANK('Raw counts'!P37),"",IF('7'!$V36=1,IF('3'!P36='7'!$V36,"Sol",'4'!P36),IF('7'!$V36=2,IF('3'!P36&lt;='7'!$V36,"Dua",'4'!P36),IF('7'!$V36&gt;=3,IF('3'!P36&lt;='7'!$V36,"Shr",'4'!P36),'4'!P36))))</f>
        <v/>
      </c>
      <c r="Q37" s="19" t="str">
        <f>IF(ISBLANK('Raw counts'!Q37),"",IF('7'!$V36=1,IF('3'!Q36='7'!$V36,"Sol",'4'!Q36),IF('7'!$V36=2,IF('3'!Q36&lt;='7'!$V36,"Dua",'4'!Q36),IF('7'!$V36&gt;=3,IF('3'!Q36&lt;='7'!$V36,"Shr",'4'!Q36),'4'!Q36))))</f>
        <v/>
      </c>
      <c r="R37" s="19" t="str">
        <f>IF(ISBLANK('Raw counts'!R37),"",IF('7'!$V36=1,IF('3'!R36='7'!$V36,"Sol",'4'!R36),IF('7'!$V36=2,IF('3'!R36&lt;='7'!$V36,"Dua",'4'!R36),IF('7'!$V36&gt;=3,IF('3'!R36&lt;='7'!$V36,"Shr",'4'!R36),'4'!R36))))</f>
        <v/>
      </c>
      <c r="S37" s="19" t="str">
        <f>IF(ISBLANK('Raw counts'!S37),"",IF('7'!$V36=1,IF('3'!S36='7'!$V36,"Sol",'4'!S36),IF('7'!$V36=2,IF('3'!S36&lt;='7'!$V36,"Dua",'4'!S36),IF('7'!$V36&gt;=3,IF('3'!S36&lt;='7'!$V36,"Shr",'4'!S36),'4'!S36))))</f>
        <v/>
      </c>
      <c r="T37" s="19" t="str">
        <f>IF(ISBLANK('Raw counts'!T37),"",IF('7'!$V36=1,IF('3'!T36='7'!$V36,"Sol",'4'!T36),IF('7'!$V36=2,IF('3'!T36&lt;='7'!$V36,"Dua",'4'!T36),IF('7'!$V36&gt;=3,IF('3'!T36&lt;='7'!$V36,"Shr",'4'!T36),'4'!T36))))</f>
        <v/>
      </c>
      <c r="U37" s="19" t="str">
        <f>IF(ISBLANK('Raw counts'!U37),"",IF('7'!$V36=1,IF('3'!U36='7'!$V36,"Sol",'4'!U36),IF('7'!$V36=2,IF('3'!U36&lt;='7'!$V36,"Dua",'4'!U36),IF('7'!$V36&gt;=3,IF('3'!U36&lt;='7'!$V36,"Shr",'4'!U36),'4'!U36))))</f>
        <v/>
      </c>
    </row>
    <row r="38" spans="1:21" x14ac:dyDescent="0.15">
      <c r="A38" s="18" t="str">
        <f>IF(ISBLANK('Raw counts'!A38),"",'Raw counts'!A38)</f>
        <v>Attr34</v>
      </c>
      <c r="B38" s="19" t="str">
        <f>IF(ISBLANK('Raw counts'!B38),"",IF('7'!$V37=1,IF('3'!B37='7'!$V37,"Sol",'4'!B37),IF('7'!$V37=2,IF('3'!B37&lt;='7'!$V37,"Dua",'4'!B37),IF('7'!$V37&gt;=3,IF('3'!B37&lt;='7'!$V37,"Shr",'4'!B37),'4'!B37))))</f>
        <v/>
      </c>
      <c r="C38" s="19" t="str">
        <f>IF(ISBLANK('Raw counts'!C38),"",IF('7'!$V37=1,IF('3'!C37='7'!$V37,"Sol",'4'!C37),IF('7'!$V37=2,IF('3'!C37&lt;='7'!$V37,"Dua",'4'!C37),IF('7'!$V37&gt;=3,IF('3'!C37&lt;='7'!$V37,"Shr",'4'!C37),'4'!C37))))</f>
        <v/>
      </c>
      <c r="D38" s="19" t="str">
        <f>IF(ISBLANK('Raw counts'!D38),"",IF('7'!$V37=1,IF('3'!D37='7'!$V37,"Sol",'4'!D37),IF('7'!$V37=2,IF('3'!D37&lt;='7'!$V37,"Dua",'4'!D37),IF('7'!$V37&gt;=3,IF('3'!D37&lt;='7'!$V37,"Shr",'4'!D37),'4'!D37))))</f>
        <v/>
      </c>
      <c r="E38" s="19" t="str">
        <f>IF(ISBLANK('Raw counts'!E38),"",IF('7'!$V37=1,IF('3'!E37='7'!$V37,"Sol",'4'!E37),IF('7'!$V37=2,IF('3'!E37&lt;='7'!$V37,"Dua",'4'!E37),IF('7'!$V37&gt;=3,IF('3'!E37&lt;='7'!$V37,"Shr",'4'!E37),'4'!E37))))</f>
        <v/>
      </c>
      <c r="F38" s="19" t="str">
        <f>IF(ISBLANK('Raw counts'!F38),"",IF('7'!$V37=1,IF('3'!F37='7'!$V37,"Sol",'4'!F37),IF('7'!$V37=2,IF('3'!F37&lt;='7'!$V37,"Dua",'4'!F37),IF('7'!$V37&gt;=3,IF('3'!F37&lt;='7'!$V37,"Shr",'4'!F37),'4'!F37))))</f>
        <v/>
      </c>
      <c r="G38" s="19" t="str">
        <f>IF(ISBLANK('Raw counts'!G38),"",IF('7'!$V37=1,IF('3'!G37='7'!$V37,"Sol",'4'!G37),IF('7'!$V37=2,IF('3'!G37&lt;='7'!$V37,"Dua",'4'!G37),IF('7'!$V37&gt;=3,IF('3'!G37&lt;='7'!$V37,"Shr",'4'!G37),'4'!G37))))</f>
        <v/>
      </c>
      <c r="H38" s="19" t="str">
        <f>IF(ISBLANK('Raw counts'!H38),"",IF('7'!$V37=1,IF('3'!H37='7'!$V37,"Sol",'4'!H37),IF('7'!$V37=2,IF('3'!H37&lt;='7'!$V37,"Dua",'4'!H37),IF('7'!$V37&gt;=3,IF('3'!H37&lt;='7'!$V37,"Shr",'4'!H37),'4'!H37))))</f>
        <v/>
      </c>
      <c r="I38" s="19" t="str">
        <f>IF(ISBLANK('Raw counts'!I38),"",IF('7'!$V37=1,IF('3'!I37='7'!$V37,"Sol",'4'!I37),IF('7'!$V37=2,IF('3'!I37&lt;='7'!$V37,"Dua",'4'!I37),IF('7'!$V37&gt;=3,IF('3'!I37&lt;='7'!$V37,"Shr",'4'!I37),'4'!I37))))</f>
        <v/>
      </c>
      <c r="J38" s="19" t="str">
        <f>IF(ISBLANK('Raw counts'!J38),"",IF('7'!$V37=1,IF('3'!J37='7'!$V37,"Sol",'4'!J37),IF('7'!$V37=2,IF('3'!J37&lt;='7'!$V37,"Dua",'4'!J37),IF('7'!$V37&gt;=3,IF('3'!J37&lt;='7'!$V37,"Shr",'4'!J37),'4'!J37))))</f>
        <v/>
      </c>
      <c r="K38" s="19" t="str">
        <f>IF(ISBLANK('Raw counts'!K38),"",IF('7'!$V37=1,IF('3'!K37='7'!$V37,"Sol",'4'!K37),IF('7'!$V37=2,IF('3'!K37&lt;='7'!$V37,"Dua",'4'!K37),IF('7'!$V37&gt;=3,IF('3'!K37&lt;='7'!$V37,"Shr",'4'!K37),'4'!K37))))</f>
        <v/>
      </c>
      <c r="L38" s="19" t="str">
        <f>IF(ISBLANK('Raw counts'!L38),"",IF('7'!$V37=1,IF('3'!L37='7'!$V37,"Sol",'4'!L37),IF('7'!$V37=2,IF('3'!L37&lt;='7'!$V37,"Dua",'4'!L37),IF('7'!$V37&gt;=3,IF('3'!L37&lt;='7'!$V37,"Shr",'4'!L37),'4'!L37))))</f>
        <v/>
      </c>
      <c r="M38" s="19" t="str">
        <f>IF(ISBLANK('Raw counts'!M38),"",IF('7'!$V37=1,IF('3'!M37='7'!$V37,"Sol",'4'!M37),IF('7'!$V37=2,IF('3'!M37&lt;='7'!$V37,"Dua",'4'!M37),IF('7'!$V37&gt;=3,IF('3'!M37&lt;='7'!$V37,"Shr",'4'!M37),'4'!M37))))</f>
        <v/>
      </c>
      <c r="N38" s="19" t="str">
        <f>IF(ISBLANK('Raw counts'!N38),"",IF('7'!$V37=1,IF('3'!N37='7'!$V37,"Sol",'4'!N37),IF('7'!$V37=2,IF('3'!N37&lt;='7'!$V37,"Dua",'4'!N37),IF('7'!$V37&gt;=3,IF('3'!N37&lt;='7'!$V37,"Shr",'4'!N37),'4'!N37))))</f>
        <v/>
      </c>
      <c r="O38" s="19" t="str">
        <f>IF(ISBLANK('Raw counts'!O38),"",IF('7'!$V37=1,IF('3'!O37='7'!$V37,"Sol",'4'!O37),IF('7'!$V37=2,IF('3'!O37&lt;='7'!$V37,"Dua",'4'!O37),IF('7'!$V37&gt;=3,IF('3'!O37&lt;='7'!$V37,"Shr",'4'!O37),'4'!O37))))</f>
        <v/>
      </c>
      <c r="P38" s="19" t="str">
        <f>IF(ISBLANK('Raw counts'!P38),"",IF('7'!$V37=1,IF('3'!P37='7'!$V37,"Sol",'4'!P37),IF('7'!$V37=2,IF('3'!P37&lt;='7'!$V37,"Dua",'4'!P37),IF('7'!$V37&gt;=3,IF('3'!P37&lt;='7'!$V37,"Shr",'4'!P37),'4'!P37))))</f>
        <v/>
      </c>
      <c r="Q38" s="19" t="str">
        <f>IF(ISBLANK('Raw counts'!Q38),"",IF('7'!$V37=1,IF('3'!Q37='7'!$V37,"Sol",'4'!Q37),IF('7'!$V37=2,IF('3'!Q37&lt;='7'!$V37,"Dua",'4'!Q37),IF('7'!$V37&gt;=3,IF('3'!Q37&lt;='7'!$V37,"Shr",'4'!Q37),'4'!Q37))))</f>
        <v/>
      </c>
      <c r="R38" s="19" t="str">
        <f>IF(ISBLANK('Raw counts'!R38),"",IF('7'!$V37=1,IF('3'!R37='7'!$V37,"Sol",'4'!R37),IF('7'!$V37=2,IF('3'!R37&lt;='7'!$V37,"Dua",'4'!R37),IF('7'!$V37&gt;=3,IF('3'!R37&lt;='7'!$V37,"Shr",'4'!R37),'4'!R37))))</f>
        <v/>
      </c>
      <c r="S38" s="19" t="str">
        <f>IF(ISBLANK('Raw counts'!S38),"",IF('7'!$V37=1,IF('3'!S37='7'!$V37,"Sol",'4'!S37),IF('7'!$V37=2,IF('3'!S37&lt;='7'!$V37,"Dua",'4'!S37),IF('7'!$V37&gt;=3,IF('3'!S37&lt;='7'!$V37,"Shr",'4'!S37),'4'!S37))))</f>
        <v/>
      </c>
      <c r="T38" s="19" t="str">
        <f>IF(ISBLANK('Raw counts'!T38),"",IF('7'!$V37=1,IF('3'!T37='7'!$V37,"Sol",'4'!T37),IF('7'!$V37=2,IF('3'!T37&lt;='7'!$V37,"Dua",'4'!T37),IF('7'!$V37&gt;=3,IF('3'!T37&lt;='7'!$V37,"Shr",'4'!T37),'4'!T37))))</f>
        <v/>
      </c>
      <c r="U38" s="19" t="str">
        <f>IF(ISBLANK('Raw counts'!U38),"",IF('7'!$V37=1,IF('3'!U37='7'!$V37,"Sol",'4'!U37),IF('7'!$V37=2,IF('3'!U37&lt;='7'!$V37,"Dua",'4'!U37),IF('7'!$V37&gt;=3,IF('3'!U37&lt;='7'!$V37,"Shr",'4'!U37),'4'!U37))))</f>
        <v/>
      </c>
    </row>
    <row r="39" spans="1:21" x14ac:dyDescent="0.15">
      <c r="A39" s="18" t="str">
        <f>IF(ISBLANK('Raw counts'!A39),"",'Raw counts'!A39)</f>
        <v>Attr35</v>
      </c>
      <c r="B39" s="19" t="str">
        <f>IF(ISBLANK('Raw counts'!B39),"",IF('7'!$V38=1,IF('3'!B38='7'!$V38,"Sol",'4'!B38),IF('7'!$V38=2,IF('3'!B38&lt;='7'!$V38,"Dua",'4'!B38),IF('7'!$V38&gt;=3,IF('3'!B38&lt;='7'!$V38,"Shr",'4'!B38),'4'!B38))))</f>
        <v/>
      </c>
      <c r="C39" s="19" t="str">
        <f>IF(ISBLANK('Raw counts'!C39),"",IF('7'!$V38=1,IF('3'!C38='7'!$V38,"Sol",'4'!C38),IF('7'!$V38=2,IF('3'!C38&lt;='7'!$V38,"Dua",'4'!C38),IF('7'!$V38&gt;=3,IF('3'!C38&lt;='7'!$V38,"Shr",'4'!C38),'4'!C38))))</f>
        <v/>
      </c>
      <c r="D39" s="19" t="str">
        <f>IF(ISBLANK('Raw counts'!D39),"",IF('7'!$V38=1,IF('3'!D38='7'!$V38,"Sol",'4'!D38),IF('7'!$V38=2,IF('3'!D38&lt;='7'!$V38,"Dua",'4'!D38),IF('7'!$V38&gt;=3,IF('3'!D38&lt;='7'!$V38,"Shr",'4'!D38),'4'!D38))))</f>
        <v/>
      </c>
      <c r="E39" s="19" t="str">
        <f>IF(ISBLANK('Raw counts'!E39),"",IF('7'!$V38=1,IF('3'!E38='7'!$V38,"Sol",'4'!E38),IF('7'!$V38=2,IF('3'!E38&lt;='7'!$V38,"Dua",'4'!E38),IF('7'!$V38&gt;=3,IF('3'!E38&lt;='7'!$V38,"Shr",'4'!E38),'4'!E38))))</f>
        <v/>
      </c>
      <c r="F39" s="19" t="str">
        <f>IF(ISBLANK('Raw counts'!F39),"",IF('7'!$V38=1,IF('3'!F38='7'!$V38,"Sol",'4'!F38),IF('7'!$V38=2,IF('3'!F38&lt;='7'!$V38,"Dua",'4'!F38),IF('7'!$V38&gt;=3,IF('3'!F38&lt;='7'!$V38,"Shr",'4'!F38),'4'!F38))))</f>
        <v/>
      </c>
      <c r="G39" s="19" t="str">
        <f>IF(ISBLANK('Raw counts'!G39),"",IF('7'!$V38=1,IF('3'!G38='7'!$V38,"Sol",'4'!G38),IF('7'!$V38=2,IF('3'!G38&lt;='7'!$V38,"Dua",'4'!G38),IF('7'!$V38&gt;=3,IF('3'!G38&lt;='7'!$V38,"Shr",'4'!G38),'4'!G38))))</f>
        <v/>
      </c>
      <c r="H39" s="19" t="str">
        <f>IF(ISBLANK('Raw counts'!H39),"",IF('7'!$V38=1,IF('3'!H38='7'!$V38,"Sol",'4'!H38),IF('7'!$V38=2,IF('3'!H38&lt;='7'!$V38,"Dua",'4'!H38),IF('7'!$V38&gt;=3,IF('3'!H38&lt;='7'!$V38,"Shr",'4'!H38),'4'!H38))))</f>
        <v/>
      </c>
      <c r="I39" s="19" t="str">
        <f>IF(ISBLANK('Raw counts'!I39),"",IF('7'!$V38=1,IF('3'!I38='7'!$V38,"Sol",'4'!I38),IF('7'!$V38=2,IF('3'!I38&lt;='7'!$V38,"Dua",'4'!I38),IF('7'!$V38&gt;=3,IF('3'!I38&lt;='7'!$V38,"Shr",'4'!I38),'4'!I38))))</f>
        <v/>
      </c>
      <c r="J39" s="19" t="str">
        <f>IF(ISBLANK('Raw counts'!J39),"",IF('7'!$V38=1,IF('3'!J38='7'!$V38,"Sol",'4'!J38),IF('7'!$V38=2,IF('3'!J38&lt;='7'!$V38,"Dua",'4'!J38),IF('7'!$V38&gt;=3,IF('3'!J38&lt;='7'!$V38,"Shr",'4'!J38),'4'!J38))))</f>
        <v/>
      </c>
      <c r="K39" s="19" t="str">
        <f>IF(ISBLANK('Raw counts'!K39),"",IF('7'!$V38=1,IF('3'!K38='7'!$V38,"Sol",'4'!K38),IF('7'!$V38=2,IF('3'!K38&lt;='7'!$V38,"Dua",'4'!K38),IF('7'!$V38&gt;=3,IF('3'!K38&lt;='7'!$V38,"Shr",'4'!K38),'4'!K38))))</f>
        <v/>
      </c>
      <c r="L39" s="19" t="str">
        <f>IF(ISBLANK('Raw counts'!L39),"",IF('7'!$V38=1,IF('3'!L38='7'!$V38,"Sol",'4'!L38),IF('7'!$V38=2,IF('3'!L38&lt;='7'!$V38,"Dua",'4'!L38),IF('7'!$V38&gt;=3,IF('3'!L38&lt;='7'!$V38,"Shr",'4'!L38),'4'!L38))))</f>
        <v/>
      </c>
      <c r="M39" s="19" t="str">
        <f>IF(ISBLANK('Raw counts'!M39),"",IF('7'!$V38=1,IF('3'!M38='7'!$V38,"Sol",'4'!M38),IF('7'!$V38=2,IF('3'!M38&lt;='7'!$V38,"Dua",'4'!M38),IF('7'!$V38&gt;=3,IF('3'!M38&lt;='7'!$V38,"Shr",'4'!M38),'4'!M38))))</f>
        <v/>
      </c>
      <c r="N39" s="19" t="str">
        <f>IF(ISBLANK('Raw counts'!N39),"",IF('7'!$V38=1,IF('3'!N38='7'!$V38,"Sol",'4'!N38),IF('7'!$V38=2,IF('3'!N38&lt;='7'!$V38,"Dua",'4'!N38),IF('7'!$V38&gt;=3,IF('3'!N38&lt;='7'!$V38,"Shr",'4'!N38),'4'!N38))))</f>
        <v/>
      </c>
      <c r="O39" s="19" t="str">
        <f>IF(ISBLANK('Raw counts'!O39),"",IF('7'!$V38=1,IF('3'!O38='7'!$V38,"Sol",'4'!O38),IF('7'!$V38=2,IF('3'!O38&lt;='7'!$V38,"Dua",'4'!O38),IF('7'!$V38&gt;=3,IF('3'!O38&lt;='7'!$V38,"Shr",'4'!O38),'4'!O38))))</f>
        <v/>
      </c>
      <c r="P39" s="19" t="str">
        <f>IF(ISBLANK('Raw counts'!P39),"",IF('7'!$V38=1,IF('3'!P38='7'!$V38,"Sol",'4'!P38),IF('7'!$V38=2,IF('3'!P38&lt;='7'!$V38,"Dua",'4'!P38),IF('7'!$V38&gt;=3,IF('3'!P38&lt;='7'!$V38,"Shr",'4'!P38),'4'!P38))))</f>
        <v/>
      </c>
      <c r="Q39" s="19" t="str">
        <f>IF(ISBLANK('Raw counts'!Q39),"",IF('7'!$V38=1,IF('3'!Q38='7'!$V38,"Sol",'4'!Q38),IF('7'!$V38=2,IF('3'!Q38&lt;='7'!$V38,"Dua",'4'!Q38),IF('7'!$V38&gt;=3,IF('3'!Q38&lt;='7'!$V38,"Shr",'4'!Q38),'4'!Q38))))</f>
        <v/>
      </c>
      <c r="R39" s="19" t="str">
        <f>IF(ISBLANK('Raw counts'!R39),"",IF('7'!$V38=1,IF('3'!R38='7'!$V38,"Sol",'4'!R38),IF('7'!$V38=2,IF('3'!R38&lt;='7'!$V38,"Dua",'4'!R38),IF('7'!$V38&gt;=3,IF('3'!R38&lt;='7'!$V38,"Shr",'4'!R38),'4'!R38))))</f>
        <v/>
      </c>
      <c r="S39" s="19" t="str">
        <f>IF(ISBLANK('Raw counts'!S39),"",IF('7'!$V38=1,IF('3'!S38='7'!$V38,"Sol",'4'!S38),IF('7'!$V38=2,IF('3'!S38&lt;='7'!$V38,"Dua",'4'!S38),IF('7'!$V38&gt;=3,IF('3'!S38&lt;='7'!$V38,"Shr",'4'!S38),'4'!S38))))</f>
        <v/>
      </c>
      <c r="T39" s="19" t="str">
        <f>IF(ISBLANK('Raw counts'!T39),"",IF('7'!$V38=1,IF('3'!T38='7'!$V38,"Sol",'4'!T38),IF('7'!$V38=2,IF('3'!T38&lt;='7'!$V38,"Dua",'4'!T38),IF('7'!$V38&gt;=3,IF('3'!T38&lt;='7'!$V38,"Shr",'4'!T38),'4'!T38))))</f>
        <v/>
      </c>
      <c r="U39" s="19" t="str">
        <f>IF(ISBLANK('Raw counts'!U39),"",IF('7'!$V38=1,IF('3'!U38='7'!$V38,"Sol",'4'!U38),IF('7'!$V38=2,IF('3'!U38&lt;='7'!$V38,"Dua",'4'!U38),IF('7'!$V38&gt;=3,IF('3'!U38&lt;='7'!$V38,"Shr",'4'!U38),'4'!U38))))</f>
        <v/>
      </c>
    </row>
    <row r="40" spans="1:21" x14ac:dyDescent="0.15">
      <c r="A40" s="18" t="str">
        <f>IF(ISBLANK('Raw counts'!A40),"",'Raw counts'!A40)</f>
        <v>Attr36</v>
      </c>
      <c r="B40" s="19" t="str">
        <f>IF(ISBLANK('Raw counts'!B40),"",IF('7'!$V39=1,IF('3'!B39='7'!$V39,"Sol",'4'!B39),IF('7'!$V39=2,IF('3'!B39&lt;='7'!$V39,"Dua",'4'!B39),IF('7'!$V39&gt;=3,IF('3'!B39&lt;='7'!$V39,"Shr",'4'!B39),'4'!B39))))</f>
        <v/>
      </c>
      <c r="C40" s="19" t="str">
        <f>IF(ISBLANK('Raw counts'!C40),"",IF('7'!$V39=1,IF('3'!C39='7'!$V39,"Sol",'4'!C39),IF('7'!$V39=2,IF('3'!C39&lt;='7'!$V39,"Dua",'4'!C39),IF('7'!$V39&gt;=3,IF('3'!C39&lt;='7'!$V39,"Shr",'4'!C39),'4'!C39))))</f>
        <v/>
      </c>
      <c r="D40" s="19" t="str">
        <f>IF(ISBLANK('Raw counts'!D40),"",IF('7'!$V39=1,IF('3'!D39='7'!$V39,"Sol",'4'!D39),IF('7'!$V39=2,IF('3'!D39&lt;='7'!$V39,"Dua",'4'!D39),IF('7'!$V39&gt;=3,IF('3'!D39&lt;='7'!$V39,"Shr",'4'!D39),'4'!D39))))</f>
        <v/>
      </c>
      <c r="E40" s="19" t="str">
        <f>IF(ISBLANK('Raw counts'!E40),"",IF('7'!$V39=1,IF('3'!E39='7'!$V39,"Sol",'4'!E39),IF('7'!$V39=2,IF('3'!E39&lt;='7'!$V39,"Dua",'4'!E39),IF('7'!$V39&gt;=3,IF('3'!E39&lt;='7'!$V39,"Shr",'4'!E39),'4'!E39))))</f>
        <v/>
      </c>
      <c r="F40" s="19" t="str">
        <f>IF(ISBLANK('Raw counts'!F40),"",IF('7'!$V39=1,IF('3'!F39='7'!$V39,"Sol",'4'!F39),IF('7'!$V39=2,IF('3'!F39&lt;='7'!$V39,"Dua",'4'!F39),IF('7'!$V39&gt;=3,IF('3'!F39&lt;='7'!$V39,"Shr",'4'!F39),'4'!F39))))</f>
        <v/>
      </c>
      <c r="G40" s="19" t="str">
        <f>IF(ISBLANK('Raw counts'!G40),"",IF('7'!$V39=1,IF('3'!G39='7'!$V39,"Sol",'4'!G39),IF('7'!$V39=2,IF('3'!G39&lt;='7'!$V39,"Dua",'4'!G39),IF('7'!$V39&gt;=3,IF('3'!G39&lt;='7'!$V39,"Shr",'4'!G39),'4'!G39))))</f>
        <v/>
      </c>
      <c r="H40" s="19" t="str">
        <f>IF(ISBLANK('Raw counts'!H40),"",IF('7'!$V39=1,IF('3'!H39='7'!$V39,"Sol",'4'!H39),IF('7'!$V39=2,IF('3'!H39&lt;='7'!$V39,"Dua",'4'!H39),IF('7'!$V39&gt;=3,IF('3'!H39&lt;='7'!$V39,"Shr",'4'!H39),'4'!H39))))</f>
        <v/>
      </c>
      <c r="I40" s="19" t="str">
        <f>IF(ISBLANK('Raw counts'!I40),"",IF('7'!$V39=1,IF('3'!I39='7'!$V39,"Sol",'4'!I39),IF('7'!$V39=2,IF('3'!I39&lt;='7'!$V39,"Dua",'4'!I39),IF('7'!$V39&gt;=3,IF('3'!I39&lt;='7'!$V39,"Shr",'4'!I39),'4'!I39))))</f>
        <v/>
      </c>
      <c r="J40" s="19" t="str">
        <f>IF(ISBLANK('Raw counts'!J40),"",IF('7'!$V39=1,IF('3'!J39='7'!$V39,"Sol",'4'!J39),IF('7'!$V39=2,IF('3'!J39&lt;='7'!$V39,"Dua",'4'!J39),IF('7'!$V39&gt;=3,IF('3'!J39&lt;='7'!$V39,"Shr",'4'!J39),'4'!J39))))</f>
        <v/>
      </c>
      <c r="K40" s="19" t="str">
        <f>IF(ISBLANK('Raw counts'!K40),"",IF('7'!$V39=1,IF('3'!K39='7'!$V39,"Sol",'4'!K39),IF('7'!$V39=2,IF('3'!K39&lt;='7'!$V39,"Dua",'4'!K39),IF('7'!$V39&gt;=3,IF('3'!K39&lt;='7'!$V39,"Shr",'4'!K39),'4'!K39))))</f>
        <v/>
      </c>
      <c r="L40" s="19" t="str">
        <f>IF(ISBLANK('Raw counts'!L40),"",IF('7'!$V39=1,IF('3'!L39='7'!$V39,"Sol",'4'!L39),IF('7'!$V39=2,IF('3'!L39&lt;='7'!$V39,"Dua",'4'!L39),IF('7'!$V39&gt;=3,IF('3'!L39&lt;='7'!$V39,"Shr",'4'!L39),'4'!L39))))</f>
        <v/>
      </c>
      <c r="M40" s="19" t="str">
        <f>IF(ISBLANK('Raw counts'!M40),"",IF('7'!$V39=1,IF('3'!M39='7'!$V39,"Sol",'4'!M39),IF('7'!$V39=2,IF('3'!M39&lt;='7'!$V39,"Dua",'4'!M39),IF('7'!$V39&gt;=3,IF('3'!M39&lt;='7'!$V39,"Shr",'4'!M39),'4'!M39))))</f>
        <v/>
      </c>
      <c r="N40" s="19" t="str">
        <f>IF(ISBLANK('Raw counts'!N40),"",IF('7'!$V39=1,IF('3'!N39='7'!$V39,"Sol",'4'!N39),IF('7'!$V39=2,IF('3'!N39&lt;='7'!$V39,"Dua",'4'!N39),IF('7'!$V39&gt;=3,IF('3'!N39&lt;='7'!$V39,"Shr",'4'!N39),'4'!N39))))</f>
        <v/>
      </c>
      <c r="O40" s="19" t="str">
        <f>IF(ISBLANK('Raw counts'!O40),"",IF('7'!$V39=1,IF('3'!O39='7'!$V39,"Sol",'4'!O39),IF('7'!$V39=2,IF('3'!O39&lt;='7'!$V39,"Dua",'4'!O39),IF('7'!$V39&gt;=3,IF('3'!O39&lt;='7'!$V39,"Shr",'4'!O39),'4'!O39))))</f>
        <v/>
      </c>
      <c r="P40" s="19" t="str">
        <f>IF(ISBLANK('Raw counts'!P40),"",IF('7'!$V39=1,IF('3'!P39='7'!$V39,"Sol",'4'!P39),IF('7'!$V39=2,IF('3'!P39&lt;='7'!$V39,"Dua",'4'!P39),IF('7'!$V39&gt;=3,IF('3'!P39&lt;='7'!$V39,"Shr",'4'!P39),'4'!P39))))</f>
        <v/>
      </c>
      <c r="Q40" s="19" t="str">
        <f>IF(ISBLANK('Raw counts'!Q40),"",IF('7'!$V39=1,IF('3'!Q39='7'!$V39,"Sol",'4'!Q39),IF('7'!$V39=2,IF('3'!Q39&lt;='7'!$V39,"Dua",'4'!Q39),IF('7'!$V39&gt;=3,IF('3'!Q39&lt;='7'!$V39,"Shr",'4'!Q39),'4'!Q39))))</f>
        <v/>
      </c>
      <c r="R40" s="19" t="str">
        <f>IF(ISBLANK('Raw counts'!R40),"",IF('7'!$V39=1,IF('3'!R39='7'!$V39,"Sol",'4'!R39),IF('7'!$V39=2,IF('3'!R39&lt;='7'!$V39,"Dua",'4'!R39),IF('7'!$V39&gt;=3,IF('3'!R39&lt;='7'!$V39,"Shr",'4'!R39),'4'!R39))))</f>
        <v/>
      </c>
      <c r="S40" s="19" t="str">
        <f>IF(ISBLANK('Raw counts'!S40),"",IF('7'!$V39=1,IF('3'!S39='7'!$V39,"Sol",'4'!S39),IF('7'!$V39=2,IF('3'!S39&lt;='7'!$V39,"Dua",'4'!S39),IF('7'!$V39&gt;=3,IF('3'!S39&lt;='7'!$V39,"Shr",'4'!S39),'4'!S39))))</f>
        <v/>
      </c>
      <c r="T40" s="19" t="str">
        <f>IF(ISBLANK('Raw counts'!T40),"",IF('7'!$V39=1,IF('3'!T39='7'!$V39,"Sol",'4'!T39),IF('7'!$V39=2,IF('3'!T39&lt;='7'!$V39,"Dua",'4'!T39),IF('7'!$V39&gt;=3,IF('3'!T39&lt;='7'!$V39,"Shr",'4'!T39),'4'!T39))))</f>
        <v/>
      </c>
      <c r="U40" s="19" t="str">
        <f>IF(ISBLANK('Raw counts'!U40),"",IF('7'!$V39=1,IF('3'!U39='7'!$V39,"Sol",'4'!U39),IF('7'!$V39=2,IF('3'!U39&lt;='7'!$V39,"Dua",'4'!U39),IF('7'!$V39&gt;=3,IF('3'!U39&lt;='7'!$V39,"Shr",'4'!U39),'4'!U39))))</f>
        <v/>
      </c>
    </row>
    <row r="41" spans="1:21" x14ac:dyDescent="0.15">
      <c r="A41" s="18" t="str">
        <f>IF(ISBLANK('Raw counts'!A41),"",'Raw counts'!A41)</f>
        <v>Attr37</v>
      </c>
      <c r="B41" s="19" t="str">
        <f>IF(ISBLANK('Raw counts'!B41),"",IF('7'!$V40=1,IF('3'!B40='7'!$V40,"Sol",'4'!B40),IF('7'!$V40=2,IF('3'!B40&lt;='7'!$V40,"Dua",'4'!B40),IF('7'!$V40&gt;=3,IF('3'!B40&lt;='7'!$V40,"Shr",'4'!B40),'4'!B40))))</f>
        <v/>
      </c>
      <c r="C41" s="19" t="str">
        <f>IF(ISBLANK('Raw counts'!C41),"",IF('7'!$V40=1,IF('3'!C40='7'!$V40,"Sol",'4'!C40),IF('7'!$V40=2,IF('3'!C40&lt;='7'!$V40,"Dua",'4'!C40),IF('7'!$V40&gt;=3,IF('3'!C40&lt;='7'!$V40,"Shr",'4'!C40),'4'!C40))))</f>
        <v/>
      </c>
      <c r="D41" s="19" t="str">
        <f>IF(ISBLANK('Raw counts'!D41),"",IF('7'!$V40=1,IF('3'!D40='7'!$V40,"Sol",'4'!D40),IF('7'!$V40=2,IF('3'!D40&lt;='7'!$V40,"Dua",'4'!D40),IF('7'!$V40&gt;=3,IF('3'!D40&lt;='7'!$V40,"Shr",'4'!D40),'4'!D40))))</f>
        <v/>
      </c>
      <c r="E41" s="19" t="str">
        <f>IF(ISBLANK('Raw counts'!E41),"",IF('7'!$V40=1,IF('3'!E40='7'!$V40,"Sol",'4'!E40),IF('7'!$V40=2,IF('3'!E40&lt;='7'!$V40,"Dua",'4'!E40),IF('7'!$V40&gt;=3,IF('3'!E40&lt;='7'!$V40,"Shr",'4'!E40),'4'!E40))))</f>
        <v/>
      </c>
      <c r="F41" s="19" t="str">
        <f>IF(ISBLANK('Raw counts'!F41),"",IF('7'!$V40=1,IF('3'!F40='7'!$V40,"Sol",'4'!F40),IF('7'!$V40=2,IF('3'!F40&lt;='7'!$V40,"Dua",'4'!F40),IF('7'!$V40&gt;=3,IF('3'!F40&lt;='7'!$V40,"Shr",'4'!F40),'4'!F40))))</f>
        <v/>
      </c>
      <c r="G41" s="19" t="str">
        <f>IF(ISBLANK('Raw counts'!G41),"",IF('7'!$V40=1,IF('3'!G40='7'!$V40,"Sol",'4'!G40),IF('7'!$V40=2,IF('3'!G40&lt;='7'!$V40,"Dua",'4'!G40),IF('7'!$V40&gt;=3,IF('3'!G40&lt;='7'!$V40,"Shr",'4'!G40),'4'!G40))))</f>
        <v/>
      </c>
      <c r="H41" s="19" t="str">
        <f>IF(ISBLANK('Raw counts'!H41),"",IF('7'!$V40=1,IF('3'!H40='7'!$V40,"Sol",'4'!H40),IF('7'!$V40=2,IF('3'!H40&lt;='7'!$V40,"Dua",'4'!H40),IF('7'!$V40&gt;=3,IF('3'!H40&lt;='7'!$V40,"Shr",'4'!H40),'4'!H40))))</f>
        <v/>
      </c>
      <c r="I41" s="19" t="str">
        <f>IF(ISBLANK('Raw counts'!I41),"",IF('7'!$V40=1,IF('3'!I40='7'!$V40,"Sol",'4'!I40),IF('7'!$V40=2,IF('3'!I40&lt;='7'!$V40,"Dua",'4'!I40),IF('7'!$V40&gt;=3,IF('3'!I40&lt;='7'!$V40,"Shr",'4'!I40),'4'!I40))))</f>
        <v/>
      </c>
      <c r="J41" s="19" t="str">
        <f>IF(ISBLANK('Raw counts'!J41),"",IF('7'!$V40=1,IF('3'!J40='7'!$V40,"Sol",'4'!J40),IF('7'!$V40=2,IF('3'!J40&lt;='7'!$V40,"Dua",'4'!J40),IF('7'!$V40&gt;=3,IF('3'!J40&lt;='7'!$V40,"Shr",'4'!J40),'4'!J40))))</f>
        <v/>
      </c>
      <c r="K41" s="19" t="str">
        <f>IF(ISBLANK('Raw counts'!K41),"",IF('7'!$V40=1,IF('3'!K40='7'!$V40,"Sol",'4'!K40),IF('7'!$V40=2,IF('3'!K40&lt;='7'!$V40,"Dua",'4'!K40),IF('7'!$V40&gt;=3,IF('3'!K40&lt;='7'!$V40,"Shr",'4'!K40),'4'!K40))))</f>
        <v/>
      </c>
      <c r="L41" s="19" t="str">
        <f>IF(ISBLANK('Raw counts'!L41),"",IF('7'!$V40=1,IF('3'!L40='7'!$V40,"Sol",'4'!L40),IF('7'!$V40=2,IF('3'!L40&lt;='7'!$V40,"Dua",'4'!L40),IF('7'!$V40&gt;=3,IF('3'!L40&lt;='7'!$V40,"Shr",'4'!L40),'4'!L40))))</f>
        <v/>
      </c>
      <c r="M41" s="19" t="str">
        <f>IF(ISBLANK('Raw counts'!M41),"",IF('7'!$V40=1,IF('3'!M40='7'!$V40,"Sol",'4'!M40),IF('7'!$V40=2,IF('3'!M40&lt;='7'!$V40,"Dua",'4'!M40),IF('7'!$V40&gt;=3,IF('3'!M40&lt;='7'!$V40,"Shr",'4'!M40),'4'!M40))))</f>
        <v/>
      </c>
      <c r="N41" s="19" t="str">
        <f>IF(ISBLANK('Raw counts'!N41),"",IF('7'!$V40=1,IF('3'!N40='7'!$V40,"Sol",'4'!N40),IF('7'!$V40=2,IF('3'!N40&lt;='7'!$V40,"Dua",'4'!N40),IF('7'!$V40&gt;=3,IF('3'!N40&lt;='7'!$V40,"Shr",'4'!N40),'4'!N40))))</f>
        <v/>
      </c>
      <c r="O41" s="19" t="str">
        <f>IF(ISBLANK('Raw counts'!O41),"",IF('7'!$V40=1,IF('3'!O40='7'!$V40,"Sol",'4'!O40),IF('7'!$V40=2,IF('3'!O40&lt;='7'!$V40,"Dua",'4'!O40),IF('7'!$V40&gt;=3,IF('3'!O40&lt;='7'!$V40,"Shr",'4'!O40),'4'!O40))))</f>
        <v/>
      </c>
      <c r="P41" s="19" t="str">
        <f>IF(ISBLANK('Raw counts'!P41),"",IF('7'!$V40=1,IF('3'!P40='7'!$V40,"Sol",'4'!P40),IF('7'!$V40=2,IF('3'!P40&lt;='7'!$V40,"Dua",'4'!P40),IF('7'!$V40&gt;=3,IF('3'!P40&lt;='7'!$V40,"Shr",'4'!P40),'4'!P40))))</f>
        <v/>
      </c>
      <c r="Q41" s="19" t="str">
        <f>IF(ISBLANK('Raw counts'!Q41),"",IF('7'!$V40=1,IF('3'!Q40='7'!$V40,"Sol",'4'!Q40),IF('7'!$V40=2,IF('3'!Q40&lt;='7'!$V40,"Dua",'4'!Q40),IF('7'!$V40&gt;=3,IF('3'!Q40&lt;='7'!$V40,"Shr",'4'!Q40),'4'!Q40))))</f>
        <v/>
      </c>
      <c r="R41" s="19" t="str">
        <f>IF(ISBLANK('Raw counts'!R41),"",IF('7'!$V40=1,IF('3'!R40='7'!$V40,"Sol",'4'!R40),IF('7'!$V40=2,IF('3'!R40&lt;='7'!$V40,"Dua",'4'!R40),IF('7'!$V40&gt;=3,IF('3'!R40&lt;='7'!$V40,"Shr",'4'!R40),'4'!R40))))</f>
        <v/>
      </c>
      <c r="S41" s="19" t="str">
        <f>IF(ISBLANK('Raw counts'!S41),"",IF('7'!$V40=1,IF('3'!S40='7'!$V40,"Sol",'4'!S40),IF('7'!$V40=2,IF('3'!S40&lt;='7'!$V40,"Dua",'4'!S40),IF('7'!$V40&gt;=3,IF('3'!S40&lt;='7'!$V40,"Shr",'4'!S40),'4'!S40))))</f>
        <v/>
      </c>
      <c r="T41" s="19" t="str">
        <f>IF(ISBLANK('Raw counts'!T41),"",IF('7'!$V40=1,IF('3'!T40='7'!$V40,"Sol",'4'!T40),IF('7'!$V40=2,IF('3'!T40&lt;='7'!$V40,"Dua",'4'!T40),IF('7'!$V40&gt;=3,IF('3'!T40&lt;='7'!$V40,"Shr",'4'!T40),'4'!T40))))</f>
        <v/>
      </c>
      <c r="U41" s="19" t="str">
        <f>IF(ISBLANK('Raw counts'!U41),"",IF('7'!$V40=1,IF('3'!U40='7'!$V40,"Sol",'4'!U40),IF('7'!$V40=2,IF('3'!U40&lt;='7'!$V40,"Dua",'4'!U40),IF('7'!$V40&gt;=3,IF('3'!U40&lt;='7'!$V40,"Shr",'4'!U40),'4'!U40))))</f>
        <v/>
      </c>
    </row>
    <row r="42" spans="1:21" x14ac:dyDescent="0.15">
      <c r="A42" s="18" t="str">
        <f>IF(ISBLANK('Raw counts'!A42),"",'Raw counts'!A42)</f>
        <v>Attr38</v>
      </c>
      <c r="B42" s="19" t="str">
        <f>IF(ISBLANK('Raw counts'!B42),"",IF('7'!$V41=1,IF('3'!B41='7'!$V41,"Sol",'4'!B41),IF('7'!$V41=2,IF('3'!B41&lt;='7'!$V41,"Dua",'4'!B41),IF('7'!$V41&gt;=3,IF('3'!B41&lt;='7'!$V41,"Shr",'4'!B41),'4'!B41))))</f>
        <v/>
      </c>
      <c r="C42" s="19" t="str">
        <f>IF(ISBLANK('Raw counts'!C42),"",IF('7'!$V41=1,IF('3'!C41='7'!$V41,"Sol",'4'!C41),IF('7'!$V41=2,IF('3'!C41&lt;='7'!$V41,"Dua",'4'!C41),IF('7'!$V41&gt;=3,IF('3'!C41&lt;='7'!$V41,"Shr",'4'!C41),'4'!C41))))</f>
        <v/>
      </c>
      <c r="D42" s="19" t="str">
        <f>IF(ISBLANK('Raw counts'!D42),"",IF('7'!$V41=1,IF('3'!D41='7'!$V41,"Sol",'4'!D41),IF('7'!$V41=2,IF('3'!D41&lt;='7'!$V41,"Dua",'4'!D41),IF('7'!$V41&gt;=3,IF('3'!D41&lt;='7'!$V41,"Shr",'4'!D41),'4'!D41))))</f>
        <v/>
      </c>
      <c r="E42" s="19" t="str">
        <f>IF(ISBLANK('Raw counts'!E42),"",IF('7'!$V41=1,IF('3'!E41='7'!$V41,"Sol",'4'!E41),IF('7'!$V41=2,IF('3'!E41&lt;='7'!$V41,"Dua",'4'!E41),IF('7'!$V41&gt;=3,IF('3'!E41&lt;='7'!$V41,"Shr",'4'!E41),'4'!E41))))</f>
        <v/>
      </c>
      <c r="F42" s="19" t="str">
        <f>IF(ISBLANK('Raw counts'!F42),"",IF('7'!$V41=1,IF('3'!F41='7'!$V41,"Sol",'4'!F41),IF('7'!$V41=2,IF('3'!F41&lt;='7'!$V41,"Dua",'4'!F41),IF('7'!$V41&gt;=3,IF('3'!F41&lt;='7'!$V41,"Shr",'4'!F41),'4'!F41))))</f>
        <v/>
      </c>
      <c r="G42" s="19" t="str">
        <f>IF(ISBLANK('Raw counts'!G42),"",IF('7'!$V41=1,IF('3'!G41='7'!$V41,"Sol",'4'!G41),IF('7'!$V41=2,IF('3'!G41&lt;='7'!$V41,"Dua",'4'!G41),IF('7'!$V41&gt;=3,IF('3'!G41&lt;='7'!$V41,"Shr",'4'!G41),'4'!G41))))</f>
        <v/>
      </c>
      <c r="H42" s="19" t="str">
        <f>IF(ISBLANK('Raw counts'!H42),"",IF('7'!$V41=1,IF('3'!H41='7'!$V41,"Sol",'4'!H41),IF('7'!$V41=2,IF('3'!H41&lt;='7'!$V41,"Dua",'4'!H41),IF('7'!$V41&gt;=3,IF('3'!H41&lt;='7'!$V41,"Shr",'4'!H41),'4'!H41))))</f>
        <v/>
      </c>
      <c r="I42" s="19" t="str">
        <f>IF(ISBLANK('Raw counts'!I42),"",IF('7'!$V41=1,IF('3'!I41='7'!$V41,"Sol",'4'!I41),IF('7'!$V41=2,IF('3'!I41&lt;='7'!$V41,"Dua",'4'!I41),IF('7'!$V41&gt;=3,IF('3'!I41&lt;='7'!$V41,"Shr",'4'!I41),'4'!I41))))</f>
        <v/>
      </c>
      <c r="J42" s="19" t="str">
        <f>IF(ISBLANK('Raw counts'!J42),"",IF('7'!$V41=1,IF('3'!J41='7'!$V41,"Sol",'4'!J41),IF('7'!$V41=2,IF('3'!J41&lt;='7'!$V41,"Dua",'4'!J41),IF('7'!$V41&gt;=3,IF('3'!J41&lt;='7'!$V41,"Shr",'4'!J41),'4'!J41))))</f>
        <v/>
      </c>
      <c r="K42" s="19" t="str">
        <f>IF(ISBLANK('Raw counts'!K42),"",IF('7'!$V41=1,IF('3'!K41='7'!$V41,"Sol",'4'!K41),IF('7'!$V41=2,IF('3'!K41&lt;='7'!$V41,"Dua",'4'!K41),IF('7'!$V41&gt;=3,IF('3'!K41&lt;='7'!$V41,"Shr",'4'!K41),'4'!K41))))</f>
        <v/>
      </c>
      <c r="L42" s="19" t="str">
        <f>IF(ISBLANK('Raw counts'!L42),"",IF('7'!$V41=1,IF('3'!L41='7'!$V41,"Sol",'4'!L41),IF('7'!$V41=2,IF('3'!L41&lt;='7'!$V41,"Dua",'4'!L41),IF('7'!$V41&gt;=3,IF('3'!L41&lt;='7'!$V41,"Shr",'4'!L41),'4'!L41))))</f>
        <v/>
      </c>
      <c r="M42" s="19" t="str">
        <f>IF(ISBLANK('Raw counts'!M42),"",IF('7'!$V41=1,IF('3'!M41='7'!$V41,"Sol",'4'!M41),IF('7'!$V41=2,IF('3'!M41&lt;='7'!$V41,"Dua",'4'!M41),IF('7'!$V41&gt;=3,IF('3'!M41&lt;='7'!$V41,"Shr",'4'!M41),'4'!M41))))</f>
        <v/>
      </c>
      <c r="N42" s="19" t="str">
        <f>IF(ISBLANK('Raw counts'!N42),"",IF('7'!$V41=1,IF('3'!N41='7'!$V41,"Sol",'4'!N41),IF('7'!$V41=2,IF('3'!N41&lt;='7'!$V41,"Dua",'4'!N41),IF('7'!$V41&gt;=3,IF('3'!N41&lt;='7'!$V41,"Shr",'4'!N41),'4'!N41))))</f>
        <v/>
      </c>
      <c r="O42" s="19" t="str">
        <f>IF(ISBLANK('Raw counts'!O42),"",IF('7'!$V41=1,IF('3'!O41='7'!$V41,"Sol",'4'!O41),IF('7'!$V41=2,IF('3'!O41&lt;='7'!$V41,"Dua",'4'!O41),IF('7'!$V41&gt;=3,IF('3'!O41&lt;='7'!$V41,"Shr",'4'!O41),'4'!O41))))</f>
        <v/>
      </c>
      <c r="P42" s="19" t="str">
        <f>IF(ISBLANK('Raw counts'!P42),"",IF('7'!$V41=1,IF('3'!P41='7'!$V41,"Sol",'4'!P41),IF('7'!$V41=2,IF('3'!P41&lt;='7'!$V41,"Dua",'4'!P41),IF('7'!$V41&gt;=3,IF('3'!P41&lt;='7'!$V41,"Shr",'4'!P41),'4'!P41))))</f>
        <v/>
      </c>
      <c r="Q42" s="19" t="str">
        <f>IF(ISBLANK('Raw counts'!Q42),"",IF('7'!$V41=1,IF('3'!Q41='7'!$V41,"Sol",'4'!Q41),IF('7'!$V41=2,IF('3'!Q41&lt;='7'!$V41,"Dua",'4'!Q41),IF('7'!$V41&gt;=3,IF('3'!Q41&lt;='7'!$V41,"Shr",'4'!Q41),'4'!Q41))))</f>
        <v/>
      </c>
      <c r="R42" s="19" t="str">
        <f>IF(ISBLANK('Raw counts'!R42),"",IF('7'!$V41=1,IF('3'!R41='7'!$V41,"Sol",'4'!R41),IF('7'!$V41=2,IF('3'!R41&lt;='7'!$V41,"Dua",'4'!R41),IF('7'!$V41&gt;=3,IF('3'!R41&lt;='7'!$V41,"Shr",'4'!R41),'4'!R41))))</f>
        <v/>
      </c>
      <c r="S42" s="19" t="str">
        <f>IF(ISBLANK('Raw counts'!S42),"",IF('7'!$V41=1,IF('3'!S41='7'!$V41,"Sol",'4'!S41),IF('7'!$V41=2,IF('3'!S41&lt;='7'!$V41,"Dua",'4'!S41),IF('7'!$V41&gt;=3,IF('3'!S41&lt;='7'!$V41,"Shr",'4'!S41),'4'!S41))))</f>
        <v/>
      </c>
      <c r="T42" s="19" t="str">
        <f>IF(ISBLANK('Raw counts'!T42),"",IF('7'!$V41=1,IF('3'!T41='7'!$V41,"Sol",'4'!T41),IF('7'!$V41=2,IF('3'!T41&lt;='7'!$V41,"Dua",'4'!T41),IF('7'!$V41&gt;=3,IF('3'!T41&lt;='7'!$V41,"Shr",'4'!T41),'4'!T41))))</f>
        <v/>
      </c>
      <c r="U42" s="19" t="str">
        <f>IF(ISBLANK('Raw counts'!U42),"",IF('7'!$V41=1,IF('3'!U41='7'!$V41,"Sol",'4'!U41),IF('7'!$V41=2,IF('3'!U41&lt;='7'!$V41,"Dua",'4'!U41),IF('7'!$V41&gt;=3,IF('3'!U41&lt;='7'!$V41,"Shr",'4'!U41),'4'!U41))))</f>
        <v/>
      </c>
    </row>
    <row r="43" spans="1:21" x14ac:dyDescent="0.15">
      <c r="A43" s="18" t="str">
        <f>IF(ISBLANK('Raw counts'!A43),"",'Raw counts'!A43)</f>
        <v>Attr39</v>
      </c>
      <c r="B43" s="19" t="str">
        <f>IF(ISBLANK('Raw counts'!B43),"",IF('7'!$V42=1,IF('3'!B42='7'!$V42,"Sol",'4'!B42),IF('7'!$V42=2,IF('3'!B42&lt;='7'!$V42,"Dua",'4'!B42),IF('7'!$V42&gt;=3,IF('3'!B42&lt;='7'!$V42,"Shr",'4'!B42),'4'!B42))))</f>
        <v/>
      </c>
      <c r="C43" s="19" t="str">
        <f>IF(ISBLANK('Raw counts'!C43),"",IF('7'!$V42=1,IF('3'!C42='7'!$V42,"Sol",'4'!C42),IF('7'!$V42=2,IF('3'!C42&lt;='7'!$V42,"Dua",'4'!C42),IF('7'!$V42&gt;=3,IF('3'!C42&lt;='7'!$V42,"Shr",'4'!C42),'4'!C42))))</f>
        <v/>
      </c>
      <c r="D43" s="19" t="str">
        <f>IF(ISBLANK('Raw counts'!D43),"",IF('7'!$V42=1,IF('3'!D42='7'!$V42,"Sol",'4'!D42),IF('7'!$V42=2,IF('3'!D42&lt;='7'!$V42,"Dua",'4'!D42),IF('7'!$V42&gt;=3,IF('3'!D42&lt;='7'!$V42,"Shr",'4'!D42),'4'!D42))))</f>
        <v/>
      </c>
      <c r="E43" s="19" t="str">
        <f>IF(ISBLANK('Raw counts'!E43),"",IF('7'!$V42=1,IF('3'!E42='7'!$V42,"Sol",'4'!E42),IF('7'!$V42=2,IF('3'!E42&lt;='7'!$V42,"Dua",'4'!E42),IF('7'!$V42&gt;=3,IF('3'!E42&lt;='7'!$V42,"Shr",'4'!E42),'4'!E42))))</f>
        <v/>
      </c>
      <c r="F43" s="19" t="str">
        <f>IF(ISBLANK('Raw counts'!F43),"",IF('7'!$V42=1,IF('3'!F42='7'!$V42,"Sol",'4'!F42),IF('7'!$V42=2,IF('3'!F42&lt;='7'!$V42,"Dua",'4'!F42),IF('7'!$V42&gt;=3,IF('3'!F42&lt;='7'!$V42,"Shr",'4'!F42),'4'!F42))))</f>
        <v/>
      </c>
      <c r="G43" s="19" t="str">
        <f>IF(ISBLANK('Raw counts'!G43),"",IF('7'!$V42=1,IF('3'!G42='7'!$V42,"Sol",'4'!G42),IF('7'!$V42=2,IF('3'!G42&lt;='7'!$V42,"Dua",'4'!G42),IF('7'!$V42&gt;=3,IF('3'!G42&lt;='7'!$V42,"Shr",'4'!G42),'4'!G42))))</f>
        <v/>
      </c>
      <c r="H43" s="19" t="str">
        <f>IF(ISBLANK('Raw counts'!H43),"",IF('7'!$V42=1,IF('3'!H42='7'!$V42,"Sol",'4'!H42),IF('7'!$V42=2,IF('3'!H42&lt;='7'!$V42,"Dua",'4'!H42),IF('7'!$V42&gt;=3,IF('3'!H42&lt;='7'!$V42,"Shr",'4'!H42),'4'!H42))))</f>
        <v/>
      </c>
      <c r="I43" s="19" t="str">
        <f>IF(ISBLANK('Raw counts'!I43),"",IF('7'!$V42=1,IF('3'!I42='7'!$V42,"Sol",'4'!I42),IF('7'!$V42=2,IF('3'!I42&lt;='7'!$V42,"Dua",'4'!I42),IF('7'!$V42&gt;=3,IF('3'!I42&lt;='7'!$V42,"Shr",'4'!I42),'4'!I42))))</f>
        <v/>
      </c>
      <c r="J43" s="19" t="str">
        <f>IF(ISBLANK('Raw counts'!J43),"",IF('7'!$V42=1,IF('3'!J42='7'!$V42,"Sol",'4'!J42),IF('7'!$V42=2,IF('3'!J42&lt;='7'!$V42,"Dua",'4'!J42),IF('7'!$V42&gt;=3,IF('3'!J42&lt;='7'!$V42,"Shr",'4'!J42),'4'!J42))))</f>
        <v/>
      </c>
      <c r="K43" s="19" t="str">
        <f>IF(ISBLANK('Raw counts'!K43),"",IF('7'!$V42=1,IF('3'!K42='7'!$V42,"Sol",'4'!K42),IF('7'!$V42=2,IF('3'!K42&lt;='7'!$V42,"Dua",'4'!K42),IF('7'!$V42&gt;=3,IF('3'!K42&lt;='7'!$V42,"Shr",'4'!K42),'4'!K42))))</f>
        <v/>
      </c>
      <c r="L43" s="19" t="str">
        <f>IF(ISBLANK('Raw counts'!L43),"",IF('7'!$V42=1,IF('3'!L42='7'!$V42,"Sol",'4'!L42),IF('7'!$V42=2,IF('3'!L42&lt;='7'!$V42,"Dua",'4'!L42),IF('7'!$V42&gt;=3,IF('3'!L42&lt;='7'!$V42,"Shr",'4'!L42),'4'!L42))))</f>
        <v/>
      </c>
      <c r="M43" s="19" t="str">
        <f>IF(ISBLANK('Raw counts'!M43),"",IF('7'!$V42=1,IF('3'!M42='7'!$V42,"Sol",'4'!M42),IF('7'!$V42=2,IF('3'!M42&lt;='7'!$V42,"Dua",'4'!M42),IF('7'!$V42&gt;=3,IF('3'!M42&lt;='7'!$V42,"Shr",'4'!M42),'4'!M42))))</f>
        <v/>
      </c>
      <c r="N43" s="19" t="str">
        <f>IF(ISBLANK('Raw counts'!N43),"",IF('7'!$V42=1,IF('3'!N42='7'!$V42,"Sol",'4'!N42),IF('7'!$V42=2,IF('3'!N42&lt;='7'!$V42,"Dua",'4'!N42),IF('7'!$V42&gt;=3,IF('3'!N42&lt;='7'!$V42,"Shr",'4'!N42),'4'!N42))))</f>
        <v/>
      </c>
      <c r="O43" s="19" t="str">
        <f>IF(ISBLANK('Raw counts'!O43),"",IF('7'!$V42=1,IF('3'!O42='7'!$V42,"Sol",'4'!O42),IF('7'!$V42=2,IF('3'!O42&lt;='7'!$V42,"Dua",'4'!O42),IF('7'!$V42&gt;=3,IF('3'!O42&lt;='7'!$V42,"Shr",'4'!O42),'4'!O42))))</f>
        <v/>
      </c>
      <c r="P43" s="19" t="str">
        <f>IF(ISBLANK('Raw counts'!P43),"",IF('7'!$V42=1,IF('3'!P42='7'!$V42,"Sol",'4'!P42),IF('7'!$V42=2,IF('3'!P42&lt;='7'!$V42,"Dua",'4'!P42),IF('7'!$V42&gt;=3,IF('3'!P42&lt;='7'!$V42,"Shr",'4'!P42),'4'!P42))))</f>
        <v/>
      </c>
      <c r="Q43" s="19" t="str">
        <f>IF(ISBLANK('Raw counts'!Q43),"",IF('7'!$V42=1,IF('3'!Q42='7'!$V42,"Sol",'4'!Q42),IF('7'!$V42=2,IF('3'!Q42&lt;='7'!$V42,"Dua",'4'!Q42),IF('7'!$V42&gt;=3,IF('3'!Q42&lt;='7'!$V42,"Shr",'4'!Q42),'4'!Q42))))</f>
        <v/>
      </c>
      <c r="R43" s="19" t="str">
        <f>IF(ISBLANK('Raw counts'!R43),"",IF('7'!$V42=1,IF('3'!R42='7'!$V42,"Sol",'4'!R42),IF('7'!$V42=2,IF('3'!R42&lt;='7'!$V42,"Dua",'4'!R42),IF('7'!$V42&gt;=3,IF('3'!R42&lt;='7'!$V42,"Shr",'4'!R42),'4'!R42))))</f>
        <v/>
      </c>
      <c r="S43" s="19" t="str">
        <f>IF(ISBLANK('Raw counts'!S43),"",IF('7'!$V42=1,IF('3'!S42='7'!$V42,"Sol",'4'!S42),IF('7'!$V42=2,IF('3'!S42&lt;='7'!$V42,"Dua",'4'!S42),IF('7'!$V42&gt;=3,IF('3'!S42&lt;='7'!$V42,"Shr",'4'!S42),'4'!S42))))</f>
        <v/>
      </c>
      <c r="T43" s="19" t="str">
        <f>IF(ISBLANK('Raw counts'!T43),"",IF('7'!$V42=1,IF('3'!T42='7'!$V42,"Sol",'4'!T42),IF('7'!$V42=2,IF('3'!T42&lt;='7'!$V42,"Dua",'4'!T42),IF('7'!$V42&gt;=3,IF('3'!T42&lt;='7'!$V42,"Shr",'4'!T42),'4'!T42))))</f>
        <v/>
      </c>
      <c r="U43" s="19" t="str">
        <f>IF(ISBLANK('Raw counts'!U43),"",IF('7'!$V42=1,IF('3'!U42='7'!$V42,"Sol",'4'!U42),IF('7'!$V42=2,IF('3'!U42&lt;='7'!$V42,"Dua",'4'!U42),IF('7'!$V42&gt;=3,IF('3'!U42&lt;='7'!$V42,"Shr",'4'!U42),'4'!U42))))</f>
        <v/>
      </c>
    </row>
    <row r="44" spans="1:21" x14ac:dyDescent="0.15">
      <c r="A44" s="18" t="str">
        <f>IF(ISBLANK('Raw counts'!A44),"",'Raw counts'!A44)</f>
        <v>Attr40</v>
      </c>
      <c r="B44" s="19" t="str">
        <f>IF(ISBLANK('Raw counts'!B44),"",IF('7'!$V43=1,IF('3'!B43='7'!$V43,"Sol",'4'!B43),IF('7'!$V43=2,IF('3'!B43&lt;='7'!$V43,"Dua",'4'!B43),IF('7'!$V43&gt;=3,IF('3'!B43&lt;='7'!$V43,"Shr",'4'!B43),'4'!B43))))</f>
        <v/>
      </c>
      <c r="C44" s="19" t="str">
        <f>IF(ISBLANK('Raw counts'!C44),"",IF('7'!$V43=1,IF('3'!C43='7'!$V43,"Sol",'4'!C43),IF('7'!$V43=2,IF('3'!C43&lt;='7'!$V43,"Dua",'4'!C43),IF('7'!$V43&gt;=3,IF('3'!C43&lt;='7'!$V43,"Shr",'4'!C43),'4'!C43))))</f>
        <v/>
      </c>
      <c r="D44" s="19" t="str">
        <f>IF(ISBLANK('Raw counts'!D44),"",IF('7'!$V43=1,IF('3'!D43='7'!$V43,"Sol",'4'!D43),IF('7'!$V43=2,IF('3'!D43&lt;='7'!$V43,"Dua",'4'!D43),IF('7'!$V43&gt;=3,IF('3'!D43&lt;='7'!$V43,"Shr",'4'!D43),'4'!D43))))</f>
        <v/>
      </c>
      <c r="E44" s="19" t="str">
        <f>IF(ISBLANK('Raw counts'!E44),"",IF('7'!$V43=1,IF('3'!E43='7'!$V43,"Sol",'4'!E43),IF('7'!$V43=2,IF('3'!E43&lt;='7'!$V43,"Dua",'4'!E43),IF('7'!$V43&gt;=3,IF('3'!E43&lt;='7'!$V43,"Shr",'4'!E43),'4'!E43))))</f>
        <v/>
      </c>
      <c r="F44" s="19" t="str">
        <f>IF(ISBLANK('Raw counts'!F44),"",IF('7'!$V43=1,IF('3'!F43='7'!$V43,"Sol",'4'!F43),IF('7'!$V43=2,IF('3'!F43&lt;='7'!$V43,"Dua",'4'!F43),IF('7'!$V43&gt;=3,IF('3'!F43&lt;='7'!$V43,"Shr",'4'!F43),'4'!F43))))</f>
        <v/>
      </c>
      <c r="G44" s="19" t="str">
        <f>IF(ISBLANK('Raw counts'!G44),"",IF('7'!$V43=1,IF('3'!G43='7'!$V43,"Sol",'4'!G43),IF('7'!$V43=2,IF('3'!G43&lt;='7'!$V43,"Dua",'4'!G43),IF('7'!$V43&gt;=3,IF('3'!G43&lt;='7'!$V43,"Shr",'4'!G43),'4'!G43))))</f>
        <v/>
      </c>
      <c r="H44" s="19" t="str">
        <f>IF(ISBLANK('Raw counts'!H44),"",IF('7'!$V43=1,IF('3'!H43='7'!$V43,"Sol",'4'!H43),IF('7'!$V43=2,IF('3'!H43&lt;='7'!$V43,"Dua",'4'!H43),IF('7'!$V43&gt;=3,IF('3'!H43&lt;='7'!$V43,"Shr",'4'!H43),'4'!H43))))</f>
        <v/>
      </c>
      <c r="I44" s="19" t="str">
        <f>IF(ISBLANK('Raw counts'!I44),"",IF('7'!$V43=1,IF('3'!I43='7'!$V43,"Sol",'4'!I43),IF('7'!$V43=2,IF('3'!I43&lt;='7'!$V43,"Dua",'4'!I43),IF('7'!$V43&gt;=3,IF('3'!I43&lt;='7'!$V43,"Shr",'4'!I43),'4'!I43))))</f>
        <v/>
      </c>
      <c r="J44" s="19" t="str">
        <f>IF(ISBLANK('Raw counts'!J44),"",IF('7'!$V43=1,IF('3'!J43='7'!$V43,"Sol",'4'!J43),IF('7'!$V43=2,IF('3'!J43&lt;='7'!$V43,"Dua",'4'!J43),IF('7'!$V43&gt;=3,IF('3'!J43&lt;='7'!$V43,"Shr",'4'!J43),'4'!J43))))</f>
        <v/>
      </c>
      <c r="K44" s="19" t="str">
        <f>IF(ISBLANK('Raw counts'!K44),"",IF('7'!$V43=1,IF('3'!K43='7'!$V43,"Sol",'4'!K43),IF('7'!$V43=2,IF('3'!K43&lt;='7'!$V43,"Dua",'4'!K43),IF('7'!$V43&gt;=3,IF('3'!K43&lt;='7'!$V43,"Shr",'4'!K43),'4'!K43))))</f>
        <v/>
      </c>
      <c r="L44" s="19" t="str">
        <f>IF(ISBLANK('Raw counts'!L44),"",IF('7'!$V43=1,IF('3'!L43='7'!$V43,"Sol",'4'!L43),IF('7'!$V43=2,IF('3'!L43&lt;='7'!$V43,"Dua",'4'!L43),IF('7'!$V43&gt;=3,IF('3'!L43&lt;='7'!$V43,"Shr",'4'!L43),'4'!L43))))</f>
        <v/>
      </c>
      <c r="M44" s="19" t="str">
        <f>IF(ISBLANK('Raw counts'!M44),"",IF('7'!$V43=1,IF('3'!M43='7'!$V43,"Sol",'4'!M43),IF('7'!$V43=2,IF('3'!M43&lt;='7'!$V43,"Dua",'4'!M43),IF('7'!$V43&gt;=3,IF('3'!M43&lt;='7'!$V43,"Shr",'4'!M43),'4'!M43))))</f>
        <v/>
      </c>
      <c r="N44" s="19" t="str">
        <f>IF(ISBLANK('Raw counts'!N44),"",IF('7'!$V43=1,IF('3'!N43='7'!$V43,"Sol",'4'!N43),IF('7'!$V43=2,IF('3'!N43&lt;='7'!$V43,"Dua",'4'!N43),IF('7'!$V43&gt;=3,IF('3'!N43&lt;='7'!$V43,"Shr",'4'!N43),'4'!N43))))</f>
        <v/>
      </c>
      <c r="O44" s="19" t="str">
        <f>IF(ISBLANK('Raw counts'!O44),"",IF('7'!$V43=1,IF('3'!O43='7'!$V43,"Sol",'4'!O43),IF('7'!$V43=2,IF('3'!O43&lt;='7'!$V43,"Dua",'4'!O43),IF('7'!$V43&gt;=3,IF('3'!O43&lt;='7'!$V43,"Shr",'4'!O43),'4'!O43))))</f>
        <v/>
      </c>
      <c r="P44" s="19" t="str">
        <f>IF(ISBLANK('Raw counts'!P44),"",IF('7'!$V43=1,IF('3'!P43='7'!$V43,"Sol",'4'!P43),IF('7'!$V43=2,IF('3'!P43&lt;='7'!$V43,"Dua",'4'!P43),IF('7'!$V43&gt;=3,IF('3'!P43&lt;='7'!$V43,"Shr",'4'!P43),'4'!P43))))</f>
        <v/>
      </c>
      <c r="Q44" s="19" t="str">
        <f>IF(ISBLANK('Raw counts'!Q44),"",IF('7'!$V43=1,IF('3'!Q43='7'!$V43,"Sol",'4'!Q43),IF('7'!$V43=2,IF('3'!Q43&lt;='7'!$V43,"Dua",'4'!Q43),IF('7'!$V43&gt;=3,IF('3'!Q43&lt;='7'!$V43,"Shr",'4'!Q43),'4'!Q43))))</f>
        <v/>
      </c>
      <c r="R44" s="19" t="str">
        <f>IF(ISBLANK('Raw counts'!R44),"",IF('7'!$V43=1,IF('3'!R43='7'!$V43,"Sol",'4'!R43),IF('7'!$V43=2,IF('3'!R43&lt;='7'!$V43,"Dua",'4'!R43),IF('7'!$V43&gt;=3,IF('3'!R43&lt;='7'!$V43,"Shr",'4'!R43),'4'!R43))))</f>
        <v/>
      </c>
      <c r="S44" s="19" t="str">
        <f>IF(ISBLANK('Raw counts'!S44),"",IF('7'!$V43=1,IF('3'!S43='7'!$V43,"Sol",'4'!S43),IF('7'!$V43=2,IF('3'!S43&lt;='7'!$V43,"Dua",'4'!S43),IF('7'!$V43&gt;=3,IF('3'!S43&lt;='7'!$V43,"Shr",'4'!S43),'4'!S43))))</f>
        <v/>
      </c>
      <c r="T44" s="19" t="str">
        <f>IF(ISBLANK('Raw counts'!T44),"",IF('7'!$V43=1,IF('3'!T43='7'!$V43,"Sol",'4'!T43),IF('7'!$V43=2,IF('3'!T43&lt;='7'!$V43,"Dua",'4'!T43),IF('7'!$V43&gt;=3,IF('3'!T43&lt;='7'!$V43,"Shr",'4'!T43),'4'!T43))))</f>
        <v/>
      </c>
      <c r="U44" s="19" t="str">
        <f>IF(ISBLANK('Raw counts'!U44),"",IF('7'!$V43=1,IF('3'!U43='7'!$V43,"Sol",'4'!U43),IF('7'!$V43=2,IF('3'!U43&lt;='7'!$V43,"Dua",'4'!U43),IF('7'!$V43&gt;=3,IF('3'!U43&lt;='7'!$V43,"Shr",'4'!U43),'4'!U43))))</f>
        <v/>
      </c>
    </row>
    <row r="45" spans="1:21" x14ac:dyDescent="0.15">
      <c r="A45" s="18" t="str">
        <f>IF(ISBLANK('Raw counts'!A45),"",'Raw counts'!A45)</f>
        <v>Attr41</v>
      </c>
      <c r="B45" s="19" t="str">
        <f>IF(ISBLANK('Raw counts'!B45),"",IF('7'!$V44=1,IF('3'!B44='7'!$V44,"Sol",'4'!B44),IF('7'!$V44=2,IF('3'!B44&lt;='7'!$V44,"Dua",'4'!B44),IF('7'!$V44&gt;=3,IF('3'!B44&lt;='7'!$V44,"Shr",'4'!B44),'4'!B44))))</f>
        <v/>
      </c>
      <c r="C45" s="19" t="str">
        <f>IF(ISBLANK('Raw counts'!C45),"",IF('7'!$V44=1,IF('3'!C44='7'!$V44,"Sol",'4'!C44),IF('7'!$V44=2,IF('3'!C44&lt;='7'!$V44,"Dua",'4'!C44),IF('7'!$V44&gt;=3,IF('3'!C44&lt;='7'!$V44,"Shr",'4'!C44),'4'!C44))))</f>
        <v/>
      </c>
      <c r="D45" s="19" t="str">
        <f>IF(ISBLANK('Raw counts'!D45),"",IF('7'!$V44=1,IF('3'!D44='7'!$V44,"Sol",'4'!D44),IF('7'!$V44=2,IF('3'!D44&lt;='7'!$V44,"Dua",'4'!D44),IF('7'!$V44&gt;=3,IF('3'!D44&lt;='7'!$V44,"Shr",'4'!D44),'4'!D44))))</f>
        <v/>
      </c>
      <c r="E45" s="19" t="str">
        <f>IF(ISBLANK('Raw counts'!E45),"",IF('7'!$V44=1,IF('3'!E44='7'!$V44,"Sol",'4'!E44),IF('7'!$V44=2,IF('3'!E44&lt;='7'!$V44,"Dua",'4'!E44),IF('7'!$V44&gt;=3,IF('3'!E44&lt;='7'!$V44,"Shr",'4'!E44),'4'!E44))))</f>
        <v/>
      </c>
      <c r="F45" s="19" t="str">
        <f>IF(ISBLANK('Raw counts'!F45),"",IF('7'!$V44=1,IF('3'!F44='7'!$V44,"Sol",'4'!F44),IF('7'!$V44=2,IF('3'!F44&lt;='7'!$V44,"Dua",'4'!F44),IF('7'!$V44&gt;=3,IF('3'!F44&lt;='7'!$V44,"Shr",'4'!F44),'4'!F44))))</f>
        <v/>
      </c>
      <c r="G45" s="19" t="str">
        <f>IF(ISBLANK('Raw counts'!G45),"",IF('7'!$V44=1,IF('3'!G44='7'!$V44,"Sol",'4'!G44),IF('7'!$V44=2,IF('3'!G44&lt;='7'!$V44,"Dua",'4'!G44),IF('7'!$V44&gt;=3,IF('3'!G44&lt;='7'!$V44,"Shr",'4'!G44),'4'!G44))))</f>
        <v/>
      </c>
      <c r="H45" s="19" t="str">
        <f>IF(ISBLANK('Raw counts'!H45),"",IF('7'!$V44=1,IF('3'!H44='7'!$V44,"Sol",'4'!H44),IF('7'!$V44=2,IF('3'!H44&lt;='7'!$V44,"Dua",'4'!H44),IF('7'!$V44&gt;=3,IF('3'!H44&lt;='7'!$V44,"Shr",'4'!H44),'4'!H44))))</f>
        <v/>
      </c>
      <c r="I45" s="19" t="str">
        <f>IF(ISBLANK('Raw counts'!I45),"",IF('7'!$V44=1,IF('3'!I44='7'!$V44,"Sol",'4'!I44),IF('7'!$V44=2,IF('3'!I44&lt;='7'!$V44,"Dua",'4'!I44),IF('7'!$V44&gt;=3,IF('3'!I44&lt;='7'!$V44,"Shr",'4'!I44),'4'!I44))))</f>
        <v/>
      </c>
      <c r="J45" s="19" t="str">
        <f>IF(ISBLANK('Raw counts'!J45),"",IF('7'!$V44=1,IF('3'!J44='7'!$V44,"Sol",'4'!J44),IF('7'!$V44=2,IF('3'!J44&lt;='7'!$V44,"Dua",'4'!J44),IF('7'!$V44&gt;=3,IF('3'!J44&lt;='7'!$V44,"Shr",'4'!J44),'4'!J44))))</f>
        <v/>
      </c>
      <c r="K45" s="19" t="str">
        <f>IF(ISBLANK('Raw counts'!K45),"",IF('7'!$V44=1,IF('3'!K44='7'!$V44,"Sol",'4'!K44),IF('7'!$V44=2,IF('3'!K44&lt;='7'!$V44,"Dua",'4'!K44),IF('7'!$V44&gt;=3,IF('3'!K44&lt;='7'!$V44,"Shr",'4'!K44),'4'!K44))))</f>
        <v/>
      </c>
      <c r="L45" s="19" t="str">
        <f>IF(ISBLANK('Raw counts'!L45),"",IF('7'!$V44=1,IF('3'!L44='7'!$V44,"Sol",'4'!L44),IF('7'!$V44=2,IF('3'!L44&lt;='7'!$V44,"Dua",'4'!L44),IF('7'!$V44&gt;=3,IF('3'!L44&lt;='7'!$V44,"Shr",'4'!L44),'4'!L44))))</f>
        <v/>
      </c>
      <c r="M45" s="19" t="str">
        <f>IF(ISBLANK('Raw counts'!M45),"",IF('7'!$V44=1,IF('3'!M44='7'!$V44,"Sol",'4'!M44),IF('7'!$V44=2,IF('3'!M44&lt;='7'!$V44,"Dua",'4'!M44),IF('7'!$V44&gt;=3,IF('3'!M44&lt;='7'!$V44,"Shr",'4'!M44),'4'!M44))))</f>
        <v/>
      </c>
      <c r="N45" s="19" t="str">
        <f>IF(ISBLANK('Raw counts'!N45),"",IF('7'!$V44=1,IF('3'!N44='7'!$V44,"Sol",'4'!N44),IF('7'!$V44=2,IF('3'!N44&lt;='7'!$V44,"Dua",'4'!N44),IF('7'!$V44&gt;=3,IF('3'!N44&lt;='7'!$V44,"Shr",'4'!N44),'4'!N44))))</f>
        <v/>
      </c>
      <c r="O45" s="19" t="str">
        <f>IF(ISBLANK('Raw counts'!O45),"",IF('7'!$V44=1,IF('3'!O44='7'!$V44,"Sol",'4'!O44),IF('7'!$V44=2,IF('3'!O44&lt;='7'!$V44,"Dua",'4'!O44),IF('7'!$V44&gt;=3,IF('3'!O44&lt;='7'!$V44,"Shr",'4'!O44),'4'!O44))))</f>
        <v/>
      </c>
      <c r="P45" s="19" t="str">
        <f>IF(ISBLANK('Raw counts'!P45),"",IF('7'!$V44=1,IF('3'!P44='7'!$V44,"Sol",'4'!P44),IF('7'!$V44=2,IF('3'!P44&lt;='7'!$V44,"Dua",'4'!P44),IF('7'!$V44&gt;=3,IF('3'!P44&lt;='7'!$V44,"Shr",'4'!P44),'4'!P44))))</f>
        <v/>
      </c>
      <c r="Q45" s="19" t="str">
        <f>IF(ISBLANK('Raw counts'!Q45),"",IF('7'!$V44=1,IF('3'!Q44='7'!$V44,"Sol",'4'!Q44),IF('7'!$V44=2,IF('3'!Q44&lt;='7'!$V44,"Dua",'4'!Q44),IF('7'!$V44&gt;=3,IF('3'!Q44&lt;='7'!$V44,"Shr",'4'!Q44),'4'!Q44))))</f>
        <v/>
      </c>
      <c r="R45" s="19" t="str">
        <f>IF(ISBLANK('Raw counts'!R45),"",IF('7'!$V44=1,IF('3'!R44='7'!$V44,"Sol",'4'!R44),IF('7'!$V44=2,IF('3'!R44&lt;='7'!$V44,"Dua",'4'!R44),IF('7'!$V44&gt;=3,IF('3'!R44&lt;='7'!$V44,"Shr",'4'!R44),'4'!R44))))</f>
        <v/>
      </c>
      <c r="S45" s="19" t="str">
        <f>IF(ISBLANK('Raw counts'!S45),"",IF('7'!$V44=1,IF('3'!S44='7'!$V44,"Sol",'4'!S44),IF('7'!$V44=2,IF('3'!S44&lt;='7'!$V44,"Dua",'4'!S44),IF('7'!$V44&gt;=3,IF('3'!S44&lt;='7'!$V44,"Shr",'4'!S44),'4'!S44))))</f>
        <v/>
      </c>
      <c r="T45" s="19" t="str">
        <f>IF(ISBLANK('Raw counts'!T45),"",IF('7'!$V44=1,IF('3'!T44='7'!$V44,"Sol",'4'!T44),IF('7'!$V44=2,IF('3'!T44&lt;='7'!$V44,"Dua",'4'!T44),IF('7'!$V44&gt;=3,IF('3'!T44&lt;='7'!$V44,"Shr",'4'!T44),'4'!T44))))</f>
        <v/>
      </c>
      <c r="U45" s="19" t="str">
        <f>IF(ISBLANK('Raw counts'!U45),"",IF('7'!$V44=1,IF('3'!U44='7'!$V44,"Sol",'4'!U44),IF('7'!$V44=2,IF('3'!U44&lt;='7'!$V44,"Dua",'4'!U44),IF('7'!$V44&gt;=3,IF('3'!U44&lt;='7'!$V44,"Shr",'4'!U44),'4'!U44))))</f>
        <v/>
      </c>
    </row>
    <row r="46" spans="1:21" x14ac:dyDescent="0.15">
      <c r="A46" s="18" t="str">
        <f>IF(ISBLANK('Raw counts'!A46),"",'Raw counts'!A46)</f>
        <v>Attr42</v>
      </c>
      <c r="B46" s="19" t="str">
        <f>IF(ISBLANK('Raw counts'!B46),"",IF('7'!$V45=1,IF('3'!B45='7'!$V45,"Sol",'4'!B45),IF('7'!$V45=2,IF('3'!B45&lt;='7'!$V45,"Dua",'4'!B45),IF('7'!$V45&gt;=3,IF('3'!B45&lt;='7'!$V45,"Shr",'4'!B45),'4'!B45))))</f>
        <v/>
      </c>
      <c r="C46" s="19" t="str">
        <f>IF(ISBLANK('Raw counts'!C46),"",IF('7'!$V45=1,IF('3'!C45='7'!$V45,"Sol",'4'!C45),IF('7'!$V45=2,IF('3'!C45&lt;='7'!$V45,"Dua",'4'!C45),IF('7'!$V45&gt;=3,IF('3'!C45&lt;='7'!$V45,"Shr",'4'!C45),'4'!C45))))</f>
        <v/>
      </c>
      <c r="D46" s="19" t="str">
        <f>IF(ISBLANK('Raw counts'!D46),"",IF('7'!$V45=1,IF('3'!D45='7'!$V45,"Sol",'4'!D45),IF('7'!$V45=2,IF('3'!D45&lt;='7'!$V45,"Dua",'4'!D45),IF('7'!$V45&gt;=3,IF('3'!D45&lt;='7'!$V45,"Shr",'4'!D45),'4'!D45))))</f>
        <v/>
      </c>
      <c r="E46" s="19" t="str">
        <f>IF(ISBLANK('Raw counts'!E46),"",IF('7'!$V45=1,IF('3'!E45='7'!$V45,"Sol",'4'!E45),IF('7'!$V45=2,IF('3'!E45&lt;='7'!$V45,"Dua",'4'!E45),IF('7'!$V45&gt;=3,IF('3'!E45&lt;='7'!$V45,"Shr",'4'!E45),'4'!E45))))</f>
        <v/>
      </c>
      <c r="F46" s="19" t="str">
        <f>IF(ISBLANK('Raw counts'!F46),"",IF('7'!$V45=1,IF('3'!F45='7'!$V45,"Sol",'4'!F45),IF('7'!$V45=2,IF('3'!F45&lt;='7'!$V45,"Dua",'4'!F45),IF('7'!$V45&gt;=3,IF('3'!F45&lt;='7'!$V45,"Shr",'4'!F45),'4'!F45))))</f>
        <v/>
      </c>
      <c r="G46" s="19" t="str">
        <f>IF(ISBLANK('Raw counts'!G46),"",IF('7'!$V45=1,IF('3'!G45='7'!$V45,"Sol",'4'!G45),IF('7'!$V45=2,IF('3'!G45&lt;='7'!$V45,"Dua",'4'!G45),IF('7'!$V45&gt;=3,IF('3'!G45&lt;='7'!$V45,"Shr",'4'!G45),'4'!G45))))</f>
        <v/>
      </c>
      <c r="H46" s="19" t="str">
        <f>IF(ISBLANK('Raw counts'!H46),"",IF('7'!$V45=1,IF('3'!H45='7'!$V45,"Sol",'4'!H45),IF('7'!$V45=2,IF('3'!H45&lt;='7'!$V45,"Dua",'4'!H45),IF('7'!$V45&gt;=3,IF('3'!H45&lt;='7'!$V45,"Shr",'4'!H45),'4'!H45))))</f>
        <v/>
      </c>
      <c r="I46" s="19" t="str">
        <f>IF(ISBLANK('Raw counts'!I46),"",IF('7'!$V45=1,IF('3'!I45='7'!$V45,"Sol",'4'!I45),IF('7'!$V45=2,IF('3'!I45&lt;='7'!$V45,"Dua",'4'!I45),IF('7'!$V45&gt;=3,IF('3'!I45&lt;='7'!$V45,"Shr",'4'!I45),'4'!I45))))</f>
        <v/>
      </c>
      <c r="J46" s="19" t="str">
        <f>IF(ISBLANK('Raw counts'!J46),"",IF('7'!$V45=1,IF('3'!J45='7'!$V45,"Sol",'4'!J45),IF('7'!$V45=2,IF('3'!J45&lt;='7'!$V45,"Dua",'4'!J45),IF('7'!$V45&gt;=3,IF('3'!J45&lt;='7'!$V45,"Shr",'4'!J45),'4'!J45))))</f>
        <v/>
      </c>
      <c r="K46" s="19" t="str">
        <f>IF(ISBLANK('Raw counts'!K46),"",IF('7'!$V45=1,IF('3'!K45='7'!$V45,"Sol",'4'!K45),IF('7'!$V45=2,IF('3'!K45&lt;='7'!$V45,"Dua",'4'!K45),IF('7'!$V45&gt;=3,IF('3'!K45&lt;='7'!$V45,"Shr",'4'!K45),'4'!K45))))</f>
        <v/>
      </c>
      <c r="L46" s="19" t="str">
        <f>IF(ISBLANK('Raw counts'!L46),"",IF('7'!$V45=1,IF('3'!L45='7'!$V45,"Sol",'4'!L45),IF('7'!$V45=2,IF('3'!L45&lt;='7'!$V45,"Dua",'4'!L45),IF('7'!$V45&gt;=3,IF('3'!L45&lt;='7'!$V45,"Shr",'4'!L45),'4'!L45))))</f>
        <v/>
      </c>
      <c r="M46" s="19" t="str">
        <f>IF(ISBLANK('Raw counts'!M46),"",IF('7'!$V45=1,IF('3'!M45='7'!$V45,"Sol",'4'!M45),IF('7'!$V45=2,IF('3'!M45&lt;='7'!$V45,"Dua",'4'!M45),IF('7'!$V45&gt;=3,IF('3'!M45&lt;='7'!$V45,"Shr",'4'!M45),'4'!M45))))</f>
        <v/>
      </c>
      <c r="N46" s="19" t="str">
        <f>IF(ISBLANK('Raw counts'!N46),"",IF('7'!$V45=1,IF('3'!N45='7'!$V45,"Sol",'4'!N45),IF('7'!$V45=2,IF('3'!N45&lt;='7'!$V45,"Dua",'4'!N45),IF('7'!$V45&gt;=3,IF('3'!N45&lt;='7'!$V45,"Shr",'4'!N45),'4'!N45))))</f>
        <v/>
      </c>
      <c r="O46" s="19" t="str">
        <f>IF(ISBLANK('Raw counts'!O46),"",IF('7'!$V45=1,IF('3'!O45='7'!$V45,"Sol",'4'!O45),IF('7'!$V45=2,IF('3'!O45&lt;='7'!$V45,"Dua",'4'!O45),IF('7'!$V45&gt;=3,IF('3'!O45&lt;='7'!$V45,"Shr",'4'!O45),'4'!O45))))</f>
        <v/>
      </c>
      <c r="P46" s="19" t="str">
        <f>IF(ISBLANK('Raw counts'!P46),"",IF('7'!$V45=1,IF('3'!P45='7'!$V45,"Sol",'4'!P45),IF('7'!$V45=2,IF('3'!P45&lt;='7'!$V45,"Dua",'4'!P45),IF('7'!$V45&gt;=3,IF('3'!P45&lt;='7'!$V45,"Shr",'4'!P45),'4'!P45))))</f>
        <v/>
      </c>
      <c r="Q46" s="19" t="str">
        <f>IF(ISBLANK('Raw counts'!Q46),"",IF('7'!$V45=1,IF('3'!Q45='7'!$V45,"Sol",'4'!Q45),IF('7'!$V45=2,IF('3'!Q45&lt;='7'!$V45,"Dua",'4'!Q45),IF('7'!$V45&gt;=3,IF('3'!Q45&lt;='7'!$V45,"Shr",'4'!Q45),'4'!Q45))))</f>
        <v/>
      </c>
      <c r="R46" s="19" t="str">
        <f>IF(ISBLANK('Raw counts'!R46),"",IF('7'!$V45=1,IF('3'!R45='7'!$V45,"Sol",'4'!R45),IF('7'!$V45=2,IF('3'!R45&lt;='7'!$V45,"Dua",'4'!R45),IF('7'!$V45&gt;=3,IF('3'!R45&lt;='7'!$V45,"Shr",'4'!R45),'4'!R45))))</f>
        <v/>
      </c>
      <c r="S46" s="19" t="str">
        <f>IF(ISBLANK('Raw counts'!S46),"",IF('7'!$V45=1,IF('3'!S45='7'!$V45,"Sol",'4'!S45),IF('7'!$V45=2,IF('3'!S45&lt;='7'!$V45,"Dua",'4'!S45),IF('7'!$V45&gt;=3,IF('3'!S45&lt;='7'!$V45,"Shr",'4'!S45),'4'!S45))))</f>
        <v/>
      </c>
      <c r="T46" s="19" t="str">
        <f>IF(ISBLANK('Raw counts'!T46),"",IF('7'!$V45=1,IF('3'!T45='7'!$V45,"Sol",'4'!T45),IF('7'!$V45=2,IF('3'!T45&lt;='7'!$V45,"Dua",'4'!T45),IF('7'!$V45&gt;=3,IF('3'!T45&lt;='7'!$V45,"Shr",'4'!T45),'4'!T45))))</f>
        <v/>
      </c>
      <c r="U46" s="19" t="str">
        <f>IF(ISBLANK('Raw counts'!U46),"",IF('7'!$V45=1,IF('3'!U45='7'!$V45,"Sol",'4'!U45),IF('7'!$V45=2,IF('3'!U45&lt;='7'!$V45,"Dua",'4'!U45),IF('7'!$V45&gt;=3,IF('3'!U45&lt;='7'!$V45,"Shr",'4'!U45),'4'!U45))))</f>
        <v/>
      </c>
    </row>
    <row r="47" spans="1:21" x14ac:dyDescent="0.15">
      <c r="A47" s="18" t="str">
        <f>IF(ISBLANK('Raw counts'!A47),"",'Raw counts'!A47)</f>
        <v>Attr43</v>
      </c>
      <c r="B47" s="19" t="str">
        <f>IF(ISBLANK('Raw counts'!B47),"",IF('7'!$V46=1,IF('3'!B46='7'!$V46,"Sol",'4'!B46),IF('7'!$V46=2,IF('3'!B46&lt;='7'!$V46,"Dua",'4'!B46),IF('7'!$V46&gt;=3,IF('3'!B46&lt;='7'!$V46,"Shr",'4'!B46),'4'!B46))))</f>
        <v/>
      </c>
      <c r="C47" s="19" t="str">
        <f>IF(ISBLANK('Raw counts'!C47),"",IF('7'!$V46=1,IF('3'!C46='7'!$V46,"Sol",'4'!C46),IF('7'!$V46=2,IF('3'!C46&lt;='7'!$V46,"Dua",'4'!C46),IF('7'!$V46&gt;=3,IF('3'!C46&lt;='7'!$V46,"Shr",'4'!C46),'4'!C46))))</f>
        <v/>
      </c>
      <c r="D47" s="19" t="str">
        <f>IF(ISBLANK('Raw counts'!D47),"",IF('7'!$V46=1,IF('3'!D46='7'!$V46,"Sol",'4'!D46),IF('7'!$V46=2,IF('3'!D46&lt;='7'!$V46,"Dua",'4'!D46),IF('7'!$V46&gt;=3,IF('3'!D46&lt;='7'!$V46,"Shr",'4'!D46),'4'!D46))))</f>
        <v/>
      </c>
      <c r="E47" s="19" t="str">
        <f>IF(ISBLANK('Raw counts'!E47),"",IF('7'!$V46=1,IF('3'!E46='7'!$V46,"Sol",'4'!E46),IF('7'!$V46=2,IF('3'!E46&lt;='7'!$V46,"Dua",'4'!E46),IF('7'!$V46&gt;=3,IF('3'!E46&lt;='7'!$V46,"Shr",'4'!E46),'4'!E46))))</f>
        <v/>
      </c>
      <c r="F47" s="19" t="str">
        <f>IF(ISBLANK('Raw counts'!F47),"",IF('7'!$V46=1,IF('3'!F46='7'!$V46,"Sol",'4'!F46),IF('7'!$V46=2,IF('3'!F46&lt;='7'!$V46,"Dua",'4'!F46),IF('7'!$V46&gt;=3,IF('3'!F46&lt;='7'!$V46,"Shr",'4'!F46),'4'!F46))))</f>
        <v/>
      </c>
      <c r="G47" s="19" t="str">
        <f>IF(ISBLANK('Raw counts'!G47),"",IF('7'!$V46=1,IF('3'!G46='7'!$V46,"Sol",'4'!G46),IF('7'!$V46=2,IF('3'!G46&lt;='7'!$V46,"Dua",'4'!G46),IF('7'!$V46&gt;=3,IF('3'!G46&lt;='7'!$V46,"Shr",'4'!G46),'4'!G46))))</f>
        <v/>
      </c>
      <c r="H47" s="19" t="str">
        <f>IF(ISBLANK('Raw counts'!H47),"",IF('7'!$V46=1,IF('3'!H46='7'!$V46,"Sol",'4'!H46),IF('7'!$V46=2,IF('3'!H46&lt;='7'!$V46,"Dua",'4'!H46),IF('7'!$V46&gt;=3,IF('3'!H46&lt;='7'!$V46,"Shr",'4'!H46),'4'!H46))))</f>
        <v/>
      </c>
      <c r="I47" s="19" t="str">
        <f>IF(ISBLANK('Raw counts'!I47),"",IF('7'!$V46=1,IF('3'!I46='7'!$V46,"Sol",'4'!I46),IF('7'!$V46=2,IF('3'!I46&lt;='7'!$V46,"Dua",'4'!I46),IF('7'!$V46&gt;=3,IF('3'!I46&lt;='7'!$V46,"Shr",'4'!I46),'4'!I46))))</f>
        <v/>
      </c>
      <c r="J47" s="19" t="str">
        <f>IF(ISBLANK('Raw counts'!J47),"",IF('7'!$V46=1,IF('3'!J46='7'!$V46,"Sol",'4'!J46),IF('7'!$V46=2,IF('3'!J46&lt;='7'!$V46,"Dua",'4'!J46),IF('7'!$V46&gt;=3,IF('3'!J46&lt;='7'!$V46,"Shr",'4'!J46),'4'!J46))))</f>
        <v/>
      </c>
      <c r="K47" s="19" t="str">
        <f>IF(ISBLANK('Raw counts'!K47),"",IF('7'!$V46=1,IF('3'!K46='7'!$V46,"Sol",'4'!K46),IF('7'!$V46=2,IF('3'!K46&lt;='7'!$V46,"Dua",'4'!K46),IF('7'!$V46&gt;=3,IF('3'!K46&lt;='7'!$V46,"Shr",'4'!K46),'4'!K46))))</f>
        <v/>
      </c>
      <c r="L47" s="19" t="str">
        <f>IF(ISBLANK('Raw counts'!L47),"",IF('7'!$V46=1,IF('3'!L46='7'!$V46,"Sol",'4'!L46),IF('7'!$V46=2,IF('3'!L46&lt;='7'!$V46,"Dua",'4'!L46),IF('7'!$V46&gt;=3,IF('3'!L46&lt;='7'!$V46,"Shr",'4'!L46),'4'!L46))))</f>
        <v/>
      </c>
      <c r="M47" s="19" t="str">
        <f>IF(ISBLANK('Raw counts'!M47),"",IF('7'!$V46=1,IF('3'!M46='7'!$V46,"Sol",'4'!M46),IF('7'!$V46=2,IF('3'!M46&lt;='7'!$V46,"Dua",'4'!M46),IF('7'!$V46&gt;=3,IF('3'!M46&lt;='7'!$V46,"Shr",'4'!M46),'4'!M46))))</f>
        <v/>
      </c>
      <c r="N47" s="19" t="str">
        <f>IF(ISBLANK('Raw counts'!N47),"",IF('7'!$V46=1,IF('3'!N46='7'!$V46,"Sol",'4'!N46),IF('7'!$V46=2,IF('3'!N46&lt;='7'!$V46,"Dua",'4'!N46),IF('7'!$V46&gt;=3,IF('3'!N46&lt;='7'!$V46,"Shr",'4'!N46),'4'!N46))))</f>
        <v/>
      </c>
      <c r="O47" s="19" t="str">
        <f>IF(ISBLANK('Raw counts'!O47),"",IF('7'!$V46=1,IF('3'!O46='7'!$V46,"Sol",'4'!O46),IF('7'!$V46=2,IF('3'!O46&lt;='7'!$V46,"Dua",'4'!O46),IF('7'!$V46&gt;=3,IF('3'!O46&lt;='7'!$V46,"Shr",'4'!O46),'4'!O46))))</f>
        <v/>
      </c>
      <c r="P47" s="19" t="str">
        <f>IF(ISBLANK('Raw counts'!P47),"",IF('7'!$V46=1,IF('3'!P46='7'!$V46,"Sol",'4'!P46),IF('7'!$V46=2,IF('3'!P46&lt;='7'!$V46,"Dua",'4'!P46),IF('7'!$V46&gt;=3,IF('3'!P46&lt;='7'!$V46,"Shr",'4'!P46),'4'!P46))))</f>
        <v/>
      </c>
      <c r="Q47" s="19" t="str">
        <f>IF(ISBLANK('Raw counts'!Q47),"",IF('7'!$V46=1,IF('3'!Q46='7'!$V46,"Sol",'4'!Q46),IF('7'!$V46=2,IF('3'!Q46&lt;='7'!$V46,"Dua",'4'!Q46),IF('7'!$V46&gt;=3,IF('3'!Q46&lt;='7'!$V46,"Shr",'4'!Q46),'4'!Q46))))</f>
        <v/>
      </c>
      <c r="R47" s="19" t="str">
        <f>IF(ISBLANK('Raw counts'!R47),"",IF('7'!$V46=1,IF('3'!R46='7'!$V46,"Sol",'4'!R46),IF('7'!$V46=2,IF('3'!R46&lt;='7'!$V46,"Dua",'4'!R46),IF('7'!$V46&gt;=3,IF('3'!R46&lt;='7'!$V46,"Shr",'4'!R46),'4'!R46))))</f>
        <v/>
      </c>
      <c r="S47" s="19" t="str">
        <f>IF(ISBLANK('Raw counts'!S47),"",IF('7'!$V46=1,IF('3'!S46='7'!$V46,"Sol",'4'!S46),IF('7'!$V46=2,IF('3'!S46&lt;='7'!$V46,"Dua",'4'!S46),IF('7'!$V46&gt;=3,IF('3'!S46&lt;='7'!$V46,"Shr",'4'!S46),'4'!S46))))</f>
        <v/>
      </c>
      <c r="T47" s="19" t="str">
        <f>IF(ISBLANK('Raw counts'!T47),"",IF('7'!$V46=1,IF('3'!T46='7'!$V46,"Sol",'4'!T46),IF('7'!$V46=2,IF('3'!T46&lt;='7'!$V46,"Dua",'4'!T46),IF('7'!$V46&gt;=3,IF('3'!T46&lt;='7'!$V46,"Shr",'4'!T46),'4'!T46))))</f>
        <v/>
      </c>
      <c r="U47" s="19" t="str">
        <f>IF(ISBLANK('Raw counts'!U47),"",IF('7'!$V46=1,IF('3'!U46='7'!$V46,"Sol",'4'!U46),IF('7'!$V46=2,IF('3'!U46&lt;='7'!$V46,"Dua",'4'!U46),IF('7'!$V46&gt;=3,IF('3'!U46&lt;='7'!$V46,"Shr",'4'!U46),'4'!U46))))</f>
        <v/>
      </c>
    </row>
    <row r="48" spans="1:21" x14ac:dyDescent="0.15">
      <c r="A48" s="18" t="str">
        <f>IF(ISBLANK('Raw counts'!A48),"",'Raw counts'!A48)</f>
        <v>Attr44</v>
      </c>
      <c r="B48" s="19" t="str">
        <f>IF(ISBLANK('Raw counts'!B48),"",IF('7'!$V47=1,IF('3'!B47='7'!$V47,"Sol",'4'!B47),IF('7'!$V47=2,IF('3'!B47&lt;='7'!$V47,"Dua",'4'!B47),IF('7'!$V47&gt;=3,IF('3'!B47&lt;='7'!$V47,"Shr",'4'!B47),'4'!B47))))</f>
        <v/>
      </c>
      <c r="C48" s="19" t="str">
        <f>IF(ISBLANK('Raw counts'!C48),"",IF('7'!$V47=1,IF('3'!C47='7'!$V47,"Sol",'4'!C47),IF('7'!$V47=2,IF('3'!C47&lt;='7'!$V47,"Dua",'4'!C47),IF('7'!$V47&gt;=3,IF('3'!C47&lt;='7'!$V47,"Shr",'4'!C47),'4'!C47))))</f>
        <v/>
      </c>
      <c r="D48" s="19" t="str">
        <f>IF(ISBLANK('Raw counts'!D48),"",IF('7'!$V47=1,IF('3'!D47='7'!$V47,"Sol",'4'!D47),IF('7'!$V47=2,IF('3'!D47&lt;='7'!$V47,"Dua",'4'!D47),IF('7'!$V47&gt;=3,IF('3'!D47&lt;='7'!$V47,"Shr",'4'!D47),'4'!D47))))</f>
        <v/>
      </c>
      <c r="E48" s="19" t="str">
        <f>IF(ISBLANK('Raw counts'!E48),"",IF('7'!$V47=1,IF('3'!E47='7'!$V47,"Sol",'4'!E47),IF('7'!$V47=2,IF('3'!E47&lt;='7'!$V47,"Dua",'4'!E47),IF('7'!$V47&gt;=3,IF('3'!E47&lt;='7'!$V47,"Shr",'4'!E47),'4'!E47))))</f>
        <v/>
      </c>
      <c r="F48" s="19" t="str">
        <f>IF(ISBLANK('Raw counts'!F48),"",IF('7'!$V47=1,IF('3'!F47='7'!$V47,"Sol",'4'!F47),IF('7'!$V47=2,IF('3'!F47&lt;='7'!$V47,"Dua",'4'!F47),IF('7'!$V47&gt;=3,IF('3'!F47&lt;='7'!$V47,"Shr",'4'!F47),'4'!F47))))</f>
        <v/>
      </c>
      <c r="G48" s="19" t="str">
        <f>IF(ISBLANK('Raw counts'!G48),"",IF('7'!$V47=1,IF('3'!G47='7'!$V47,"Sol",'4'!G47),IF('7'!$V47=2,IF('3'!G47&lt;='7'!$V47,"Dua",'4'!G47),IF('7'!$V47&gt;=3,IF('3'!G47&lt;='7'!$V47,"Shr",'4'!G47),'4'!G47))))</f>
        <v/>
      </c>
      <c r="H48" s="19" t="str">
        <f>IF(ISBLANK('Raw counts'!H48),"",IF('7'!$V47=1,IF('3'!H47='7'!$V47,"Sol",'4'!H47),IF('7'!$V47=2,IF('3'!H47&lt;='7'!$V47,"Dua",'4'!H47),IF('7'!$V47&gt;=3,IF('3'!H47&lt;='7'!$V47,"Shr",'4'!H47),'4'!H47))))</f>
        <v/>
      </c>
      <c r="I48" s="19" t="str">
        <f>IF(ISBLANK('Raw counts'!I48),"",IF('7'!$V47=1,IF('3'!I47='7'!$V47,"Sol",'4'!I47),IF('7'!$V47=2,IF('3'!I47&lt;='7'!$V47,"Dua",'4'!I47),IF('7'!$V47&gt;=3,IF('3'!I47&lt;='7'!$V47,"Shr",'4'!I47),'4'!I47))))</f>
        <v/>
      </c>
      <c r="J48" s="19" t="str">
        <f>IF(ISBLANK('Raw counts'!J48),"",IF('7'!$V47=1,IF('3'!J47='7'!$V47,"Sol",'4'!J47),IF('7'!$V47=2,IF('3'!J47&lt;='7'!$V47,"Dua",'4'!J47),IF('7'!$V47&gt;=3,IF('3'!J47&lt;='7'!$V47,"Shr",'4'!J47),'4'!J47))))</f>
        <v/>
      </c>
      <c r="K48" s="19" t="str">
        <f>IF(ISBLANK('Raw counts'!K48),"",IF('7'!$V47=1,IF('3'!K47='7'!$V47,"Sol",'4'!K47),IF('7'!$V47=2,IF('3'!K47&lt;='7'!$V47,"Dua",'4'!K47),IF('7'!$V47&gt;=3,IF('3'!K47&lt;='7'!$V47,"Shr",'4'!K47),'4'!K47))))</f>
        <v/>
      </c>
      <c r="L48" s="19" t="str">
        <f>IF(ISBLANK('Raw counts'!L48),"",IF('7'!$V47=1,IF('3'!L47='7'!$V47,"Sol",'4'!L47),IF('7'!$V47=2,IF('3'!L47&lt;='7'!$V47,"Dua",'4'!L47),IF('7'!$V47&gt;=3,IF('3'!L47&lt;='7'!$V47,"Shr",'4'!L47),'4'!L47))))</f>
        <v/>
      </c>
      <c r="M48" s="19" t="str">
        <f>IF(ISBLANK('Raw counts'!M48),"",IF('7'!$V47=1,IF('3'!M47='7'!$V47,"Sol",'4'!M47),IF('7'!$V47=2,IF('3'!M47&lt;='7'!$V47,"Dua",'4'!M47),IF('7'!$V47&gt;=3,IF('3'!M47&lt;='7'!$V47,"Shr",'4'!M47),'4'!M47))))</f>
        <v/>
      </c>
      <c r="N48" s="19" t="str">
        <f>IF(ISBLANK('Raw counts'!N48),"",IF('7'!$V47=1,IF('3'!N47='7'!$V47,"Sol",'4'!N47),IF('7'!$V47=2,IF('3'!N47&lt;='7'!$V47,"Dua",'4'!N47),IF('7'!$V47&gt;=3,IF('3'!N47&lt;='7'!$V47,"Shr",'4'!N47),'4'!N47))))</f>
        <v/>
      </c>
      <c r="O48" s="19" t="str">
        <f>IF(ISBLANK('Raw counts'!O48),"",IF('7'!$V47=1,IF('3'!O47='7'!$V47,"Sol",'4'!O47),IF('7'!$V47=2,IF('3'!O47&lt;='7'!$V47,"Dua",'4'!O47),IF('7'!$V47&gt;=3,IF('3'!O47&lt;='7'!$V47,"Shr",'4'!O47),'4'!O47))))</f>
        <v/>
      </c>
      <c r="P48" s="19" t="str">
        <f>IF(ISBLANK('Raw counts'!P48),"",IF('7'!$V47=1,IF('3'!P47='7'!$V47,"Sol",'4'!P47),IF('7'!$V47=2,IF('3'!P47&lt;='7'!$V47,"Dua",'4'!P47),IF('7'!$V47&gt;=3,IF('3'!P47&lt;='7'!$V47,"Shr",'4'!P47),'4'!P47))))</f>
        <v/>
      </c>
      <c r="Q48" s="19" t="str">
        <f>IF(ISBLANK('Raw counts'!Q48),"",IF('7'!$V47=1,IF('3'!Q47='7'!$V47,"Sol",'4'!Q47),IF('7'!$V47=2,IF('3'!Q47&lt;='7'!$V47,"Dua",'4'!Q47),IF('7'!$V47&gt;=3,IF('3'!Q47&lt;='7'!$V47,"Shr",'4'!Q47),'4'!Q47))))</f>
        <v/>
      </c>
      <c r="R48" s="19" t="str">
        <f>IF(ISBLANK('Raw counts'!R48),"",IF('7'!$V47=1,IF('3'!R47='7'!$V47,"Sol",'4'!R47),IF('7'!$V47=2,IF('3'!R47&lt;='7'!$V47,"Dua",'4'!R47),IF('7'!$V47&gt;=3,IF('3'!R47&lt;='7'!$V47,"Shr",'4'!R47),'4'!R47))))</f>
        <v/>
      </c>
      <c r="S48" s="19" t="str">
        <f>IF(ISBLANK('Raw counts'!S48),"",IF('7'!$V47=1,IF('3'!S47='7'!$V47,"Sol",'4'!S47),IF('7'!$V47=2,IF('3'!S47&lt;='7'!$V47,"Dua",'4'!S47),IF('7'!$V47&gt;=3,IF('3'!S47&lt;='7'!$V47,"Shr",'4'!S47),'4'!S47))))</f>
        <v/>
      </c>
      <c r="T48" s="19" t="str">
        <f>IF(ISBLANK('Raw counts'!T48),"",IF('7'!$V47=1,IF('3'!T47='7'!$V47,"Sol",'4'!T47),IF('7'!$V47=2,IF('3'!T47&lt;='7'!$V47,"Dua",'4'!T47),IF('7'!$V47&gt;=3,IF('3'!T47&lt;='7'!$V47,"Shr",'4'!T47),'4'!T47))))</f>
        <v/>
      </c>
      <c r="U48" s="19" t="str">
        <f>IF(ISBLANK('Raw counts'!U48),"",IF('7'!$V47=1,IF('3'!U47='7'!$V47,"Sol",'4'!U47),IF('7'!$V47=2,IF('3'!U47&lt;='7'!$V47,"Dua",'4'!U47),IF('7'!$V47&gt;=3,IF('3'!U47&lt;='7'!$V47,"Shr",'4'!U47),'4'!U47))))</f>
        <v/>
      </c>
    </row>
    <row r="49" spans="1:21" x14ac:dyDescent="0.15">
      <c r="A49" s="18" t="str">
        <f>IF(ISBLANK('Raw counts'!A49),"",'Raw counts'!A49)</f>
        <v>Attr45</v>
      </c>
      <c r="B49" s="19" t="str">
        <f>IF(ISBLANK('Raw counts'!B49),"",IF('7'!$V48=1,IF('3'!B48='7'!$V48,"Sol",'4'!B48),IF('7'!$V48=2,IF('3'!B48&lt;='7'!$V48,"Dua",'4'!B48),IF('7'!$V48&gt;=3,IF('3'!B48&lt;='7'!$V48,"Shr",'4'!B48),'4'!B48))))</f>
        <v/>
      </c>
      <c r="C49" s="19" t="str">
        <f>IF(ISBLANK('Raw counts'!C49),"",IF('7'!$V48=1,IF('3'!C48='7'!$V48,"Sol",'4'!C48),IF('7'!$V48=2,IF('3'!C48&lt;='7'!$V48,"Dua",'4'!C48),IF('7'!$V48&gt;=3,IF('3'!C48&lt;='7'!$V48,"Shr",'4'!C48),'4'!C48))))</f>
        <v/>
      </c>
      <c r="D49" s="19" t="str">
        <f>IF(ISBLANK('Raw counts'!D49),"",IF('7'!$V48=1,IF('3'!D48='7'!$V48,"Sol",'4'!D48),IF('7'!$V48=2,IF('3'!D48&lt;='7'!$V48,"Dua",'4'!D48),IF('7'!$V48&gt;=3,IF('3'!D48&lt;='7'!$V48,"Shr",'4'!D48),'4'!D48))))</f>
        <v/>
      </c>
      <c r="E49" s="19" t="str">
        <f>IF(ISBLANK('Raw counts'!E49),"",IF('7'!$V48=1,IF('3'!E48='7'!$V48,"Sol",'4'!E48),IF('7'!$V48=2,IF('3'!E48&lt;='7'!$V48,"Dua",'4'!E48),IF('7'!$V48&gt;=3,IF('3'!E48&lt;='7'!$V48,"Shr",'4'!E48),'4'!E48))))</f>
        <v/>
      </c>
      <c r="F49" s="19" t="str">
        <f>IF(ISBLANK('Raw counts'!F49),"",IF('7'!$V48=1,IF('3'!F48='7'!$V48,"Sol",'4'!F48),IF('7'!$V48=2,IF('3'!F48&lt;='7'!$V48,"Dua",'4'!F48),IF('7'!$V48&gt;=3,IF('3'!F48&lt;='7'!$V48,"Shr",'4'!F48),'4'!F48))))</f>
        <v/>
      </c>
      <c r="G49" s="19" t="str">
        <f>IF(ISBLANK('Raw counts'!G49),"",IF('7'!$V48=1,IF('3'!G48='7'!$V48,"Sol",'4'!G48),IF('7'!$V48=2,IF('3'!G48&lt;='7'!$V48,"Dua",'4'!G48),IF('7'!$V48&gt;=3,IF('3'!G48&lt;='7'!$V48,"Shr",'4'!G48),'4'!G48))))</f>
        <v/>
      </c>
      <c r="H49" s="19" t="str">
        <f>IF(ISBLANK('Raw counts'!H49),"",IF('7'!$V48=1,IF('3'!H48='7'!$V48,"Sol",'4'!H48),IF('7'!$V48=2,IF('3'!H48&lt;='7'!$V48,"Dua",'4'!H48),IF('7'!$V48&gt;=3,IF('3'!H48&lt;='7'!$V48,"Shr",'4'!H48),'4'!H48))))</f>
        <v/>
      </c>
      <c r="I49" s="19" t="str">
        <f>IF(ISBLANK('Raw counts'!I49),"",IF('7'!$V48=1,IF('3'!I48='7'!$V48,"Sol",'4'!I48),IF('7'!$V48=2,IF('3'!I48&lt;='7'!$V48,"Dua",'4'!I48),IF('7'!$V48&gt;=3,IF('3'!I48&lt;='7'!$V48,"Shr",'4'!I48),'4'!I48))))</f>
        <v/>
      </c>
      <c r="J49" s="19" t="str">
        <f>IF(ISBLANK('Raw counts'!J49),"",IF('7'!$V48=1,IF('3'!J48='7'!$V48,"Sol",'4'!J48),IF('7'!$V48=2,IF('3'!J48&lt;='7'!$V48,"Dua",'4'!J48),IF('7'!$V48&gt;=3,IF('3'!J48&lt;='7'!$V48,"Shr",'4'!J48),'4'!J48))))</f>
        <v/>
      </c>
      <c r="K49" s="19" t="str">
        <f>IF(ISBLANK('Raw counts'!K49),"",IF('7'!$V48=1,IF('3'!K48='7'!$V48,"Sol",'4'!K48),IF('7'!$V48=2,IF('3'!K48&lt;='7'!$V48,"Dua",'4'!K48),IF('7'!$V48&gt;=3,IF('3'!K48&lt;='7'!$V48,"Shr",'4'!K48),'4'!K48))))</f>
        <v/>
      </c>
      <c r="L49" s="19" t="str">
        <f>IF(ISBLANK('Raw counts'!L49),"",IF('7'!$V48=1,IF('3'!L48='7'!$V48,"Sol",'4'!L48),IF('7'!$V48=2,IF('3'!L48&lt;='7'!$V48,"Dua",'4'!L48),IF('7'!$V48&gt;=3,IF('3'!L48&lt;='7'!$V48,"Shr",'4'!L48),'4'!L48))))</f>
        <v/>
      </c>
      <c r="M49" s="19" t="str">
        <f>IF(ISBLANK('Raw counts'!M49),"",IF('7'!$V48=1,IF('3'!M48='7'!$V48,"Sol",'4'!M48),IF('7'!$V48=2,IF('3'!M48&lt;='7'!$V48,"Dua",'4'!M48),IF('7'!$V48&gt;=3,IF('3'!M48&lt;='7'!$V48,"Shr",'4'!M48),'4'!M48))))</f>
        <v/>
      </c>
      <c r="N49" s="19" t="str">
        <f>IF(ISBLANK('Raw counts'!N49),"",IF('7'!$V48=1,IF('3'!N48='7'!$V48,"Sol",'4'!N48),IF('7'!$V48=2,IF('3'!N48&lt;='7'!$V48,"Dua",'4'!N48),IF('7'!$V48&gt;=3,IF('3'!N48&lt;='7'!$V48,"Shr",'4'!N48),'4'!N48))))</f>
        <v/>
      </c>
      <c r="O49" s="19" t="str">
        <f>IF(ISBLANK('Raw counts'!O49),"",IF('7'!$V48=1,IF('3'!O48='7'!$V48,"Sol",'4'!O48),IF('7'!$V48=2,IF('3'!O48&lt;='7'!$V48,"Dua",'4'!O48),IF('7'!$V48&gt;=3,IF('3'!O48&lt;='7'!$V48,"Shr",'4'!O48),'4'!O48))))</f>
        <v/>
      </c>
      <c r="P49" s="19" t="str">
        <f>IF(ISBLANK('Raw counts'!P49),"",IF('7'!$V48=1,IF('3'!P48='7'!$V48,"Sol",'4'!P48),IF('7'!$V48=2,IF('3'!P48&lt;='7'!$V48,"Dua",'4'!P48),IF('7'!$V48&gt;=3,IF('3'!P48&lt;='7'!$V48,"Shr",'4'!P48),'4'!P48))))</f>
        <v/>
      </c>
      <c r="Q49" s="19" t="str">
        <f>IF(ISBLANK('Raw counts'!Q49),"",IF('7'!$V48=1,IF('3'!Q48='7'!$V48,"Sol",'4'!Q48),IF('7'!$V48=2,IF('3'!Q48&lt;='7'!$V48,"Dua",'4'!Q48),IF('7'!$V48&gt;=3,IF('3'!Q48&lt;='7'!$V48,"Shr",'4'!Q48),'4'!Q48))))</f>
        <v/>
      </c>
      <c r="R49" s="19" t="str">
        <f>IF(ISBLANK('Raw counts'!R49),"",IF('7'!$V48=1,IF('3'!R48='7'!$V48,"Sol",'4'!R48),IF('7'!$V48=2,IF('3'!R48&lt;='7'!$V48,"Dua",'4'!R48),IF('7'!$V48&gt;=3,IF('3'!R48&lt;='7'!$V48,"Shr",'4'!R48),'4'!R48))))</f>
        <v/>
      </c>
      <c r="S49" s="19" t="str">
        <f>IF(ISBLANK('Raw counts'!S49),"",IF('7'!$V48=1,IF('3'!S48='7'!$V48,"Sol",'4'!S48),IF('7'!$V48=2,IF('3'!S48&lt;='7'!$V48,"Dua",'4'!S48),IF('7'!$V48&gt;=3,IF('3'!S48&lt;='7'!$V48,"Shr",'4'!S48),'4'!S48))))</f>
        <v/>
      </c>
      <c r="T49" s="19" t="str">
        <f>IF(ISBLANK('Raw counts'!T49),"",IF('7'!$V48=1,IF('3'!T48='7'!$V48,"Sol",'4'!T48),IF('7'!$V48=2,IF('3'!T48&lt;='7'!$V48,"Dua",'4'!T48),IF('7'!$V48&gt;=3,IF('3'!T48&lt;='7'!$V48,"Shr",'4'!T48),'4'!T48))))</f>
        <v/>
      </c>
      <c r="U49" s="19" t="str">
        <f>IF(ISBLANK('Raw counts'!U49),"",IF('7'!$V48=1,IF('3'!U48='7'!$V48,"Sol",'4'!U48),IF('7'!$V48=2,IF('3'!U48&lt;='7'!$V48,"Dua",'4'!U48),IF('7'!$V48&gt;=3,IF('3'!U48&lt;='7'!$V48,"Shr",'4'!U48),'4'!U48))))</f>
        <v/>
      </c>
    </row>
    <row r="50" spans="1:21" x14ac:dyDescent="0.15">
      <c r="A50" s="18" t="str">
        <f>IF(ISBLANK('Raw counts'!A50),"",'Raw counts'!A50)</f>
        <v>Attr46</v>
      </c>
      <c r="B50" s="19" t="str">
        <f>IF(ISBLANK('Raw counts'!B50),"",IF('7'!$V49=1,IF('3'!B49='7'!$V49,"Sol",'4'!B49),IF('7'!$V49=2,IF('3'!B49&lt;='7'!$V49,"Dua",'4'!B49),IF('7'!$V49&gt;=3,IF('3'!B49&lt;='7'!$V49,"Shr",'4'!B49),'4'!B49))))</f>
        <v/>
      </c>
      <c r="C50" s="19" t="str">
        <f>IF(ISBLANK('Raw counts'!C50),"",IF('7'!$V49=1,IF('3'!C49='7'!$V49,"Sol",'4'!C49),IF('7'!$V49=2,IF('3'!C49&lt;='7'!$V49,"Dua",'4'!C49),IF('7'!$V49&gt;=3,IF('3'!C49&lt;='7'!$V49,"Shr",'4'!C49),'4'!C49))))</f>
        <v/>
      </c>
      <c r="D50" s="19" t="str">
        <f>IF(ISBLANK('Raw counts'!D50),"",IF('7'!$V49=1,IF('3'!D49='7'!$V49,"Sol",'4'!D49),IF('7'!$V49=2,IF('3'!D49&lt;='7'!$V49,"Dua",'4'!D49),IF('7'!$V49&gt;=3,IF('3'!D49&lt;='7'!$V49,"Shr",'4'!D49),'4'!D49))))</f>
        <v/>
      </c>
      <c r="E50" s="19" t="str">
        <f>IF(ISBLANK('Raw counts'!E50),"",IF('7'!$V49=1,IF('3'!E49='7'!$V49,"Sol",'4'!E49),IF('7'!$V49=2,IF('3'!E49&lt;='7'!$V49,"Dua",'4'!E49),IF('7'!$V49&gt;=3,IF('3'!E49&lt;='7'!$V49,"Shr",'4'!E49),'4'!E49))))</f>
        <v/>
      </c>
      <c r="F50" s="19" t="str">
        <f>IF(ISBLANK('Raw counts'!F50),"",IF('7'!$V49=1,IF('3'!F49='7'!$V49,"Sol",'4'!F49),IF('7'!$V49=2,IF('3'!F49&lt;='7'!$V49,"Dua",'4'!F49),IF('7'!$V49&gt;=3,IF('3'!F49&lt;='7'!$V49,"Shr",'4'!F49),'4'!F49))))</f>
        <v/>
      </c>
      <c r="G50" s="19" t="str">
        <f>IF(ISBLANK('Raw counts'!G50),"",IF('7'!$V49=1,IF('3'!G49='7'!$V49,"Sol",'4'!G49),IF('7'!$V49=2,IF('3'!G49&lt;='7'!$V49,"Dua",'4'!G49),IF('7'!$V49&gt;=3,IF('3'!G49&lt;='7'!$V49,"Shr",'4'!G49),'4'!G49))))</f>
        <v/>
      </c>
      <c r="H50" s="19" t="str">
        <f>IF(ISBLANK('Raw counts'!H50),"",IF('7'!$V49=1,IF('3'!H49='7'!$V49,"Sol",'4'!H49),IF('7'!$V49=2,IF('3'!H49&lt;='7'!$V49,"Dua",'4'!H49),IF('7'!$V49&gt;=3,IF('3'!H49&lt;='7'!$V49,"Shr",'4'!H49),'4'!H49))))</f>
        <v/>
      </c>
      <c r="I50" s="19" t="str">
        <f>IF(ISBLANK('Raw counts'!I50),"",IF('7'!$V49=1,IF('3'!I49='7'!$V49,"Sol",'4'!I49),IF('7'!$V49=2,IF('3'!I49&lt;='7'!$V49,"Dua",'4'!I49),IF('7'!$V49&gt;=3,IF('3'!I49&lt;='7'!$V49,"Shr",'4'!I49),'4'!I49))))</f>
        <v/>
      </c>
      <c r="J50" s="19" t="str">
        <f>IF(ISBLANK('Raw counts'!J50),"",IF('7'!$V49=1,IF('3'!J49='7'!$V49,"Sol",'4'!J49),IF('7'!$V49=2,IF('3'!J49&lt;='7'!$V49,"Dua",'4'!J49),IF('7'!$V49&gt;=3,IF('3'!J49&lt;='7'!$V49,"Shr",'4'!J49),'4'!J49))))</f>
        <v/>
      </c>
      <c r="K50" s="19" t="str">
        <f>IF(ISBLANK('Raw counts'!K50),"",IF('7'!$V49=1,IF('3'!K49='7'!$V49,"Sol",'4'!K49),IF('7'!$V49=2,IF('3'!K49&lt;='7'!$V49,"Dua",'4'!K49),IF('7'!$V49&gt;=3,IF('3'!K49&lt;='7'!$V49,"Shr",'4'!K49),'4'!K49))))</f>
        <v/>
      </c>
      <c r="L50" s="19" t="str">
        <f>IF(ISBLANK('Raw counts'!L50),"",IF('7'!$V49=1,IF('3'!L49='7'!$V49,"Sol",'4'!L49),IF('7'!$V49=2,IF('3'!L49&lt;='7'!$V49,"Dua",'4'!L49),IF('7'!$V49&gt;=3,IF('3'!L49&lt;='7'!$V49,"Shr",'4'!L49),'4'!L49))))</f>
        <v/>
      </c>
      <c r="M50" s="19" t="str">
        <f>IF(ISBLANK('Raw counts'!M50),"",IF('7'!$V49=1,IF('3'!M49='7'!$V49,"Sol",'4'!M49),IF('7'!$V49=2,IF('3'!M49&lt;='7'!$V49,"Dua",'4'!M49),IF('7'!$V49&gt;=3,IF('3'!M49&lt;='7'!$V49,"Shr",'4'!M49),'4'!M49))))</f>
        <v/>
      </c>
      <c r="N50" s="19" t="str">
        <f>IF(ISBLANK('Raw counts'!N50),"",IF('7'!$V49=1,IF('3'!N49='7'!$V49,"Sol",'4'!N49),IF('7'!$V49=2,IF('3'!N49&lt;='7'!$V49,"Dua",'4'!N49),IF('7'!$V49&gt;=3,IF('3'!N49&lt;='7'!$V49,"Shr",'4'!N49),'4'!N49))))</f>
        <v/>
      </c>
      <c r="O50" s="19" t="str">
        <f>IF(ISBLANK('Raw counts'!O50),"",IF('7'!$V49=1,IF('3'!O49='7'!$V49,"Sol",'4'!O49),IF('7'!$V49=2,IF('3'!O49&lt;='7'!$V49,"Dua",'4'!O49),IF('7'!$V49&gt;=3,IF('3'!O49&lt;='7'!$V49,"Shr",'4'!O49),'4'!O49))))</f>
        <v/>
      </c>
      <c r="P50" s="19" t="str">
        <f>IF(ISBLANK('Raw counts'!P50),"",IF('7'!$V49=1,IF('3'!P49='7'!$V49,"Sol",'4'!P49),IF('7'!$V49=2,IF('3'!P49&lt;='7'!$V49,"Dua",'4'!P49),IF('7'!$V49&gt;=3,IF('3'!P49&lt;='7'!$V49,"Shr",'4'!P49),'4'!P49))))</f>
        <v/>
      </c>
      <c r="Q50" s="19" t="str">
        <f>IF(ISBLANK('Raw counts'!Q50),"",IF('7'!$V49=1,IF('3'!Q49='7'!$V49,"Sol",'4'!Q49),IF('7'!$V49=2,IF('3'!Q49&lt;='7'!$V49,"Dua",'4'!Q49),IF('7'!$V49&gt;=3,IF('3'!Q49&lt;='7'!$V49,"Shr",'4'!Q49),'4'!Q49))))</f>
        <v/>
      </c>
      <c r="R50" s="19" t="str">
        <f>IF(ISBLANK('Raw counts'!R50),"",IF('7'!$V49=1,IF('3'!R49='7'!$V49,"Sol",'4'!R49),IF('7'!$V49=2,IF('3'!R49&lt;='7'!$V49,"Dua",'4'!R49),IF('7'!$V49&gt;=3,IF('3'!R49&lt;='7'!$V49,"Shr",'4'!R49),'4'!R49))))</f>
        <v/>
      </c>
      <c r="S50" s="19" t="str">
        <f>IF(ISBLANK('Raw counts'!S50),"",IF('7'!$V49=1,IF('3'!S49='7'!$V49,"Sol",'4'!S49),IF('7'!$V49=2,IF('3'!S49&lt;='7'!$V49,"Dua",'4'!S49),IF('7'!$V49&gt;=3,IF('3'!S49&lt;='7'!$V49,"Shr",'4'!S49),'4'!S49))))</f>
        <v/>
      </c>
      <c r="T50" s="19" t="str">
        <f>IF(ISBLANK('Raw counts'!T50),"",IF('7'!$V49=1,IF('3'!T49='7'!$V49,"Sol",'4'!T49),IF('7'!$V49=2,IF('3'!T49&lt;='7'!$V49,"Dua",'4'!T49),IF('7'!$V49&gt;=3,IF('3'!T49&lt;='7'!$V49,"Shr",'4'!T49),'4'!T49))))</f>
        <v/>
      </c>
      <c r="U50" s="19" t="str">
        <f>IF(ISBLANK('Raw counts'!U50),"",IF('7'!$V49=1,IF('3'!U49='7'!$V49,"Sol",'4'!U49),IF('7'!$V49=2,IF('3'!U49&lt;='7'!$V49,"Dua",'4'!U49),IF('7'!$V49&gt;=3,IF('3'!U49&lt;='7'!$V49,"Shr",'4'!U49),'4'!U49))))</f>
        <v/>
      </c>
    </row>
    <row r="51" spans="1:21" x14ac:dyDescent="0.15">
      <c r="A51" s="18" t="str">
        <f>IF(ISBLANK('Raw counts'!A51),"",'Raw counts'!A51)</f>
        <v>Attr47</v>
      </c>
      <c r="B51" s="19" t="str">
        <f>IF(ISBLANK('Raw counts'!B51),"",IF('7'!$V50=1,IF('3'!B50='7'!$V50,"Sol",'4'!B50),IF('7'!$V50=2,IF('3'!B50&lt;='7'!$V50,"Dua",'4'!B50),IF('7'!$V50&gt;=3,IF('3'!B50&lt;='7'!$V50,"Shr",'4'!B50),'4'!B50))))</f>
        <v/>
      </c>
      <c r="C51" s="19" t="str">
        <f>IF(ISBLANK('Raw counts'!C51),"",IF('7'!$V50=1,IF('3'!C50='7'!$V50,"Sol",'4'!C50),IF('7'!$V50=2,IF('3'!C50&lt;='7'!$V50,"Dua",'4'!C50),IF('7'!$V50&gt;=3,IF('3'!C50&lt;='7'!$V50,"Shr",'4'!C50),'4'!C50))))</f>
        <v/>
      </c>
      <c r="D51" s="19" t="str">
        <f>IF(ISBLANK('Raw counts'!D51),"",IF('7'!$V50=1,IF('3'!D50='7'!$V50,"Sol",'4'!D50),IF('7'!$V50=2,IF('3'!D50&lt;='7'!$V50,"Dua",'4'!D50),IF('7'!$V50&gt;=3,IF('3'!D50&lt;='7'!$V50,"Shr",'4'!D50),'4'!D50))))</f>
        <v/>
      </c>
      <c r="E51" s="19" t="str">
        <f>IF(ISBLANK('Raw counts'!E51),"",IF('7'!$V50=1,IF('3'!E50='7'!$V50,"Sol",'4'!E50),IF('7'!$V50=2,IF('3'!E50&lt;='7'!$V50,"Dua",'4'!E50),IF('7'!$V50&gt;=3,IF('3'!E50&lt;='7'!$V50,"Shr",'4'!E50),'4'!E50))))</f>
        <v/>
      </c>
      <c r="F51" s="19" t="str">
        <f>IF(ISBLANK('Raw counts'!F51),"",IF('7'!$V50=1,IF('3'!F50='7'!$V50,"Sol",'4'!F50),IF('7'!$V50=2,IF('3'!F50&lt;='7'!$V50,"Dua",'4'!F50),IF('7'!$V50&gt;=3,IF('3'!F50&lt;='7'!$V50,"Shr",'4'!F50),'4'!F50))))</f>
        <v/>
      </c>
      <c r="G51" s="19" t="str">
        <f>IF(ISBLANK('Raw counts'!G51),"",IF('7'!$V50=1,IF('3'!G50='7'!$V50,"Sol",'4'!G50),IF('7'!$V50=2,IF('3'!G50&lt;='7'!$V50,"Dua",'4'!G50),IF('7'!$V50&gt;=3,IF('3'!G50&lt;='7'!$V50,"Shr",'4'!G50),'4'!G50))))</f>
        <v/>
      </c>
      <c r="H51" s="19" t="str">
        <f>IF(ISBLANK('Raw counts'!H51),"",IF('7'!$V50=1,IF('3'!H50='7'!$V50,"Sol",'4'!H50),IF('7'!$V50=2,IF('3'!H50&lt;='7'!$V50,"Dua",'4'!H50),IF('7'!$V50&gt;=3,IF('3'!H50&lt;='7'!$V50,"Shr",'4'!H50),'4'!H50))))</f>
        <v/>
      </c>
      <c r="I51" s="19" t="str">
        <f>IF(ISBLANK('Raw counts'!I51),"",IF('7'!$V50=1,IF('3'!I50='7'!$V50,"Sol",'4'!I50),IF('7'!$V50=2,IF('3'!I50&lt;='7'!$V50,"Dua",'4'!I50),IF('7'!$V50&gt;=3,IF('3'!I50&lt;='7'!$V50,"Shr",'4'!I50),'4'!I50))))</f>
        <v/>
      </c>
      <c r="J51" s="19" t="str">
        <f>IF(ISBLANK('Raw counts'!J51),"",IF('7'!$V50=1,IF('3'!J50='7'!$V50,"Sol",'4'!J50),IF('7'!$V50=2,IF('3'!J50&lt;='7'!$V50,"Dua",'4'!J50),IF('7'!$V50&gt;=3,IF('3'!J50&lt;='7'!$V50,"Shr",'4'!J50),'4'!J50))))</f>
        <v/>
      </c>
      <c r="K51" s="19" t="str">
        <f>IF(ISBLANK('Raw counts'!K51),"",IF('7'!$V50=1,IF('3'!K50='7'!$V50,"Sol",'4'!K50),IF('7'!$V50=2,IF('3'!K50&lt;='7'!$V50,"Dua",'4'!K50),IF('7'!$V50&gt;=3,IF('3'!K50&lt;='7'!$V50,"Shr",'4'!K50),'4'!K50))))</f>
        <v/>
      </c>
      <c r="L51" s="19" t="str">
        <f>IF(ISBLANK('Raw counts'!L51),"",IF('7'!$V50=1,IF('3'!L50='7'!$V50,"Sol",'4'!L50),IF('7'!$V50=2,IF('3'!L50&lt;='7'!$V50,"Dua",'4'!L50),IF('7'!$V50&gt;=3,IF('3'!L50&lt;='7'!$V50,"Shr",'4'!L50),'4'!L50))))</f>
        <v/>
      </c>
      <c r="M51" s="19" t="str">
        <f>IF(ISBLANK('Raw counts'!M51),"",IF('7'!$V50=1,IF('3'!M50='7'!$V50,"Sol",'4'!M50),IF('7'!$V50=2,IF('3'!M50&lt;='7'!$V50,"Dua",'4'!M50),IF('7'!$V50&gt;=3,IF('3'!M50&lt;='7'!$V50,"Shr",'4'!M50),'4'!M50))))</f>
        <v/>
      </c>
      <c r="N51" s="19" t="str">
        <f>IF(ISBLANK('Raw counts'!N51),"",IF('7'!$V50=1,IF('3'!N50='7'!$V50,"Sol",'4'!N50),IF('7'!$V50=2,IF('3'!N50&lt;='7'!$V50,"Dua",'4'!N50),IF('7'!$V50&gt;=3,IF('3'!N50&lt;='7'!$V50,"Shr",'4'!N50),'4'!N50))))</f>
        <v/>
      </c>
      <c r="O51" s="19" t="str">
        <f>IF(ISBLANK('Raw counts'!O51),"",IF('7'!$V50=1,IF('3'!O50='7'!$V50,"Sol",'4'!O50),IF('7'!$V50=2,IF('3'!O50&lt;='7'!$V50,"Dua",'4'!O50),IF('7'!$V50&gt;=3,IF('3'!O50&lt;='7'!$V50,"Shr",'4'!O50),'4'!O50))))</f>
        <v/>
      </c>
      <c r="P51" s="19" t="str">
        <f>IF(ISBLANK('Raw counts'!P51),"",IF('7'!$V50=1,IF('3'!P50='7'!$V50,"Sol",'4'!P50),IF('7'!$V50=2,IF('3'!P50&lt;='7'!$V50,"Dua",'4'!P50),IF('7'!$V50&gt;=3,IF('3'!P50&lt;='7'!$V50,"Shr",'4'!P50),'4'!P50))))</f>
        <v/>
      </c>
      <c r="Q51" s="19" t="str">
        <f>IF(ISBLANK('Raw counts'!Q51),"",IF('7'!$V50=1,IF('3'!Q50='7'!$V50,"Sol",'4'!Q50),IF('7'!$V50=2,IF('3'!Q50&lt;='7'!$V50,"Dua",'4'!Q50),IF('7'!$V50&gt;=3,IF('3'!Q50&lt;='7'!$V50,"Shr",'4'!Q50),'4'!Q50))))</f>
        <v/>
      </c>
      <c r="R51" s="19" t="str">
        <f>IF(ISBLANK('Raw counts'!R51),"",IF('7'!$V50=1,IF('3'!R50='7'!$V50,"Sol",'4'!R50),IF('7'!$V50=2,IF('3'!R50&lt;='7'!$V50,"Dua",'4'!R50),IF('7'!$V50&gt;=3,IF('3'!R50&lt;='7'!$V50,"Shr",'4'!R50),'4'!R50))))</f>
        <v/>
      </c>
      <c r="S51" s="19" t="str">
        <f>IF(ISBLANK('Raw counts'!S51),"",IF('7'!$V50=1,IF('3'!S50='7'!$V50,"Sol",'4'!S50),IF('7'!$V50=2,IF('3'!S50&lt;='7'!$V50,"Dua",'4'!S50),IF('7'!$V50&gt;=3,IF('3'!S50&lt;='7'!$V50,"Shr",'4'!S50),'4'!S50))))</f>
        <v/>
      </c>
      <c r="T51" s="19" t="str">
        <f>IF(ISBLANK('Raw counts'!T51),"",IF('7'!$V50=1,IF('3'!T50='7'!$V50,"Sol",'4'!T50),IF('7'!$V50=2,IF('3'!T50&lt;='7'!$V50,"Dua",'4'!T50),IF('7'!$V50&gt;=3,IF('3'!T50&lt;='7'!$V50,"Shr",'4'!T50),'4'!T50))))</f>
        <v/>
      </c>
      <c r="U51" s="19" t="str">
        <f>IF(ISBLANK('Raw counts'!U51),"",IF('7'!$V50=1,IF('3'!U50='7'!$V50,"Sol",'4'!U50),IF('7'!$V50=2,IF('3'!U50&lt;='7'!$V50,"Dua",'4'!U50),IF('7'!$V50&gt;=3,IF('3'!U50&lt;='7'!$V50,"Shr",'4'!U50),'4'!U50))))</f>
        <v/>
      </c>
    </row>
    <row r="52" spans="1:21" x14ac:dyDescent="0.15">
      <c r="A52" s="18" t="str">
        <f>IF(ISBLANK('Raw counts'!A52),"",'Raw counts'!A52)</f>
        <v>Attr48</v>
      </c>
      <c r="B52" s="19" t="str">
        <f>IF(ISBLANK('Raw counts'!B52),"",IF('7'!$V51=1,IF('3'!B51='7'!$V51,"Sol",'4'!B51),IF('7'!$V51=2,IF('3'!B51&lt;='7'!$V51,"Dua",'4'!B51),IF('7'!$V51&gt;=3,IF('3'!B51&lt;='7'!$V51,"Shr",'4'!B51),'4'!B51))))</f>
        <v/>
      </c>
      <c r="C52" s="19" t="str">
        <f>IF(ISBLANK('Raw counts'!C52),"",IF('7'!$V51=1,IF('3'!C51='7'!$V51,"Sol",'4'!C51),IF('7'!$V51=2,IF('3'!C51&lt;='7'!$V51,"Dua",'4'!C51),IF('7'!$V51&gt;=3,IF('3'!C51&lt;='7'!$V51,"Shr",'4'!C51),'4'!C51))))</f>
        <v/>
      </c>
      <c r="D52" s="19" t="str">
        <f>IF(ISBLANK('Raw counts'!D52),"",IF('7'!$V51=1,IF('3'!D51='7'!$V51,"Sol",'4'!D51),IF('7'!$V51=2,IF('3'!D51&lt;='7'!$V51,"Dua",'4'!D51),IF('7'!$V51&gt;=3,IF('3'!D51&lt;='7'!$V51,"Shr",'4'!D51),'4'!D51))))</f>
        <v/>
      </c>
      <c r="E52" s="19" t="str">
        <f>IF(ISBLANK('Raw counts'!E52),"",IF('7'!$V51=1,IF('3'!E51='7'!$V51,"Sol",'4'!E51),IF('7'!$V51=2,IF('3'!E51&lt;='7'!$V51,"Dua",'4'!E51),IF('7'!$V51&gt;=3,IF('3'!E51&lt;='7'!$V51,"Shr",'4'!E51),'4'!E51))))</f>
        <v/>
      </c>
      <c r="F52" s="19" t="str">
        <f>IF(ISBLANK('Raw counts'!F52),"",IF('7'!$V51=1,IF('3'!F51='7'!$V51,"Sol",'4'!F51),IF('7'!$V51=2,IF('3'!F51&lt;='7'!$V51,"Dua",'4'!F51),IF('7'!$V51&gt;=3,IF('3'!F51&lt;='7'!$V51,"Shr",'4'!F51),'4'!F51))))</f>
        <v/>
      </c>
      <c r="G52" s="19" t="str">
        <f>IF(ISBLANK('Raw counts'!G52),"",IF('7'!$V51=1,IF('3'!G51='7'!$V51,"Sol",'4'!G51),IF('7'!$V51=2,IF('3'!G51&lt;='7'!$V51,"Dua",'4'!G51),IF('7'!$V51&gt;=3,IF('3'!G51&lt;='7'!$V51,"Shr",'4'!G51),'4'!G51))))</f>
        <v/>
      </c>
      <c r="H52" s="19" t="str">
        <f>IF(ISBLANK('Raw counts'!H52),"",IF('7'!$V51=1,IF('3'!H51='7'!$V51,"Sol",'4'!H51),IF('7'!$V51=2,IF('3'!H51&lt;='7'!$V51,"Dua",'4'!H51),IF('7'!$V51&gt;=3,IF('3'!H51&lt;='7'!$V51,"Shr",'4'!H51),'4'!H51))))</f>
        <v/>
      </c>
      <c r="I52" s="19" t="str">
        <f>IF(ISBLANK('Raw counts'!I52),"",IF('7'!$V51=1,IF('3'!I51='7'!$V51,"Sol",'4'!I51),IF('7'!$V51=2,IF('3'!I51&lt;='7'!$V51,"Dua",'4'!I51),IF('7'!$V51&gt;=3,IF('3'!I51&lt;='7'!$V51,"Shr",'4'!I51),'4'!I51))))</f>
        <v/>
      </c>
      <c r="J52" s="19" t="str">
        <f>IF(ISBLANK('Raw counts'!J52),"",IF('7'!$V51=1,IF('3'!J51='7'!$V51,"Sol",'4'!J51),IF('7'!$V51=2,IF('3'!J51&lt;='7'!$V51,"Dua",'4'!J51),IF('7'!$V51&gt;=3,IF('3'!J51&lt;='7'!$V51,"Shr",'4'!J51),'4'!J51))))</f>
        <v/>
      </c>
      <c r="K52" s="19" t="str">
        <f>IF(ISBLANK('Raw counts'!K52),"",IF('7'!$V51=1,IF('3'!K51='7'!$V51,"Sol",'4'!K51),IF('7'!$V51=2,IF('3'!K51&lt;='7'!$V51,"Dua",'4'!K51),IF('7'!$V51&gt;=3,IF('3'!K51&lt;='7'!$V51,"Shr",'4'!K51),'4'!K51))))</f>
        <v/>
      </c>
      <c r="L52" s="19" t="str">
        <f>IF(ISBLANK('Raw counts'!L52),"",IF('7'!$V51=1,IF('3'!L51='7'!$V51,"Sol",'4'!L51),IF('7'!$V51=2,IF('3'!L51&lt;='7'!$V51,"Dua",'4'!L51),IF('7'!$V51&gt;=3,IF('3'!L51&lt;='7'!$V51,"Shr",'4'!L51),'4'!L51))))</f>
        <v/>
      </c>
      <c r="M52" s="19" t="str">
        <f>IF(ISBLANK('Raw counts'!M52),"",IF('7'!$V51=1,IF('3'!M51='7'!$V51,"Sol",'4'!M51),IF('7'!$V51=2,IF('3'!M51&lt;='7'!$V51,"Dua",'4'!M51),IF('7'!$V51&gt;=3,IF('3'!M51&lt;='7'!$V51,"Shr",'4'!M51),'4'!M51))))</f>
        <v/>
      </c>
      <c r="N52" s="19" t="str">
        <f>IF(ISBLANK('Raw counts'!N52),"",IF('7'!$V51=1,IF('3'!N51='7'!$V51,"Sol",'4'!N51),IF('7'!$V51=2,IF('3'!N51&lt;='7'!$V51,"Dua",'4'!N51),IF('7'!$V51&gt;=3,IF('3'!N51&lt;='7'!$V51,"Shr",'4'!N51),'4'!N51))))</f>
        <v/>
      </c>
      <c r="O52" s="19" t="str">
        <f>IF(ISBLANK('Raw counts'!O52),"",IF('7'!$V51=1,IF('3'!O51='7'!$V51,"Sol",'4'!O51),IF('7'!$V51=2,IF('3'!O51&lt;='7'!$V51,"Dua",'4'!O51),IF('7'!$V51&gt;=3,IF('3'!O51&lt;='7'!$V51,"Shr",'4'!O51),'4'!O51))))</f>
        <v/>
      </c>
      <c r="P52" s="19" t="str">
        <f>IF(ISBLANK('Raw counts'!P52),"",IF('7'!$V51=1,IF('3'!P51='7'!$V51,"Sol",'4'!P51),IF('7'!$V51=2,IF('3'!P51&lt;='7'!$V51,"Dua",'4'!P51),IF('7'!$V51&gt;=3,IF('3'!P51&lt;='7'!$V51,"Shr",'4'!P51),'4'!P51))))</f>
        <v/>
      </c>
      <c r="Q52" s="19" t="str">
        <f>IF(ISBLANK('Raw counts'!Q52),"",IF('7'!$V51=1,IF('3'!Q51='7'!$V51,"Sol",'4'!Q51),IF('7'!$V51=2,IF('3'!Q51&lt;='7'!$V51,"Dua",'4'!Q51),IF('7'!$V51&gt;=3,IF('3'!Q51&lt;='7'!$V51,"Shr",'4'!Q51),'4'!Q51))))</f>
        <v/>
      </c>
      <c r="R52" s="19" t="str">
        <f>IF(ISBLANK('Raw counts'!R52),"",IF('7'!$V51=1,IF('3'!R51='7'!$V51,"Sol",'4'!R51),IF('7'!$V51=2,IF('3'!R51&lt;='7'!$V51,"Dua",'4'!R51),IF('7'!$V51&gt;=3,IF('3'!R51&lt;='7'!$V51,"Shr",'4'!R51),'4'!R51))))</f>
        <v/>
      </c>
      <c r="S52" s="19" t="str">
        <f>IF(ISBLANK('Raw counts'!S52),"",IF('7'!$V51=1,IF('3'!S51='7'!$V51,"Sol",'4'!S51),IF('7'!$V51=2,IF('3'!S51&lt;='7'!$V51,"Dua",'4'!S51),IF('7'!$V51&gt;=3,IF('3'!S51&lt;='7'!$V51,"Shr",'4'!S51),'4'!S51))))</f>
        <v/>
      </c>
      <c r="T52" s="19" t="str">
        <f>IF(ISBLANK('Raw counts'!T52),"",IF('7'!$V51=1,IF('3'!T51='7'!$V51,"Sol",'4'!T51),IF('7'!$V51=2,IF('3'!T51&lt;='7'!$V51,"Dua",'4'!T51),IF('7'!$V51&gt;=3,IF('3'!T51&lt;='7'!$V51,"Shr",'4'!T51),'4'!T51))))</f>
        <v/>
      </c>
      <c r="U52" s="19" t="str">
        <f>IF(ISBLANK('Raw counts'!U52),"",IF('7'!$V51=1,IF('3'!U51='7'!$V51,"Sol",'4'!U51),IF('7'!$V51=2,IF('3'!U51&lt;='7'!$V51,"Dua",'4'!U51),IF('7'!$V51&gt;=3,IF('3'!U51&lt;='7'!$V51,"Shr",'4'!U51),'4'!U51))))</f>
        <v/>
      </c>
    </row>
    <row r="53" spans="1:21" x14ac:dyDescent="0.15">
      <c r="A53" s="18" t="str">
        <f>IF(ISBLANK('Raw counts'!A53),"",'Raw counts'!A53)</f>
        <v>Attr49</v>
      </c>
      <c r="B53" s="19" t="str">
        <f>IF(ISBLANK('Raw counts'!B53),"",IF('7'!$V52=1,IF('3'!B52='7'!$V52,"Sol",'4'!B52),IF('7'!$V52=2,IF('3'!B52&lt;='7'!$V52,"Dua",'4'!B52),IF('7'!$V52&gt;=3,IF('3'!B52&lt;='7'!$V52,"Shr",'4'!B52),'4'!B52))))</f>
        <v/>
      </c>
      <c r="C53" s="19" t="str">
        <f>IF(ISBLANK('Raw counts'!C53),"",IF('7'!$V52=1,IF('3'!C52='7'!$V52,"Sol",'4'!C52),IF('7'!$V52=2,IF('3'!C52&lt;='7'!$V52,"Dua",'4'!C52),IF('7'!$V52&gt;=3,IF('3'!C52&lt;='7'!$V52,"Shr",'4'!C52),'4'!C52))))</f>
        <v/>
      </c>
      <c r="D53" s="19" t="str">
        <f>IF(ISBLANK('Raw counts'!D53),"",IF('7'!$V52=1,IF('3'!D52='7'!$V52,"Sol",'4'!D52),IF('7'!$V52=2,IF('3'!D52&lt;='7'!$V52,"Dua",'4'!D52),IF('7'!$V52&gt;=3,IF('3'!D52&lt;='7'!$V52,"Shr",'4'!D52),'4'!D52))))</f>
        <v/>
      </c>
      <c r="E53" s="19" t="str">
        <f>IF(ISBLANK('Raw counts'!E53),"",IF('7'!$V52=1,IF('3'!E52='7'!$V52,"Sol",'4'!E52),IF('7'!$V52=2,IF('3'!E52&lt;='7'!$V52,"Dua",'4'!E52),IF('7'!$V52&gt;=3,IF('3'!E52&lt;='7'!$V52,"Shr",'4'!E52),'4'!E52))))</f>
        <v/>
      </c>
      <c r="F53" s="19" t="str">
        <f>IF(ISBLANK('Raw counts'!F53),"",IF('7'!$V52=1,IF('3'!F52='7'!$V52,"Sol",'4'!F52),IF('7'!$V52=2,IF('3'!F52&lt;='7'!$V52,"Dua",'4'!F52),IF('7'!$V52&gt;=3,IF('3'!F52&lt;='7'!$V52,"Shr",'4'!F52),'4'!F52))))</f>
        <v/>
      </c>
      <c r="G53" s="19" t="str">
        <f>IF(ISBLANK('Raw counts'!G53),"",IF('7'!$V52=1,IF('3'!G52='7'!$V52,"Sol",'4'!G52),IF('7'!$V52=2,IF('3'!G52&lt;='7'!$V52,"Dua",'4'!G52),IF('7'!$V52&gt;=3,IF('3'!G52&lt;='7'!$V52,"Shr",'4'!G52),'4'!G52))))</f>
        <v/>
      </c>
      <c r="H53" s="19" t="str">
        <f>IF(ISBLANK('Raw counts'!H53),"",IF('7'!$V52=1,IF('3'!H52='7'!$V52,"Sol",'4'!H52),IF('7'!$V52=2,IF('3'!H52&lt;='7'!$V52,"Dua",'4'!H52),IF('7'!$V52&gt;=3,IF('3'!H52&lt;='7'!$V52,"Shr",'4'!H52),'4'!H52))))</f>
        <v/>
      </c>
      <c r="I53" s="19" t="str">
        <f>IF(ISBLANK('Raw counts'!I53),"",IF('7'!$V52=1,IF('3'!I52='7'!$V52,"Sol",'4'!I52),IF('7'!$V52=2,IF('3'!I52&lt;='7'!$V52,"Dua",'4'!I52),IF('7'!$V52&gt;=3,IF('3'!I52&lt;='7'!$V52,"Shr",'4'!I52),'4'!I52))))</f>
        <v/>
      </c>
      <c r="J53" s="19" t="str">
        <f>IF(ISBLANK('Raw counts'!J53),"",IF('7'!$V52=1,IF('3'!J52='7'!$V52,"Sol",'4'!J52),IF('7'!$V52=2,IF('3'!J52&lt;='7'!$V52,"Dua",'4'!J52),IF('7'!$V52&gt;=3,IF('3'!J52&lt;='7'!$V52,"Shr",'4'!J52),'4'!J52))))</f>
        <v/>
      </c>
      <c r="K53" s="19" t="str">
        <f>IF(ISBLANK('Raw counts'!K53),"",IF('7'!$V52=1,IF('3'!K52='7'!$V52,"Sol",'4'!K52),IF('7'!$V52=2,IF('3'!K52&lt;='7'!$V52,"Dua",'4'!K52),IF('7'!$V52&gt;=3,IF('3'!K52&lt;='7'!$V52,"Shr",'4'!K52),'4'!K52))))</f>
        <v/>
      </c>
      <c r="L53" s="19" t="str">
        <f>IF(ISBLANK('Raw counts'!L53),"",IF('7'!$V52=1,IF('3'!L52='7'!$V52,"Sol",'4'!L52),IF('7'!$V52=2,IF('3'!L52&lt;='7'!$V52,"Dua",'4'!L52),IF('7'!$V52&gt;=3,IF('3'!L52&lt;='7'!$V52,"Shr",'4'!L52),'4'!L52))))</f>
        <v/>
      </c>
      <c r="M53" s="19" t="str">
        <f>IF(ISBLANK('Raw counts'!M53),"",IF('7'!$V52=1,IF('3'!M52='7'!$V52,"Sol",'4'!M52),IF('7'!$V52=2,IF('3'!M52&lt;='7'!$V52,"Dua",'4'!M52),IF('7'!$V52&gt;=3,IF('3'!M52&lt;='7'!$V52,"Shr",'4'!M52),'4'!M52))))</f>
        <v/>
      </c>
      <c r="N53" s="19" t="str">
        <f>IF(ISBLANK('Raw counts'!N53),"",IF('7'!$V52=1,IF('3'!N52='7'!$V52,"Sol",'4'!N52),IF('7'!$V52=2,IF('3'!N52&lt;='7'!$V52,"Dua",'4'!N52),IF('7'!$V52&gt;=3,IF('3'!N52&lt;='7'!$V52,"Shr",'4'!N52),'4'!N52))))</f>
        <v/>
      </c>
      <c r="O53" s="19" t="str">
        <f>IF(ISBLANK('Raw counts'!O53),"",IF('7'!$V52=1,IF('3'!O52='7'!$V52,"Sol",'4'!O52),IF('7'!$V52=2,IF('3'!O52&lt;='7'!$V52,"Dua",'4'!O52),IF('7'!$V52&gt;=3,IF('3'!O52&lt;='7'!$V52,"Shr",'4'!O52),'4'!O52))))</f>
        <v/>
      </c>
      <c r="P53" s="19" t="str">
        <f>IF(ISBLANK('Raw counts'!P53),"",IF('7'!$V52=1,IF('3'!P52='7'!$V52,"Sol",'4'!P52),IF('7'!$V52=2,IF('3'!P52&lt;='7'!$V52,"Dua",'4'!P52),IF('7'!$V52&gt;=3,IF('3'!P52&lt;='7'!$V52,"Shr",'4'!P52),'4'!P52))))</f>
        <v/>
      </c>
      <c r="Q53" s="19" t="str">
        <f>IF(ISBLANK('Raw counts'!Q53),"",IF('7'!$V52=1,IF('3'!Q52='7'!$V52,"Sol",'4'!Q52),IF('7'!$V52=2,IF('3'!Q52&lt;='7'!$V52,"Dua",'4'!Q52),IF('7'!$V52&gt;=3,IF('3'!Q52&lt;='7'!$V52,"Shr",'4'!Q52),'4'!Q52))))</f>
        <v/>
      </c>
      <c r="R53" s="19" t="str">
        <f>IF(ISBLANK('Raw counts'!R53),"",IF('7'!$V52=1,IF('3'!R52='7'!$V52,"Sol",'4'!R52),IF('7'!$V52=2,IF('3'!R52&lt;='7'!$V52,"Dua",'4'!R52),IF('7'!$V52&gt;=3,IF('3'!R52&lt;='7'!$V52,"Shr",'4'!R52),'4'!R52))))</f>
        <v/>
      </c>
      <c r="S53" s="19" t="str">
        <f>IF(ISBLANK('Raw counts'!S53),"",IF('7'!$V52=1,IF('3'!S52='7'!$V52,"Sol",'4'!S52),IF('7'!$V52=2,IF('3'!S52&lt;='7'!$V52,"Dua",'4'!S52),IF('7'!$V52&gt;=3,IF('3'!S52&lt;='7'!$V52,"Shr",'4'!S52),'4'!S52))))</f>
        <v/>
      </c>
      <c r="T53" s="19" t="str">
        <f>IF(ISBLANK('Raw counts'!T53),"",IF('7'!$V52=1,IF('3'!T52='7'!$V52,"Sol",'4'!T52),IF('7'!$V52=2,IF('3'!T52&lt;='7'!$V52,"Dua",'4'!T52),IF('7'!$V52&gt;=3,IF('3'!T52&lt;='7'!$V52,"Shr",'4'!T52),'4'!T52))))</f>
        <v/>
      </c>
      <c r="U53" s="19" t="str">
        <f>IF(ISBLANK('Raw counts'!U53),"",IF('7'!$V52=1,IF('3'!U52='7'!$V52,"Sol",'4'!U52),IF('7'!$V52=2,IF('3'!U52&lt;='7'!$V52,"Dua",'4'!U52),IF('7'!$V52&gt;=3,IF('3'!U52&lt;='7'!$V52,"Shr",'4'!U52),'4'!U52))))</f>
        <v/>
      </c>
    </row>
    <row r="54" spans="1:21" x14ac:dyDescent="0.15">
      <c r="A54" s="18" t="str">
        <f>IF(ISBLANK('Raw counts'!A54),"",'Raw counts'!A54)</f>
        <v>Attr50</v>
      </c>
      <c r="B54" s="19" t="str">
        <f>IF(ISBLANK('Raw counts'!B54),"",IF('7'!$V53=1,IF('3'!B53='7'!$V53,"Sol",'4'!B53),IF('7'!$V53=2,IF('3'!B53&lt;='7'!$V53,"Dua",'4'!B53),IF('7'!$V53&gt;=3,IF('3'!B53&lt;='7'!$V53,"Shr",'4'!B53),'4'!B53))))</f>
        <v/>
      </c>
      <c r="C54" s="19" t="str">
        <f>IF(ISBLANK('Raw counts'!C54),"",IF('7'!$V53=1,IF('3'!C53='7'!$V53,"Sol",'4'!C53),IF('7'!$V53=2,IF('3'!C53&lt;='7'!$V53,"Dua",'4'!C53),IF('7'!$V53&gt;=3,IF('3'!C53&lt;='7'!$V53,"Shr",'4'!C53),'4'!C53))))</f>
        <v/>
      </c>
      <c r="D54" s="19" t="str">
        <f>IF(ISBLANK('Raw counts'!D54),"",IF('7'!$V53=1,IF('3'!D53='7'!$V53,"Sol",'4'!D53),IF('7'!$V53=2,IF('3'!D53&lt;='7'!$V53,"Dua",'4'!D53),IF('7'!$V53&gt;=3,IF('3'!D53&lt;='7'!$V53,"Shr",'4'!D53),'4'!D53))))</f>
        <v/>
      </c>
      <c r="E54" s="19" t="str">
        <f>IF(ISBLANK('Raw counts'!E54),"",IF('7'!$V53=1,IF('3'!E53='7'!$V53,"Sol",'4'!E53),IF('7'!$V53=2,IF('3'!E53&lt;='7'!$V53,"Dua",'4'!E53),IF('7'!$V53&gt;=3,IF('3'!E53&lt;='7'!$V53,"Shr",'4'!E53),'4'!E53))))</f>
        <v/>
      </c>
      <c r="F54" s="19" t="str">
        <f>IF(ISBLANK('Raw counts'!F54),"",IF('7'!$V53=1,IF('3'!F53='7'!$V53,"Sol",'4'!F53),IF('7'!$V53=2,IF('3'!F53&lt;='7'!$V53,"Dua",'4'!F53),IF('7'!$V53&gt;=3,IF('3'!F53&lt;='7'!$V53,"Shr",'4'!F53),'4'!F53))))</f>
        <v/>
      </c>
      <c r="G54" s="19" t="str">
        <f>IF(ISBLANK('Raw counts'!G54),"",IF('7'!$V53=1,IF('3'!G53='7'!$V53,"Sol",'4'!G53),IF('7'!$V53=2,IF('3'!G53&lt;='7'!$V53,"Dua",'4'!G53),IF('7'!$V53&gt;=3,IF('3'!G53&lt;='7'!$V53,"Shr",'4'!G53),'4'!G53))))</f>
        <v/>
      </c>
      <c r="H54" s="19" t="str">
        <f>IF(ISBLANK('Raw counts'!H54),"",IF('7'!$V53=1,IF('3'!H53='7'!$V53,"Sol",'4'!H53),IF('7'!$V53=2,IF('3'!H53&lt;='7'!$V53,"Dua",'4'!H53),IF('7'!$V53&gt;=3,IF('3'!H53&lt;='7'!$V53,"Shr",'4'!H53),'4'!H53))))</f>
        <v/>
      </c>
      <c r="I54" s="19" t="str">
        <f>IF(ISBLANK('Raw counts'!I54),"",IF('7'!$V53=1,IF('3'!I53='7'!$V53,"Sol",'4'!I53),IF('7'!$V53=2,IF('3'!I53&lt;='7'!$V53,"Dua",'4'!I53),IF('7'!$V53&gt;=3,IF('3'!I53&lt;='7'!$V53,"Shr",'4'!I53),'4'!I53))))</f>
        <v/>
      </c>
      <c r="J54" s="19" t="str">
        <f>IF(ISBLANK('Raw counts'!J54),"",IF('7'!$V53=1,IF('3'!J53='7'!$V53,"Sol",'4'!J53),IF('7'!$V53=2,IF('3'!J53&lt;='7'!$V53,"Dua",'4'!J53),IF('7'!$V53&gt;=3,IF('3'!J53&lt;='7'!$V53,"Shr",'4'!J53),'4'!J53))))</f>
        <v/>
      </c>
      <c r="K54" s="19" t="str">
        <f>IF(ISBLANK('Raw counts'!K54),"",IF('7'!$V53=1,IF('3'!K53='7'!$V53,"Sol",'4'!K53),IF('7'!$V53=2,IF('3'!K53&lt;='7'!$V53,"Dua",'4'!K53),IF('7'!$V53&gt;=3,IF('3'!K53&lt;='7'!$V53,"Shr",'4'!K53),'4'!K53))))</f>
        <v/>
      </c>
      <c r="L54" s="19" t="str">
        <f>IF(ISBLANK('Raw counts'!L54),"",IF('7'!$V53=1,IF('3'!L53='7'!$V53,"Sol",'4'!L53),IF('7'!$V53=2,IF('3'!L53&lt;='7'!$V53,"Dua",'4'!L53),IF('7'!$V53&gt;=3,IF('3'!L53&lt;='7'!$V53,"Shr",'4'!L53),'4'!L53))))</f>
        <v/>
      </c>
      <c r="M54" s="19" t="str">
        <f>IF(ISBLANK('Raw counts'!M54),"",IF('7'!$V53=1,IF('3'!M53='7'!$V53,"Sol",'4'!M53),IF('7'!$V53=2,IF('3'!M53&lt;='7'!$V53,"Dua",'4'!M53),IF('7'!$V53&gt;=3,IF('3'!M53&lt;='7'!$V53,"Shr",'4'!M53),'4'!M53))))</f>
        <v/>
      </c>
      <c r="N54" s="19" t="str">
        <f>IF(ISBLANK('Raw counts'!N54),"",IF('7'!$V53=1,IF('3'!N53='7'!$V53,"Sol",'4'!N53),IF('7'!$V53=2,IF('3'!N53&lt;='7'!$V53,"Dua",'4'!N53),IF('7'!$V53&gt;=3,IF('3'!N53&lt;='7'!$V53,"Shr",'4'!N53),'4'!N53))))</f>
        <v/>
      </c>
      <c r="O54" s="19" t="str">
        <f>IF(ISBLANK('Raw counts'!O54),"",IF('7'!$V53=1,IF('3'!O53='7'!$V53,"Sol",'4'!O53),IF('7'!$V53=2,IF('3'!O53&lt;='7'!$V53,"Dua",'4'!O53),IF('7'!$V53&gt;=3,IF('3'!O53&lt;='7'!$V53,"Shr",'4'!O53),'4'!O53))))</f>
        <v/>
      </c>
      <c r="P54" s="19" t="str">
        <f>IF(ISBLANK('Raw counts'!P54),"",IF('7'!$V53=1,IF('3'!P53='7'!$V53,"Sol",'4'!P53),IF('7'!$V53=2,IF('3'!P53&lt;='7'!$V53,"Dua",'4'!P53),IF('7'!$V53&gt;=3,IF('3'!P53&lt;='7'!$V53,"Shr",'4'!P53),'4'!P53))))</f>
        <v/>
      </c>
      <c r="Q54" s="19" t="str">
        <f>IF(ISBLANK('Raw counts'!Q54),"",IF('7'!$V53=1,IF('3'!Q53='7'!$V53,"Sol",'4'!Q53),IF('7'!$V53=2,IF('3'!Q53&lt;='7'!$V53,"Dua",'4'!Q53),IF('7'!$V53&gt;=3,IF('3'!Q53&lt;='7'!$V53,"Shr",'4'!Q53),'4'!Q53))))</f>
        <v/>
      </c>
      <c r="R54" s="19" t="str">
        <f>IF(ISBLANK('Raw counts'!R54),"",IF('7'!$V53=1,IF('3'!R53='7'!$V53,"Sol",'4'!R53),IF('7'!$V53=2,IF('3'!R53&lt;='7'!$V53,"Dua",'4'!R53),IF('7'!$V53&gt;=3,IF('3'!R53&lt;='7'!$V53,"Shr",'4'!R53),'4'!R53))))</f>
        <v/>
      </c>
      <c r="S54" s="19" t="str">
        <f>IF(ISBLANK('Raw counts'!S54),"",IF('7'!$V53=1,IF('3'!S53='7'!$V53,"Sol",'4'!S53),IF('7'!$V53=2,IF('3'!S53&lt;='7'!$V53,"Dua",'4'!S53),IF('7'!$V53&gt;=3,IF('3'!S53&lt;='7'!$V53,"Shr",'4'!S53),'4'!S53))))</f>
        <v/>
      </c>
      <c r="T54" s="19" t="str">
        <f>IF(ISBLANK('Raw counts'!T54),"",IF('7'!$V53=1,IF('3'!T53='7'!$V53,"Sol",'4'!T53),IF('7'!$V53=2,IF('3'!T53&lt;='7'!$V53,"Dua",'4'!T53),IF('7'!$V53&gt;=3,IF('3'!T53&lt;='7'!$V53,"Shr",'4'!T53),'4'!T53))))</f>
        <v/>
      </c>
      <c r="U54" s="19" t="str">
        <f>IF(ISBLANK('Raw counts'!U54),"",IF('7'!$V53=1,IF('3'!U53='7'!$V53,"Sol",'4'!U53),IF('7'!$V53=2,IF('3'!U53&lt;='7'!$V53,"Dua",'4'!U53),IF('7'!$V53&gt;=3,IF('3'!U53&lt;='7'!$V53,"Shr",'4'!U53),'4'!U53))))</f>
        <v/>
      </c>
    </row>
    <row r="55" spans="1:21" x14ac:dyDescent="0.15">
      <c r="A55" s="18" t="str">
        <f>IF(ISBLANK('Raw counts'!A55),"",'Raw counts'!A55)</f>
        <v>Attr51</v>
      </c>
      <c r="B55" s="19" t="str">
        <f>IF(ISBLANK('Raw counts'!B55),"",IF('7'!$V54=1,IF('3'!B54='7'!$V54,"Sol",'4'!B54),IF('7'!$V54=2,IF('3'!B54&lt;='7'!$V54,"Dua",'4'!B54),IF('7'!$V54&gt;=3,IF('3'!B54&lt;='7'!$V54,"Shr",'4'!B54),'4'!B54))))</f>
        <v/>
      </c>
      <c r="C55" s="19" t="str">
        <f>IF(ISBLANK('Raw counts'!C55),"",IF('7'!$V54=1,IF('3'!C54='7'!$V54,"Sol",'4'!C54),IF('7'!$V54=2,IF('3'!C54&lt;='7'!$V54,"Dua",'4'!C54),IF('7'!$V54&gt;=3,IF('3'!C54&lt;='7'!$V54,"Shr",'4'!C54),'4'!C54))))</f>
        <v/>
      </c>
      <c r="D55" s="19" t="str">
        <f>IF(ISBLANK('Raw counts'!D55),"",IF('7'!$V54=1,IF('3'!D54='7'!$V54,"Sol",'4'!D54),IF('7'!$V54=2,IF('3'!D54&lt;='7'!$V54,"Dua",'4'!D54),IF('7'!$V54&gt;=3,IF('3'!D54&lt;='7'!$V54,"Shr",'4'!D54),'4'!D54))))</f>
        <v/>
      </c>
      <c r="E55" s="19" t="str">
        <f>IF(ISBLANK('Raw counts'!E55),"",IF('7'!$V54=1,IF('3'!E54='7'!$V54,"Sol",'4'!E54),IF('7'!$V54=2,IF('3'!E54&lt;='7'!$V54,"Dua",'4'!E54),IF('7'!$V54&gt;=3,IF('3'!E54&lt;='7'!$V54,"Shr",'4'!E54),'4'!E54))))</f>
        <v/>
      </c>
      <c r="F55" s="19" t="str">
        <f>IF(ISBLANK('Raw counts'!F55),"",IF('7'!$V54=1,IF('3'!F54='7'!$V54,"Sol",'4'!F54),IF('7'!$V54=2,IF('3'!F54&lt;='7'!$V54,"Dua",'4'!F54),IF('7'!$V54&gt;=3,IF('3'!F54&lt;='7'!$V54,"Shr",'4'!F54),'4'!F54))))</f>
        <v/>
      </c>
      <c r="G55" s="19" t="str">
        <f>IF(ISBLANK('Raw counts'!G55),"",IF('7'!$V54=1,IF('3'!G54='7'!$V54,"Sol",'4'!G54),IF('7'!$V54=2,IF('3'!G54&lt;='7'!$V54,"Dua",'4'!G54),IF('7'!$V54&gt;=3,IF('3'!G54&lt;='7'!$V54,"Shr",'4'!G54),'4'!G54))))</f>
        <v/>
      </c>
      <c r="H55" s="19" t="str">
        <f>IF(ISBLANK('Raw counts'!H55),"",IF('7'!$V54=1,IF('3'!H54='7'!$V54,"Sol",'4'!H54),IF('7'!$V54=2,IF('3'!H54&lt;='7'!$V54,"Dua",'4'!H54),IF('7'!$V54&gt;=3,IF('3'!H54&lt;='7'!$V54,"Shr",'4'!H54),'4'!H54))))</f>
        <v/>
      </c>
      <c r="I55" s="19" t="str">
        <f>IF(ISBLANK('Raw counts'!I55),"",IF('7'!$V54=1,IF('3'!I54='7'!$V54,"Sol",'4'!I54),IF('7'!$V54=2,IF('3'!I54&lt;='7'!$V54,"Dua",'4'!I54),IF('7'!$V54&gt;=3,IF('3'!I54&lt;='7'!$V54,"Shr",'4'!I54),'4'!I54))))</f>
        <v/>
      </c>
      <c r="J55" s="19" t="str">
        <f>IF(ISBLANK('Raw counts'!J55),"",IF('7'!$V54=1,IF('3'!J54='7'!$V54,"Sol",'4'!J54),IF('7'!$V54=2,IF('3'!J54&lt;='7'!$V54,"Dua",'4'!J54),IF('7'!$V54&gt;=3,IF('3'!J54&lt;='7'!$V54,"Shr",'4'!J54),'4'!J54))))</f>
        <v/>
      </c>
      <c r="K55" s="19" t="str">
        <f>IF(ISBLANK('Raw counts'!K55),"",IF('7'!$V54=1,IF('3'!K54='7'!$V54,"Sol",'4'!K54),IF('7'!$V54=2,IF('3'!K54&lt;='7'!$V54,"Dua",'4'!K54),IF('7'!$V54&gt;=3,IF('3'!K54&lt;='7'!$V54,"Shr",'4'!K54),'4'!K54))))</f>
        <v/>
      </c>
      <c r="L55" s="19" t="str">
        <f>IF(ISBLANK('Raw counts'!L55),"",IF('7'!$V54=1,IF('3'!L54='7'!$V54,"Sol",'4'!L54),IF('7'!$V54=2,IF('3'!L54&lt;='7'!$V54,"Dua",'4'!L54),IF('7'!$V54&gt;=3,IF('3'!L54&lt;='7'!$V54,"Shr",'4'!L54),'4'!L54))))</f>
        <v/>
      </c>
      <c r="M55" s="19" t="str">
        <f>IF(ISBLANK('Raw counts'!M55),"",IF('7'!$V54=1,IF('3'!M54='7'!$V54,"Sol",'4'!M54),IF('7'!$V54=2,IF('3'!M54&lt;='7'!$V54,"Dua",'4'!M54),IF('7'!$V54&gt;=3,IF('3'!M54&lt;='7'!$V54,"Shr",'4'!M54),'4'!M54))))</f>
        <v/>
      </c>
      <c r="N55" s="19" t="str">
        <f>IF(ISBLANK('Raw counts'!N55),"",IF('7'!$V54=1,IF('3'!N54='7'!$V54,"Sol",'4'!N54),IF('7'!$V54=2,IF('3'!N54&lt;='7'!$V54,"Dua",'4'!N54),IF('7'!$V54&gt;=3,IF('3'!N54&lt;='7'!$V54,"Shr",'4'!N54),'4'!N54))))</f>
        <v/>
      </c>
      <c r="O55" s="19" t="str">
        <f>IF(ISBLANK('Raw counts'!O55),"",IF('7'!$V54=1,IF('3'!O54='7'!$V54,"Sol",'4'!O54),IF('7'!$V54=2,IF('3'!O54&lt;='7'!$V54,"Dua",'4'!O54),IF('7'!$V54&gt;=3,IF('3'!O54&lt;='7'!$V54,"Shr",'4'!O54),'4'!O54))))</f>
        <v/>
      </c>
      <c r="P55" s="19" t="str">
        <f>IF(ISBLANK('Raw counts'!P55),"",IF('7'!$V54=1,IF('3'!P54='7'!$V54,"Sol",'4'!P54),IF('7'!$V54=2,IF('3'!P54&lt;='7'!$V54,"Dua",'4'!P54),IF('7'!$V54&gt;=3,IF('3'!P54&lt;='7'!$V54,"Shr",'4'!P54),'4'!P54))))</f>
        <v/>
      </c>
      <c r="Q55" s="19" t="str">
        <f>IF(ISBLANK('Raw counts'!Q55),"",IF('7'!$V54=1,IF('3'!Q54='7'!$V54,"Sol",'4'!Q54),IF('7'!$V54=2,IF('3'!Q54&lt;='7'!$V54,"Dua",'4'!Q54),IF('7'!$V54&gt;=3,IF('3'!Q54&lt;='7'!$V54,"Shr",'4'!Q54),'4'!Q54))))</f>
        <v/>
      </c>
      <c r="R55" s="19" t="str">
        <f>IF(ISBLANK('Raw counts'!R55),"",IF('7'!$V54=1,IF('3'!R54='7'!$V54,"Sol",'4'!R54),IF('7'!$V54=2,IF('3'!R54&lt;='7'!$V54,"Dua",'4'!R54),IF('7'!$V54&gt;=3,IF('3'!R54&lt;='7'!$V54,"Shr",'4'!R54),'4'!R54))))</f>
        <v/>
      </c>
      <c r="S55" s="19" t="str">
        <f>IF(ISBLANK('Raw counts'!S55),"",IF('7'!$V54=1,IF('3'!S54='7'!$V54,"Sol",'4'!S54),IF('7'!$V54=2,IF('3'!S54&lt;='7'!$V54,"Dua",'4'!S54),IF('7'!$V54&gt;=3,IF('3'!S54&lt;='7'!$V54,"Shr",'4'!S54),'4'!S54))))</f>
        <v/>
      </c>
      <c r="T55" s="19" t="str">
        <f>IF(ISBLANK('Raw counts'!T55),"",IF('7'!$V54=1,IF('3'!T54='7'!$V54,"Sol",'4'!T54),IF('7'!$V54=2,IF('3'!T54&lt;='7'!$V54,"Dua",'4'!T54),IF('7'!$V54&gt;=3,IF('3'!T54&lt;='7'!$V54,"Shr",'4'!T54),'4'!T54))))</f>
        <v/>
      </c>
      <c r="U55" s="19" t="str">
        <f>IF(ISBLANK('Raw counts'!U55),"",IF('7'!$V54=1,IF('3'!U54='7'!$V54,"Sol",'4'!U54),IF('7'!$V54=2,IF('3'!U54&lt;='7'!$V54,"Dua",'4'!U54),IF('7'!$V54&gt;=3,IF('3'!U54&lt;='7'!$V54,"Shr",'4'!U54),'4'!U54))))</f>
        <v/>
      </c>
    </row>
    <row r="56" spans="1:21" x14ac:dyDescent="0.15">
      <c r="A56" s="18" t="str">
        <f>IF(ISBLANK('Raw counts'!A56),"",'Raw counts'!A56)</f>
        <v>Attr52</v>
      </c>
      <c r="B56" s="19" t="str">
        <f>IF(ISBLANK('Raw counts'!B56),"",IF('7'!$V55=1,IF('3'!B55='7'!$V55,"Sol",'4'!B55),IF('7'!$V55=2,IF('3'!B55&lt;='7'!$V55,"Dua",'4'!B55),IF('7'!$V55&gt;=3,IF('3'!B55&lt;='7'!$V55,"Shr",'4'!B55),'4'!B55))))</f>
        <v/>
      </c>
      <c r="C56" s="19" t="str">
        <f>IF(ISBLANK('Raw counts'!C56),"",IF('7'!$V55=1,IF('3'!C55='7'!$V55,"Sol",'4'!C55),IF('7'!$V55=2,IF('3'!C55&lt;='7'!$V55,"Dua",'4'!C55),IF('7'!$V55&gt;=3,IF('3'!C55&lt;='7'!$V55,"Shr",'4'!C55),'4'!C55))))</f>
        <v/>
      </c>
      <c r="D56" s="19" t="str">
        <f>IF(ISBLANK('Raw counts'!D56),"",IF('7'!$V55=1,IF('3'!D55='7'!$V55,"Sol",'4'!D55),IF('7'!$V55=2,IF('3'!D55&lt;='7'!$V55,"Dua",'4'!D55),IF('7'!$V55&gt;=3,IF('3'!D55&lt;='7'!$V55,"Shr",'4'!D55),'4'!D55))))</f>
        <v/>
      </c>
      <c r="E56" s="19" t="str">
        <f>IF(ISBLANK('Raw counts'!E56),"",IF('7'!$V55=1,IF('3'!E55='7'!$V55,"Sol",'4'!E55),IF('7'!$V55=2,IF('3'!E55&lt;='7'!$V55,"Dua",'4'!E55),IF('7'!$V55&gt;=3,IF('3'!E55&lt;='7'!$V55,"Shr",'4'!E55),'4'!E55))))</f>
        <v/>
      </c>
      <c r="F56" s="19" t="str">
        <f>IF(ISBLANK('Raw counts'!F56),"",IF('7'!$V55=1,IF('3'!F55='7'!$V55,"Sol",'4'!F55),IF('7'!$V55=2,IF('3'!F55&lt;='7'!$V55,"Dua",'4'!F55),IF('7'!$V55&gt;=3,IF('3'!F55&lt;='7'!$V55,"Shr",'4'!F55),'4'!F55))))</f>
        <v/>
      </c>
      <c r="G56" s="19" t="str">
        <f>IF(ISBLANK('Raw counts'!G56),"",IF('7'!$V55=1,IF('3'!G55='7'!$V55,"Sol",'4'!G55),IF('7'!$V55=2,IF('3'!G55&lt;='7'!$V55,"Dua",'4'!G55),IF('7'!$V55&gt;=3,IF('3'!G55&lt;='7'!$V55,"Shr",'4'!G55),'4'!G55))))</f>
        <v/>
      </c>
      <c r="H56" s="19" t="str">
        <f>IF(ISBLANK('Raw counts'!H56),"",IF('7'!$V55=1,IF('3'!H55='7'!$V55,"Sol",'4'!H55),IF('7'!$V55=2,IF('3'!H55&lt;='7'!$V55,"Dua",'4'!H55),IF('7'!$V55&gt;=3,IF('3'!H55&lt;='7'!$V55,"Shr",'4'!H55),'4'!H55))))</f>
        <v/>
      </c>
      <c r="I56" s="19" t="str">
        <f>IF(ISBLANK('Raw counts'!I56),"",IF('7'!$V55=1,IF('3'!I55='7'!$V55,"Sol",'4'!I55),IF('7'!$V55=2,IF('3'!I55&lt;='7'!$V55,"Dua",'4'!I55),IF('7'!$V55&gt;=3,IF('3'!I55&lt;='7'!$V55,"Shr",'4'!I55),'4'!I55))))</f>
        <v/>
      </c>
      <c r="J56" s="19" t="str">
        <f>IF(ISBLANK('Raw counts'!J56),"",IF('7'!$V55=1,IF('3'!J55='7'!$V55,"Sol",'4'!J55),IF('7'!$V55=2,IF('3'!J55&lt;='7'!$V55,"Dua",'4'!J55),IF('7'!$V55&gt;=3,IF('3'!J55&lt;='7'!$V55,"Shr",'4'!J55),'4'!J55))))</f>
        <v/>
      </c>
      <c r="K56" s="19" t="str">
        <f>IF(ISBLANK('Raw counts'!K56),"",IF('7'!$V55=1,IF('3'!K55='7'!$V55,"Sol",'4'!K55),IF('7'!$V55=2,IF('3'!K55&lt;='7'!$V55,"Dua",'4'!K55),IF('7'!$V55&gt;=3,IF('3'!K55&lt;='7'!$V55,"Shr",'4'!K55),'4'!K55))))</f>
        <v/>
      </c>
      <c r="L56" s="19" t="str">
        <f>IF(ISBLANK('Raw counts'!L56),"",IF('7'!$V55=1,IF('3'!L55='7'!$V55,"Sol",'4'!L55),IF('7'!$V55=2,IF('3'!L55&lt;='7'!$V55,"Dua",'4'!L55),IF('7'!$V55&gt;=3,IF('3'!L55&lt;='7'!$V55,"Shr",'4'!L55),'4'!L55))))</f>
        <v/>
      </c>
      <c r="M56" s="19" t="str">
        <f>IF(ISBLANK('Raw counts'!M56),"",IF('7'!$V55=1,IF('3'!M55='7'!$V55,"Sol",'4'!M55),IF('7'!$V55=2,IF('3'!M55&lt;='7'!$V55,"Dua",'4'!M55),IF('7'!$V55&gt;=3,IF('3'!M55&lt;='7'!$V55,"Shr",'4'!M55),'4'!M55))))</f>
        <v/>
      </c>
      <c r="N56" s="19" t="str">
        <f>IF(ISBLANK('Raw counts'!N56),"",IF('7'!$V55=1,IF('3'!N55='7'!$V55,"Sol",'4'!N55),IF('7'!$V55=2,IF('3'!N55&lt;='7'!$V55,"Dua",'4'!N55),IF('7'!$V55&gt;=3,IF('3'!N55&lt;='7'!$V55,"Shr",'4'!N55),'4'!N55))))</f>
        <v/>
      </c>
      <c r="O56" s="19" t="str">
        <f>IF(ISBLANK('Raw counts'!O56),"",IF('7'!$V55=1,IF('3'!O55='7'!$V55,"Sol",'4'!O55),IF('7'!$V55=2,IF('3'!O55&lt;='7'!$V55,"Dua",'4'!O55),IF('7'!$V55&gt;=3,IF('3'!O55&lt;='7'!$V55,"Shr",'4'!O55),'4'!O55))))</f>
        <v/>
      </c>
      <c r="P56" s="19" t="str">
        <f>IF(ISBLANK('Raw counts'!P56),"",IF('7'!$V55=1,IF('3'!P55='7'!$V55,"Sol",'4'!P55),IF('7'!$V55=2,IF('3'!P55&lt;='7'!$V55,"Dua",'4'!P55),IF('7'!$V55&gt;=3,IF('3'!P55&lt;='7'!$V55,"Shr",'4'!P55),'4'!P55))))</f>
        <v/>
      </c>
      <c r="Q56" s="19" t="str">
        <f>IF(ISBLANK('Raw counts'!Q56),"",IF('7'!$V55=1,IF('3'!Q55='7'!$V55,"Sol",'4'!Q55),IF('7'!$V55=2,IF('3'!Q55&lt;='7'!$V55,"Dua",'4'!Q55),IF('7'!$V55&gt;=3,IF('3'!Q55&lt;='7'!$V55,"Shr",'4'!Q55),'4'!Q55))))</f>
        <v/>
      </c>
      <c r="R56" s="19" t="str">
        <f>IF(ISBLANK('Raw counts'!R56),"",IF('7'!$V55=1,IF('3'!R55='7'!$V55,"Sol",'4'!R55),IF('7'!$V55=2,IF('3'!R55&lt;='7'!$V55,"Dua",'4'!R55),IF('7'!$V55&gt;=3,IF('3'!R55&lt;='7'!$V55,"Shr",'4'!R55),'4'!R55))))</f>
        <v/>
      </c>
      <c r="S56" s="19" t="str">
        <f>IF(ISBLANK('Raw counts'!S56),"",IF('7'!$V55=1,IF('3'!S55='7'!$V55,"Sol",'4'!S55),IF('7'!$V55=2,IF('3'!S55&lt;='7'!$V55,"Dua",'4'!S55),IF('7'!$V55&gt;=3,IF('3'!S55&lt;='7'!$V55,"Shr",'4'!S55),'4'!S55))))</f>
        <v/>
      </c>
      <c r="T56" s="19" t="str">
        <f>IF(ISBLANK('Raw counts'!T56),"",IF('7'!$V55=1,IF('3'!T55='7'!$V55,"Sol",'4'!T55),IF('7'!$V55=2,IF('3'!T55&lt;='7'!$V55,"Dua",'4'!T55),IF('7'!$V55&gt;=3,IF('3'!T55&lt;='7'!$V55,"Shr",'4'!T55),'4'!T55))))</f>
        <v/>
      </c>
      <c r="U56" s="19" t="str">
        <f>IF(ISBLANK('Raw counts'!U56),"",IF('7'!$V55=1,IF('3'!U55='7'!$V55,"Sol",'4'!U55),IF('7'!$V55=2,IF('3'!U55&lt;='7'!$V55,"Dua",'4'!U55),IF('7'!$V55&gt;=3,IF('3'!U55&lt;='7'!$V55,"Shr",'4'!U55),'4'!U55))))</f>
        <v/>
      </c>
    </row>
    <row r="57" spans="1:21" x14ac:dyDescent="0.15">
      <c r="A57" s="18" t="str">
        <f>IF(ISBLANK('Raw counts'!A57),"",'Raw counts'!A57)</f>
        <v>Attr53</v>
      </c>
      <c r="B57" s="19" t="str">
        <f>IF(ISBLANK('Raw counts'!B57),"",IF('7'!$V56=1,IF('3'!B56='7'!$V56,"Sol",'4'!B56),IF('7'!$V56=2,IF('3'!B56&lt;='7'!$V56,"Dua",'4'!B56),IF('7'!$V56&gt;=3,IF('3'!B56&lt;='7'!$V56,"Shr",'4'!B56),'4'!B56))))</f>
        <v/>
      </c>
      <c r="C57" s="19" t="str">
        <f>IF(ISBLANK('Raw counts'!C57),"",IF('7'!$V56=1,IF('3'!C56='7'!$V56,"Sol",'4'!C56),IF('7'!$V56=2,IF('3'!C56&lt;='7'!$V56,"Dua",'4'!C56),IF('7'!$V56&gt;=3,IF('3'!C56&lt;='7'!$V56,"Shr",'4'!C56),'4'!C56))))</f>
        <v/>
      </c>
      <c r="D57" s="19" t="str">
        <f>IF(ISBLANK('Raw counts'!D57),"",IF('7'!$V56=1,IF('3'!D56='7'!$V56,"Sol",'4'!D56),IF('7'!$V56=2,IF('3'!D56&lt;='7'!$V56,"Dua",'4'!D56),IF('7'!$V56&gt;=3,IF('3'!D56&lt;='7'!$V56,"Shr",'4'!D56),'4'!D56))))</f>
        <v/>
      </c>
      <c r="E57" s="19" t="str">
        <f>IF(ISBLANK('Raw counts'!E57),"",IF('7'!$V56=1,IF('3'!E56='7'!$V56,"Sol",'4'!E56),IF('7'!$V56=2,IF('3'!E56&lt;='7'!$V56,"Dua",'4'!E56),IF('7'!$V56&gt;=3,IF('3'!E56&lt;='7'!$V56,"Shr",'4'!E56),'4'!E56))))</f>
        <v/>
      </c>
      <c r="F57" s="19" t="str">
        <f>IF(ISBLANK('Raw counts'!F57),"",IF('7'!$V56=1,IF('3'!F56='7'!$V56,"Sol",'4'!F56),IF('7'!$V56=2,IF('3'!F56&lt;='7'!$V56,"Dua",'4'!F56),IF('7'!$V56&gt;=3,IF('3'!F56&lt;='7'!$V56,"Shr",'4'!F56),'4'!F56))))</f>
        <v/>
      </c>
      <c r="G57" s="19" t="str">
        <f>IF(ISBLANK('Raw counts'!G57),"",IF('7'!$V56=1,IF('3'!G56='7'!$V56,"Sol",'4'!G56),IF('7'!$V56=2,IF('3'!G56&lt;='7'!$V56,"Dua",'4'!G56),IF('7'!$V56&gt;=3,IF('3'!G56&lt;='7'!$V56,"Shr",'4'!G56),'4'!G56))))</f>
        <v/>
      </c>
      <c r="H57" s="19" t="str">
        <f>IF(ISBLANK('Raw counts'!H57),"",IF('7'!$V56=1,IF('3'!H56='7'!$V56,"Sol",'4'!H56),IF('7'!$V56=2,IF('3'!H56&lt;='7'!$V56,"Dua",'4'!H56),IF('7'!$V56&gt;=3,IF('3'!H56&lt;='7'!$V56,"Shr",'4'!H56),'4'!H56))))</f>
        <v/>
      </c>
      <c r="I57" s="19" t="str">
        <f>IF(ISBLANK('Raw counts'!I57),"",IF('7'!$V56=1,IF('3'!I56='7'!$V56,"Sol",'4'!I56),IF('7'!$V56=2,IF('3'!I56&lt;='7'!$V56,"Dua",'4'!I56),IF('7'!$V56&gt;=3,IF('3'!I56&lt;='7'!$V56,"Shr",'4'!I56),'4'!I56))))</f>
        <v/>
      </c>
      <c r="J57" s="19" t="str">
        <f>IF(ISBLANK('Raw counts'!J57),"",IF('7'!$V56=1,IF('3'!J56='7'!$V56,"Sol",'4'!J56),IF('7'!$V56=2,IF('3'!J56&lt;='7'!$V56,"Dua",'4'!J56),IF('7'!$V56&gt;=3,IF('3'!J56&lt;='7'!$V56,"Shr",'4'!J56),'4'!J56))))</f>
        <v/>
      </c>
      <c r="K57" s="19" t="str">
        <f>IF(ISBLANK('Raw counts'!K57),"",IF('7'!$V56=1,IF('3'!K56='7'!$V56,"Sol",'4'!K56),IF('7'!$V56=2,IF('3'!K56&lt;='7'!$V56,"Dua",'4'!K56),IF('7'!$V56&gt;=3,IF('3'!K56&lt;='7'!$V56,"Shr",'4'!K56),'4'!K56))))</f>
        <v/>
      </c>
      <c r="L57" s="19" t="str">
        <f>IF(ISBLANK('Raw counts'!L57),"",IF('7'!$V56=1,IF('3'!L56='7'!$V56,"Sol",'4'!L56),IF('7'!$V56=2,IF('3'!L56&lt;='7'!$V56,"Dua",'4'!L56),IF('7'!$V56&gt;=3,IF('3'!L56&lt;='7'!$V56,"Shr",'4'!L56),'4'!L56))))</f>
        <v/>
      </c>
      <c r="M57" s="19" t="str">
        <f>IF(ISBLANK('Raw counts'!M57),"",IF('7'!$V56=1,IF('3'!M56='7'!$V56,"Sol",'4'!M56),IF('7'!$V56=2,IF('3'!M56&lt;='7'!$V56,"Dua",'4'!M56),IF('7'!$V56&gt;=3,IF('3'!M56&lt;='7'!$V56,"Shr",'4'!M56),'4'!M56))))</f>
        <v/>
      </c>
      <c r="N57" s="19" t="str">
        <f>IF(ISBLANK('Raw counts'!N57),"",IF('7'!$V56=1,IF('3'!N56='7'!$V56,"Sol",'4'!N56),IF('7'!$V56=2,IF('3'!N56&lt;='7'!$V56,"Dua",'4'!N56),IF('7'!$V56&gt;=3,IF('3'!N56&lt;='7'!$V56,"Shr",'4'!N56),'4'!N56))))</f>
        <v/>
      </c>
      <c r="O57" s="19" t="str">
        <f>IF(ISBLANK('Raw counts'!O57),"",IF('7'!$V56=1,IF('3'!O56='7'!$V56,"Sol",'4'!O56),IF('7'!$V56=2,IF('3'!O56&lt;='7'!$V56,"Dua",'4'!O56),IF('7'!$V56&gt;=3,IF('3'!O56&lt;='7'!$V56,"Shr",'4'!O56),'4'!O56))))</f>
        <v/>
      </c>
      <c r="P57" s="19" t="str">
        <f>IF(ISBLANK('Raw counts'!P57),"",IF('7'!$V56=1,IF('3'!P56='7'!$V56,"Sol",'4'!P56),IF('7'!$V56=2,IF('3'!P56&lt;='7'!$V56,"Dua",'4'!P56),IF('7'!$V56&gt;=3,IF('3'!P56&lt;='7'!$V56,"Shr",'4'!P56),'4'!P56))))</f>
        <v/>
      </c>
      <c r="Q57" s="19" t="str">
        <f>IF(ISBLANK('Raw counts'!Q57),"",IF('7'!$V56=1,IF('3'!Q56='7'!$V56,"Sol",'4'!Q56),IF('7'!$V56=2,IF('3'!Q56&lt;='7'!$V56,"Dua",'4'!Q56),IF('7'!$V56&gt;=3,IF('3'!Q56&lt;='7'!$V56,"Shr",'4'!Q56),'4'!Q56))))</f>
        <v/>
      </c>
      <c r="R57" s="19" t="str">
        <f>IF(ISBLANK('Raw counts'!R57),"",IF('7'!$V56=1,IF('3'!R56='7'!$V56,"Sol",'4'!R56),IF('7'!$V56=2,IF('3'!R56&lt;='7'!$V56,"Dua",'4'!R56),IF('7'!$V56&gt;=3,IF('3'!R56&lt;='7'!$V56,"Shr",'4'!R56),'4'!R56))))</f>
        <v/>
      </c>
      <c r="S57" s="19" t="str">
        <f>IF(ISBLANK('Raw counts'!S57),"",IF('7'!$V56=1,IF('3'!S56='7'!$V56,"Sol",'4'!S56),IF('7'!$V56=2,IF('3'!S56&lt;='7'!$V56,"Dua",'4'!S56),IF('7'!$V56&gt;=3,IF('3'!S56&lt;='7'!$V56,"Shr",'4'!S56),'4'!S56))))</f>
        <v/>
      </c>
      <c r="T57" s="19" t="str">
        <f>IF(ISBLANK('Raw counts'!T57),"",IF('7'!$V56=1,IF('3'!T56='7'!$V56,"Sol",'4'!T56),IF('7'!$V56=2,IF('3'!T56&lt;='7'!$V56,"Dua",'4'!T56),IF('7'!$V56&gt;=3,IF('3'!T56&lt;='7'!$V56,"Shr",'4'!T56),'4'!T56))))</f>
        <v/>
      </c>
      <c r="U57" s="19" t="str">
        <f>IF(ISBLANK('Raw counts'!U57),"",IF('7'!$V56=1,IF('3'!U56='7'!$V56,"Sol",'4'!U56),IF('7'!$V56=2,IF('3'!U56&lt;='7'!$V56,"Dua",'4'!U56),IF('7'!$V56&gt;=3,IF('3'!U56&lt;='7'!$V56,"Shr",'4'!U56),'4'!U56))))</f>
        <v/>
      </c>
    </row>
    <row r="58" spans="1:21" x14ac:dyDescent="0.15">
      <c r="A58" s="18" t="str">
        <f>IF(ISBLANK('Raw counts'!A58),"",'Raw counts'!A58)</f>
        <v>Attr54</v>
      </c>
      <c r="B58" s="19" t="str">
        <f>IF(ISBLANK('Raw counts'!B58),"",IF('7'!$V57=1,IF('3'!B57='7'!$V57,"Sol",'4'!B57),IF('7'!$V57=2,IF('3'!B57&lt;='7'!$V57,"Dua",'4'!B57),IF('7'!$V57&gt;=3,IF('3'!B57&lt;='7'!$V57,"Shr",'4'!B57),'4'!B57))))</f>
        <v/>
      </c>
      <c r="C58" s="19" t="str">
        <f>IF(ISBLANK('Raw counts'!C58),"",IF('7'!$V57=1,IF('3'!C57='7'!$V57,"Sol",'4'!C57),IF('7'!$V57=2,IF('3'!C57&lt;='7'!$V57,"Dua",'4'!C57),IF('7'!$V57&gt;=3,IF('3'!C57&lt;='7'!$V57,"Shr",'4'!C57),'4'!C57))))</f>
        <v/>
      </c>
      <c r="D58" s="19" t="str">
        <f>IF(ISBLANK('Raw counts'!D58),"",IF('7'!$V57=1,IF('3'!D57='7'!$V57,"Sol",'4'!D57),IF('7'!$V57=2,IF('3'!D57&lt;='7'!$V57,"Dua",'4'!D57),IF('7'!$V57&gt;=3,IF('3'!D57&lt;='7'!$V57,"Shr",'4'!D57),'4'!D57))))</f>
        <v/>
      </c>
      <c r="E58" s="19" t="str">
        <f>IF(ISBLANK('Raw counts'!E58),"",IF('7'!$V57=1,IF('3'!E57='7'!$V57,"Sol",'4'!E57),IF('7'!$V57=2,IF('3'!E57&lt;='7'!$V57,"Dua",'4'!E57),IF('7'!$V57&gt;=3,IF('3'!E57&lt;='7'!$V57,"Shr",'4'!E57),'4'!E57))))</f>
        <v/>
      </c>
      <c r="F58" s="19" t="str">
        <f>IF(ISBLANK('Raw counts'!F58),"",IF('7'!$V57=1,IF('3'!F57='7'!$V57,"Sol",'4'!F57),IF('7'!$V57=2,IF('3'!F57&lt;='7'!$V57,"Dua",'4'!F57),IF('7'!$V57&gt;=3,IF('3'!F57&lt;='7'!$V57,"Shr",'4'!F57),'4'!F57))))</f>
        <v/>
      </c>
      <c r="G58" s="19" t="str">
        <f>IF(ISBLANK('Raw counts'!G58),"",IF('7'!$V57=1,IF('3'!G57='7'!$V57,"Sol",'4'!G57),IF('7'!$V57=2,IF('3'!G57&lt;='7'!$V57,"Dua",'4'!G57),IF('7'!$V57&gt;=3,IF('3'!G57&lt;='7'!$V57,"Shr",'4'!G57),'4'!G57))))</f>
        <v/>
      </c>
      <c r="H58" s="19" t="str">
        <f>IF(ISBLANK('Raw counts'!H58),"",IF('7'!$V57=1,IF('3'!H57='7'!$V57,"Sol",'4'!H57),IF('7'!$V57=2,IF('3'!H57&lt;='7'!$V57,"Dua",'4'!H57),IF('7'!$V57&gt;=3,IF('3'!H57&lt;='7'!$V57,"Shr",'4'!H57),'4'!H57))))</f>
        <v/>
      </c>
      <c r="I58" s="19" t="str">
        <f>IF(ISBLANK('Raw counts'!I58),"",IF('7'!$V57=1,IF('3'!I57='7'!$V57,"Sol",'4'!I57),IF('7'!$V57=2,IF('3'!I57&lt;='7'!$V57,"Dua",'4'!I57),IF('7'!$V57&gt;=3,IF('3'!I57&lt;='7'!$V57,"Shr",'4'!I57),'4'!I57))))</f>
        <v/>
      </c>
      <c r="J58" s="19" t="str">
        <f>IF(ISBLANK('Raw counts'!J58),"",IF('7'!$V57=1,IF('3'!J57='7'!$V57,"Sol",'4'!J57),IF('7'!$V57=2,IF('3'!J57&lt;='7'!$V57,"Dua",'4'!J57),IF('7'!$V57&gt;=3,IF('3'!J57&lt;='7'!$V57,"Shr",'4'!J57),'4'!J57))))</f>
        <v/>
      </c>
      <c r="K58" s="19" t="str">
        <f>IF(ISBLANK('Raw counts'!K58),"",IF('7'!$V57=1,IF('3'!K57='7'!$V57,"Sol",'4'!K57),IF('7'!$V57=2,IF('3'!K57&lt;='7'!$V57,"Dua",'4'!K57),IF('7'!$V57&gt;=3,IF('3'!K57&lt;='7'!$V57,"Shr",'4'!K57),'4'!K57))))</f>
        <v/>
      </c>
      <c r="L58" s="19" t="str">
        <f>IF(ISBLANK('Raw counts'!L58),"",IF('7'!$V57=1,IF('3'!L57='7'!$V57,"Sol",'4'!L57),IF('7'!$V57=2,IF('3'!L57&lt;='7'!$V57,"Dua",'4'!L57),IF('7'!$V57&gt;=3,IF('3'!L57&lt;='7'!$V57,"Shr",'4'!L57),'4'!L57))))</f>
        <v/>
      </c>
      <c r="M58" s="19" t="str">
        <f>IF(ISBLANK('Raw counts'!M58),"",IF('7'!$V57=1,IF('3'!M57='7'!$V57,"Sol",'4'!M57),IF('7'!$V57=2,IF('3'!M57&lt;='7'!$V57,"Dua",'4'!M57),IF('7'!$V57&gt;=3,IF('3'!M57&lt;='7'!$V57,"Shr",'4'!M57),'4'!M57))))</f>
        <v/>
      </c>
      <c r="N58" s="19" t="str">
        <f>IF(ISBLANK('Raw counts'!N58),"",IF('7'!$V57=1,IF('3'!N57='7'!$V57,"Sol",'4'!N57),IF('7'!$V57=2,IF('3'!N57&lt;='7'!$V57,"Dua",'4'!N57),IF('7'!$V57&gt;=3,IF('3'!N57&lt;='7'!$V57,"Shr",'4'!N57),'4'!N57))))</f>
        <v/>
      </c>
      <c r="O58" s="19" t="str">
        <f>IF(ISBLANK('Raw counts'!O58),"",IF('7'!$V57=1,IF('3'!O57='7'!$V57,"Sol",'4'!O57),IF('7'!$V57=2,IF('3'!O57&lt;='7'!$V57,"Dua",'4'!O57),IF('7'!$V57&gt;=3,IF('3'!O57&lt;='7'!$V57,"Shr",'4'!O57),'4'!O57))))</f>
        <v/>
      </c>
      <c r="P58" s="19" t="str">
        <f>IF(ISBLANK('Raw counts'!P58),"",IF('7'!$V57=1,IF('3'!P57='7'!$V57,"Sol",'4'!P57),IF('7'!$V57=2,IF('3'!P57&lt;='7'!$V57,"Dua",'4'!P57),IF('7'!$V57&gt;=3,IF('3'!P57&lt;='7'!$V57,"Shr",'4'!P57),'4'!P57))))</f>
        <v/>
      </c>
      <c r="Q58" s="19" t="str">
        <f>IF(ISBLANK('Raw counts'!Q58),"",IF('7'!$V57=1,IF('3'!Q57='7'!$V57,"Sol",'4'!Q57),IF('7'!$V57=2,IF('3'!Q57&lt;='7'!$V57,"Dua",'4'!Q57),IF('7'!$V57&gt;=3,IF('3'!Q57&lt;='7'!$V57,"Shr",'4'!Q57),'4'!Q57))))</f>
        <v/>
      </c>
      <c r="R58" s="19" t="str">
        <f>IF(ISBLANK('Raw counts'!R58),"",IF('7'!$V57=1,IF('3'!R57='7'!$V57,"Sol",'4'!R57),IF('7'!$V57=2,IF('3'!R57&lt;='7'!$V57,"Dua",'4'!R57),IF('7'!$V57&gt;=3,IF('3'!R57&lt;='7'!$V57,"Shr",'4'!R57),'4'!R57))))</f>
        <v/>
      </c>
      <c r="S58" s="19" t="str">
        <f>IF(ISBLANK('Raw counts'!S58),"",IF('7'!$V57=1,IF('3'!S57='7'!$V57,"Sol",'4'!S57),IF('7'!$V57=2,IF('3'!S57&lt;='7'!$V57,"Dua",'4'!S57),IF('7'!$V57&gt;=3,IF('3'!S57&lt;='7'!$V57,"Shr",'4'!S57),'4'!S57))))</f>
        <v/>
      </c>
      <c r="T58" s="19" t="str">
        <f>IF(ISBLANK('Raw counts'!T58),"",IF('7'!$V57=1,IF('3'!T57='7'!$V57,"Sol",'4'!T57),IF('7'!$V57=2,IF('3'!T57&lt;='7'!$V57,"Dua",'4'!T57),IF('7'!$V57&gt;=3,IF('3'!T57&lt;='7'!$V57,"Shr",'4'!T57),'4'!T57))))</f>
        <v/>
      </c>
      <c r="U58" s="19" t="str">
        <f>IF(ISBLANK('Raw counts'!U58),"",IF('7'!$V57=1,IF('3'!U57='7'!$V57,"Sol",'4'!U57),IF('7'!$V57=2,IF('3'!U57&lt;='7'!$V57,"Dua",'4'!U57),IF('7'!$V57&gt;=3,IF('3'!U57&lt;='7'!$V57,"Shr",'4'!U57),'4'!U57))))</f>
        <v/>
      </c>
    </row>
    <row r="59" spans="1:21" x14ac:dyDescent="0.15">
      <c r="A59" s="18" t="str">
        <f>IF(ISBLANK('Raw counts'!A59),"",'Raw counts'!A59)</f>
        <v>Attr55</v>
      </c>
      <c r="B59" s="19" t="str">
        <f>IF(ISBLANK('Raw counts'!B59),"",IF('7'!$V58=1,IF('3'!B58='7'!$V58,"Sol",'4'!B58),IF('7'!$V58=2,IF('3'!B58&lt;='7'!$V58,"Dua",'4'!B58),IF('7'!$V58&gt;=3,IF('3'!B58&lt;='7'!$V58,"Shr",'4'!B58),'4'!B58))))</f>
        <v/>
      </c>
      <c r="C59" s="19" t="str">
        <f>IF(ISBLANK('Raw counts'!C59),"",IF('7'!$V58=1,IF('3'!C58='7'!$V58,"Sol",'4'!C58),IF('7'!$V58=2,IF('3'!C58&lt;='7'!$V58,"Dua",'4'!C58),IF('7'!$V58&gt;=3,IF('3'!C58&lt;='7'!$V58,"Shr",'4'!C58),'4'!C58))))</f>
        <v/>
      </c>
      <c r="D59" s="19" t="str">
        <f>IF(ISBLANK('Raw counts'!D59),"",IF('7'!$V58=1,IF('3'!D58='7'!$V58,"Sol",'4'!D58),IF('7'!$V58=2,IF('3'!D58&lt;='7'!$V58,"Dua",'4'!D58),IF('7'!$V58&gt;=3,IF('3'!D58&lt;='7'!$V58,"Shr",'4'!D58),'4'!D58))))</f>
        <v/>
      </c>
      <c r="E59" s="19" t="str">
        <f>IF(ISBLANK('Raw counts'!E59),"",IF('7'!$V58=1,IF('3'!E58='7'!$V58,"Sol",'4'!E58),IF('7'!$V58=2,IF('3'!E58&lt;='7'!$V58,"Dua",'4'!E58),IF('7'!$V58&gt;=3,IF('3'!E58&lt;='7'!$V58,"Shr",'4'!E58),'4'!E58))))</f>
        <v/>
      </c>
      <c r="F59" s="19" t="str">
        <f>IF(ISBLANK('Raw counts'!F59),"",IF('7'!$V58=1,IF('3'!F58='7'!$V58,"Sol",'4'!F58),IF('7'!$V58=2,IF('3'!F58&lt;='7'!$V58,"Dua",'4'!F58),IF('7'!$V58&gt;=3,IF('3'!F58&lt;='7'!$V58,"Shr",'4'!F58),'4'!F58))))</f>
        <v/>
      </c>
      <c r="G59" s="19" t="str">
        <f>IF(ISBLANK('Raw counts'!G59),"",IF('7'!$V58=1,IF('3'!G58='7'!$V58,"Sol",'4'!G58),IF('7'!$V58=2,IF('3'!G58&lt;='7'!$V58,"Dua",'4'!G58),IF('7'!$V58&gt;=3,IF('3'!G58&lt;='7'!$V58,"Shr",'4'!G58),'4'!G58))))</f>
        <v/>
      </c>
      <c r="H59" s="19" t="str">
        <f>IF(ISBLANK('Raw counts'!H59),"",IF('7'!$V58=1,IF('3'!H58='7'!$V58,"Sol",'4'!H58),IF('7'!$V58=2,IF('3'!H58&lt;='7'!$V58,"Dua",'4'!H58),IF('7'!$V58&gt;=3,IF('3'!H58&lt;='7'!$V58,"Shr",'4'!H58),'4'!H58))))</f>
        <v/>
      </c>
      <c r="I59" s="19" t="str">
        <f>IF(ISBLANK('Raw counts'!I59),"",IF('7'!$V58=1,IF('3'!I58='7'!$V58,"Sol",'4'!I58),IF('7'!$V58=2,IF('3'!I58&lt;='7'!$V58,"Dua",'4'!I58),IF('7'!$V58&gt;=3,IF('3'!I58&lt;='7'!$V58,"Shr",'4'!I58),'4'!I58))))</f>
        <v/>
      </c>
      <c r="J59" s="19" t="str">
        <f>IF(ISBLANK('Raw counts'!J59),"",IF('7'!$V58=1,IF('3'!J58='7'!$V58,"Sol",'4'!J58),IF('7'!$V58=2,IF('3'!J58&lt;='7'!$V58,"Dua",'4'!J58),IF('7'!$V58&gt;=3,IF('3'!J58&lt;='7'!$V58,"Shr",'4'!J58),'4'!J58))))</f>
        <v/>
      </c>
      <c r="K59" s="19" t="str">
        <f>IF(ISBLANK('Raw counts'!K59),"",IF('7'!$V58=1,IF('3'!K58='7'!$V58,"Sol",'4'!K58),IF('7'!$V58=2,IF('3'!K58&lt;='7'!$V58,"Dua",'4'!K58),IF('7'!$V58&gt;=3,IF('3'!K58&lt;='7'!$V58,"Shr",'4'!K58),'4'!K58))))</f>
        <v/>
      </c>
      <c r="L59" s="19" t="str">
        <f>IF(ISBLANK('Raw counts'!L59),"",IF('7'!$V58=1,IF('3'!L58='7'!$V58,"Sol",'4'!L58),IF('7'!$V58=2,IF('3'!L58&lt;='7'!$V58,"Dua",'4'!L58),IF('7'!$V58&gt;=3,IF('3'!L58&lt;='7'!$V58,"Shr",'4'!L58),'4'!L58))))</f>
        <v/>
      </c>
      <c r="M59" s="19" t="str">
        <f>IF(ISBLANK('Raw counts'!M59),"",IF('7'!$V58=1,IF('3'!M58='7'!$V58,"Sol",'4'!M58),IF('7'!$V58=2,IF('3'!M58&lt;='7'!$V58,"Dua",'4'!M58),IF('7'!$V58&gt;=3,IF('3'!M58&lt;='7'!$V58,"Shr",'4'!M58),'4'!M58))))</f>
        <v/>
      </c>
      <c r="N59" s="19" t="str">
        <f>IF(ISBLANK('Raw counts'!N59),"",IF('7'!$V58=1,IF('3'!N58='7'!$V58,"Sol",'4'!N58),IF('7'!$V58=2,IF('3'!N58&lt;='7'!$V58,"Dua",'4'!N58),IF('7'!$V58&gt;=3,IF('3'!N58&lt;='7'!$V58,"Shr",'4'!N58),'4'!N58))))</f>
        <v/>
      </c>
      <c r="O59" s="19" t="str">
        <f>IF(ISBLANK('Raw counts'!O59),"",IF('7'!$V58=1,IF('3'!O58='7'!$V58,"Sol",'4'!O58),IF('7'!$V58=2,IF('3'!O58&lt;='7'!$V58,"Dua",'4'!O58),IF('7'!$V58&gt;=3,IF('3'!O58&lt;='7'!$V58,"Shr",'4'!O58),'4'!O58))))</f>
        <v/>
      </c>
      <c r="P59" s="19" t="str">
        <f>IF(ISBLANK('Raw counts'!P59),"",IF('7'!$V58=1,IF('3'!P58='7'!$V58,"Sol",'4'!P58),IF('7'!$V58=2,IF('3'!P58&lt;='7'!$V58,"Dua",'4'!P58),IF('7'!$V58&gt;=3,IF('3'!P58&lt;='7'!$V58,"Shr",'4'!P58),'4'!P58))))</f>
        <v/>
      </c>
      <c r="Q59" s="19" t="str">
        <f>IF(ISBLANK('Raw counts'!Q59),"",IF('7'!$V58=1,IF('3'!Q58='7'!$V58,"Sol",'4'!Q58),IF('7'!$V58=2,IF('3'!Q58&lt;='7'!$V58,"Dua",'4'!Q58),IF('7'!$V58&gt;=3,IF('3'!Q58&lt;='7'!$V58,"Shr",'4'!Q58),'4'!Q58))))</f>
        <v/>
      </c>
      <c r="R59" s="19" t="str">
        <f>IF(ISBLANK('Raw counts'!R59),"",IF('7'!$V58=1,IF('3'!R58='7'!$V58,"Sol",'4'!R58),IF('7'!$V58=2,IF('3'!R58&lt;='7'!$V58,"Dua",'4'!R58),IF('7'!$V58&gt;=3,IF('3'!R58&lt;='7'!$V58,"Shr",'4'!R58),'4'!R58))))</f>
        <v/>
      </c>
      <c r="S59" s="19" t="str">
        <f>IF(ISBLANK('Raw counts'!S59),"",IF('7'!$V58=1,IF('3'!S58='7'!$V58,"Sol",'4'!S58),IF('7'!$V58=2,IF('3'!S58&lt;='7'!$V58,"Dua",'4'!S58),IF('7'!$V58&gt;=3,IF('3'!S58&lt;='7'!$V58,"Shr",'4'!S58),'4'!S58))))</f>
        <v/>
      </c>
      <c r="T59" s="19" t="str">
        <f>IF(ISBLANK('Raw counts'!T59),"",IF('7'!$V58=1,IF('3'!T58='7'!$V58,"Sol",'4'!T58),IF('7'!$V58=2,IF('3'!T58&lt;='7'!$V58,"Dua",'4'!T58),IF('7'!$V58&gt;=3,IF('3'!T58&lt;='7'!$V58,"Shr",'4'!T58),'4'!T58))))</f>
        <v/>
      </c>
      <c r="U59" s="19" t="str">
        <f>IF(ISBLANK('Raw counts'!U59),"",IF('7'!$V58=1,IF('3'!U58='7'!$V58,"Sol",'4'!U58),IF('7'!$V58=2,IF('3'!U58&lt;='7'!$V58,"Dua",'4'!U58),IF('7'!$V58&gt;=3,IF('3'!U58&lt;='7'!$V58,"Shr",'4'!U58),'4'!U58))))</f>
        <v/>
      </c>
    </row>
    <row r="60" spans="1:21" x14ac:dyDescent="0.15">
      <c r="A60" s="18" t="str">
        <f>IF(ISBLANK('Raw counts'!A60),"",'Raw counts'!A60)</f>
        <v>Attr56</v>
      </c>
      <c r="B60" s="19" t="str">
        <f>IF(ISBLANK('Raw counts'!B60),"",IF('7'!$V59=1,IF('3'!B59='7'!$V59,"Sol",'4'!B59),IF('7'!$V59=2,IF('3'!B59&lt;='7'!$V59,"Dua",'4'!B59),IF('7'!$V59&gt;=3,IF('3'!B59&lt;='7'!$V59,"Shr",'4'!B59),'4'!B59))))</f>
        <v/>
      </c>
      <c r="C60" s="19" t="str">
        <f>IF(ISBLANK('Raw counts'!C60),"",IF('7'!$V59=1,IF('3'!C59='7'!$V59,"Sol",'4'!C59),IF('7'!$V59=2,IF('3'!C59&lt;='7'!$V59,"Dua",'4'!C59),IF('7'!$V59&gt;=3,IF('3'!C59&lt;='7'!$V59,"Shr",'4'!C59),'4'!C59))))</f>
        <v/>
      </c>
      <c r="D60" s="19" t="str">
        <f>IF(ISBLANK('Raw counts'!D60),"",IF('7'!$V59=1,IF('3'!D59='7'!$V59,"Sol",'4'!D59),IF('7'!$V59=2,IF('3'!D59&lt;='7'!$V59,"Dua",'4'!D59),IF('7'!$V59&gt;=3,IF('3'!D59&lt;='7'!$V59,"Shr",'4'!D59),'4'!D59))))</f>
        <v/>
      </c>
      <c r="E60" s="19" t="str">
        <f>IF(ISBLANK('Raw counts'!E60),"",IF('7'!$V59=1,IF('3'!E59='7'!$V59,"Sol",'4'!E59),IF('7'!$V59=2,IF('3'!E59&lt;='7'!$V59,"Dua",'4'!E59),IF('7'!$V59&gt;=3,IF('3'!E59&lt;='7'!$V59,"Shr",'4'!E59),'4'!E59))))</f>
        <v/>
      </c>
      <c r="F60" s="19" t="str">
        <f>IF(ISBLANK('Raw counts'!F60),"",IF('7'!$V59=1,IF('3'!F59='7'!$V59,"Sol",'4'!F59),IF('7'!$V59=2,IF('3'!F59&lt;='7'!$V59,"Dua",'4'!F59),IF('7'!$V59&gt;=3,IF('3'!F59&lt;='7'!$V59,"Shr",'4'!F59),'4'!F59))))</f>
        <v/>
      </c>
      <c r="G60" s="19" t="str">
        <f>IF(ISBLANK('Raw counts'!G60),"",IF('7'!$V59=1,IF('3'!G59='7'!$V59,"Sol",'4'!G59),IF('7'!$V59=2,IF('3'!G59&lt;='7'!$V59,"Dua",'4'!G59),IF('7'!$V59&gt;=3,IF('3'!G59&lt;='7'!$V59,"Shr",'4'!G59),'4'!G59))))</f>
        <v/>
      </c>
      <c r="H60" s="19" t="str">
        <f>IF(ISBLANK('Raw counts'!H60),"",IF('7'!$V59=1,IF('3'!H59='7'!$V59,"Sol",'4'!H59),IF('7'!$V59=2,IF('3'!H59&lt;='7'!$V59,"Dua",'4'!H59),IF('7'!$V59&gt;=3,IF('3'!H59&lt;='7'!$V59,"Shr",'4'!H59),'4'!H59))))</f>
        <v/>
      </c>
      <c r="I60" s="19" t="str">
        <f>IF(ISBLANK('Raw counts'!I60),"",IF('7'!$V59=1,IF('3'!I59='7'!$V59,"Sol",'4'!I59),IF('7'!$V59=2,IF('3'!I59&lt;='7'!$V59,"Dua",'4'!I59),IF('7'!$V59&gt;=3,IF('3'!I59&lt;='7'!$V59,"Shr",'4'!I59),'4'!I59))))</f>
        <v/>
      </c>
      <c r="J60" s="19" t="str">
        <f>IF(ISBLANK('Raw counts'!J60),"",IF('7'!$V59=1,IF('3'!J59='7'!$V59,"Sol",'4'!J59),IF('7'!$V59=2,IF('3'!J59&lt;='7'!$V59,"Dua",'4'!J59),IF('7'!$V59&gt;=3,IF('3'!J59&lt;='7'!$V59,"Shr",'4'!J59),'4'!J59))))</f>
        <v/>
      </c>
      <c r="K60" s="19" t="str">
        <f>IF(ISBLANK('Raw counts'!K60),"",IF('7'!$V59=1,IF('3'!K59='7'!$V59,"Sol",'4'!K59),IF('7'!$V59=2,IF('3'!K59&lt;='7'!$V59,"Dua",'4'!K59),IF('7'!$V59&gt;=3,IF('3'!K59&lt;='7'!$V59,"Shr",'4'!K59),'4'!K59))))</f>
        <v/>
      </c>
      <c r="L60" s="19" t="str">
        <f>IF(ISBLANK('Raw counts'!L60),"",IF('7'!$V59=1,IF('3'!L59='7'!$V59,"Sol",'4'!L59),IF('7'!$V59=2,IF('3'!L59&lt;='7'!$V59,"Dua",'4'!L59),IF('7'!$V59&gt;=3,IF('3'!L59&lt;='7'!$V59,"Shr",'4'!L59),'4'!L59))))</f>
        <v/>
      </c>
      <c r="M60" s="19" t="str">
        <f>IF(ISBLANK('Raw counts'!M60),"",IF('7'!$V59=1,IF('3'!M59='7'!$V59,"Sol",'4'!M59),IF('7'!$V59=2,IF('3'!M59&lt;='7'!$V59,"Dua",'4'!M59),IF('7'!$V59&gt;=3,IF('3'!M59&lt;='7'!$V59,"Shr",'4'!M59),'4'!M59))))</f>
        <v/>
      </c>
      <c r="N60" s="19" t="str">
        <f>IF(ISBLANK('Raw counts'!N60),"",IF('7'!$V59=1,IF('3'!N59='7'!$V59,"Sol",'4'!N59),IF('7'!$V59=2,IF('3'!N59&lt;='7'!$V59,"Dua",'4'!N59),IF('7'!$V59&gt;=3,IF('3'!N59&lt;='7'!$V59,"Shr",'4'!N59),'4'!N59))))</f>
        <v/>
      </c>
      <c r="O60" s="19" t="str">
        <f>IF(ISBLANK('Raw counts'!O60),"",IF('7'!$V59=1,IF('3'!O59='7'!$V59,"Sol",'4'!O59),IF('7'!$V59=2,IF('3'!O59&lt;='7'!$V59,"Dua",'4'!O59),IF('7'!$V59&gt;=3,IF('3'!O59&lt;='7'!$V59,"Shr",'4'!O59),'4'!O59))))</f>
        <v/>
      </c>
      <c r="P60" s="19" t="str">
        <f>IF(ISBLANK('Raw counts'!P60),"",IF('7'!$V59=1,IF('3'!P59='7'!$V59,"Sol",'4'!P59),IF('7'!$V59=2,IF('3'!P59&lt;='7'!$V59,"Dua",'4'!P59),IF('7'!$V59&gt;=3,IF('3'!P59&lt;='7'!$V59,"Shr",'4'!P59),'4'!P59))))</f>
        <v/>
      </c>
      <c r="Q60" s="19" t="str">
        <f>IF(ISBLANK('Raw counts'!Q60),"",IF('7'!$V59=1,IF('3'!Q59='7'!$V59,"Sol",'4'!Q59),IF('7'!$V59=2,IF('3'!Q59&lt;='7'!$V59,"Dua",'4'!Q59),IF('7'!$V59&gt;=3,IF('3'!Q59&lt;='7'!$V59,"Shr",'4'!Q59),'4'!Q59))))</f>
        <v/>
      </c>
      <c r="R60" s="19" t="str">
        <f>IF(ISBLANK('Raw counts'!R60),"",IF('7'!$V59=1,IF('3'!R59='7'!$V59,"Sol",'4'!R59),IF('7'!$V59=2,IF('3'!R59&lt;='7'!$V59,"Dua",'4'!R59),IF('7'!$V59&gt;=3,IF('3'!R59&lt;='7'!$V59,"Shr",'4'!R59),'4'!R59))))</f>
        <v/>
      </c>
      <c r="S60" s="19" t="str">
        <f>IF(ISBLANK('Raw counts'!S60),"",IF('7'!$V59=1,IF('3'!S59='7'!$V59,"Sol",'4'!S59),IF('7'!$V59=2,IF('3'!S59&lt;='7'!$V59,"Dua",'4'!S59),IF('7'!$V59&gt;=3,IF('3'!S59&lt;='7'!$V59,"Shr",'4'!S59),'4'!S59))))</f>
        <v/>
      </c>
      <c r="T60" s="19" t="str">
        <f>IF(ISBLANK('Raw counts'!T60),"",IF('7'!$V59=1,IF('3'!T59='7'!$V59,"Sol",'4'!T59),IF('7'!$V59=2,IF('3'!T59&lt;='7'!$V59,"Dua",'4'!T59),IF('7'!$V59&gt;=3,IF('3'!T59&lt;='7'!$V59,"Shr",'4'!T59),'4'!T59))))</f>
        <v/>
      </c>
      <c r="U60" s="19" t="str">
        <f>IF(ISBLANK('Raw counts'!U60),"",IF('7'!$V59=1,IF('3'!U59='7'!$V59,"Sol",'4'!U59),IF('7'!$V59=2,IF('3'!U59&lt;='7'!$V59,"Dua",'4'!U59),IF('7'!$V59&gt;=3,IF('3'!U59&lt;='7'!$V59,"Shr",'4'!U59),'4'!U59))))</f>
        <v/>
      </c>
    </row>
    <row r="61" spans="1:21" x14ac:dyDescent="0.15">
      <c r="A61" s="18" t="str">
        <f>IF(ISBLANK('Raw counts'!A61),"",'Raw counts'!A61)</f>
        <v>Attr57</v>
      </c>
      <c r="B61" s="19" t="str">
        <f>IF(ISBLANK('Raw counts'!B61),"",IF('7'!$V60=1,IF('3'!B60='7'!$V60,"Sol",'4'!B60),IF('7'!$V60=2,IF('3'!B60&lt;='7'!$V60,"Dua",'4'!B60),IF('7'!$V60&gt;=3,IF('3'!B60&lt;='7'!$V60,"Shr",'4'!B60),'4'!B60))))</f>
        <v/>
      </c>
      <c r="C61" s="19" t="str">
        <f>IF(ISBLANK('Raw counts'!C61),"",IF('7'!$V60=1,IF('3'!C60='7'!$V60,"Sol",'4'!C60),IF('7'!$V60=2,IF('3'!C60&lt;='7'!$V60,"Dua",'4'!C60),IF('7'!$V60&gt;=3,IF('3'!C60&lt;='7'!$V60,"Shr",'4'!C60),'4'!C60))))</f>
        <v/>
      </c>
      <c r="D61" s="19" t="str">
        <f>IF(ISBLANK('Raw counts'!D61),"",IF('7'!$V60=1,IF('3'!D60='7'!$V60,"Sol",'4'!D60),IF('7'!$V60=2,IF('3'!D60&lt;='7'!$V60,"Dua",'4'!D60),IF('7'!$V60&gt;=3,IF('3'!D60&lt;='7'!$V60,"Shr",'4'!D60),'4'!D60))))</f>
        <v/>
      </c>
      <c r="E61" s="19" t="str">
        <f>IF(ISBLANK('Raw counts'!E61),"",IF('7'!$V60=1,IF('3'!E60='7'!$V60,"Sol",'4'!E60),IF('7'!$V60=2,IF('3'!E60&lt;='7'!$V60,"Dua",'4'!E60),IF('7'!$V60&gt;=3,IF('3'!E60&lt;='7'!$V60,"Shr",'4'!E60),'4'!E60))))</f>
        <v/>
      </c>
      <c r="F61" s="19" t="str">
        <f>IF(ISBLANK('Raw counts'!F61),"",IF('7'!$V60=1,IF('3'!F60='7'!$V60,"Sol",'4'!F60),IF('7'!$V60=2,IF('3'!F60&lt;='7'!$V60,"Dua",'4'!F60),IF('7'!$V60&gt;=3,IF('3'!F60&lt;='7'!$V60,"Shr",'4'!F60),'4'!F60))))</f>
        <v/>
      </c>
      <c r="G61" s="19" t="str">
        <f>IF(ISBLANK('Raw counts'!G61),"",IF('7'!$V60=1,IF('3'!G60='7'!$V60,"Sol",'4'!G60),IF('7'!$V60=2,IF('3'!G60&lt;='7'!$V60,"Dua",'4'!G60),IF('7'!$V60&gt;=3,IF('3'!G60&lt;='7'!$V60,"Shr",'4'!G60),'4'!G60))))</f>
        <v/>
      </c>
      <c r="H61" s="19" t="str">
        <f>IF(ISBLANK('Raw counts'!H61),"",IF('7'!$V60=1,IF('3'!H60='7'!$V60,"Sol",'4'!H60),IF('7'!$V60=2,IF('3'!H60&lt;='7'!$V60,"Dua",'4'!H60),IF('7'!$V60&gt;=3,IF('3'!H60&lt;='7'!$V60,"Shr",'4'!H60),'4'!H60))))</f>
        <v/>
      </c>
      <c r="I61" s="19" t="str">
        <f>IF(ISBLANK('Raw counts'!I61),"",IF('7'!$V60=1,IF('3'!I60='7'!$V60,"Sol",'4'!I60),IF('7'!$V60=2,IF('3'!I60&lt;='7'!$V60,"Dua",'4'!I60),IF('7'!$V60&gt;=3,IF('3'!I60&lt;='7'!$V60,"Shr",'4'!I60),'4'!I60))))</f>
        <v/>
      </c>
      <c r="J61" s="19" t="str">
        <f>IF(ISBLANK('Raw counts'!J61),"",IF('7'!$V60=1,IF('3'!J60='7'!$V60,"Sol",'4'!J60),IF('7'!$V60=2,IF('3'!J60&lt;='7'!$V60,"Dua",'4'!J60),IF('7'!$V60&gt;=3,IF('3'!J60&lt;='7'!$V60,"Shr",'4'!J60),'4'!J60))))</f>
        <v/>
      </c>
      <c r="K61" s="19" t="str">
        <f>IF(ISBLANK('Raw counts'!K61),"",IF('7'!$V60=1,IF('3'!K60='7'!$V60,"Sol",'4'!K60),IF('7'!$V60=2,IF('3'!K60&lt;='7'!$V60,"Dua",'4'!K60),IF('7'!$V60&gt;=3,IF('3'!K60&lt;='7'!$V60,"Shr",'4'!K60),'4'!K60))))</f>
        <v/>
      </c>
      <c r="L61" s="19" t="str">
        <f>IF(ISBLANK('Raw counts'!L61),"",IF('7'!$V60=1,IF('3'!L60='7'!$V60,"Sol",'4'!L60),IF('7'!$V60=2,IF('3'!L60&lt;='7'!$V60,"Dua",'4'!L60),IF('7'!$V60&gt;=3,IF('3'!L60&lt;='7'!$V60,"Shr",'4'!L60),'4'!L60))))</f>
        <v/>
      </c>
      <c r="M61" s="19" t="str">
        <f>IF(ISBLANK('Raw counts'!M61),"",IF('7'!$V60=1,IF('3'!M60='7'!$V60,"Sol",'4'!M60),IF('7'!$V60=2,IF('3'!M60&lt;='7'!$V60,"Dua",'4'!M60),IF('7'!$V60&gt;=3,IF('3'!M60&lt;='7'!$V60,"Shr",'4'!M60),'4'!M60))))</f>
        <v/>
      </c>
      <c r="N61" s="19" t="str">
        <f>IF(ISBLANK('Raw counts'!N61),"",IF('7'!$V60=1,IF('3'!N60='7'!$V60,"Sol",'4'!N60),IF('7'!$V60=2,IF('3'!N60&lt;='7'!$V60,"Dua",'4'!N60),IF('7'!$V60&gt;=3,IF('3'!N60&lt;='7'!$V60,"Shr",'4'!N60),'4'!N60))))</f>
        <v/>
      </c>
      <c r="O61" s="19" t="str">
        <f>IF(ISBLANK('Raw counts'!O61),"",IF('7'!$V60=1,IF('3'!O60='7'!$V60,"Sol",'4'!O60),IF('7'!$V60=2,IF('3'!O60&lt;='7'!$V60,"Dua",'4'!O60),IF('7'!$V60&gt;=3,IF('3'!O60&lt;='7'!$V60,"Shr",'4'!O60),'4'!O60))))</f>
        <v/>
      </c>
      <c r="P61" s="19" t="str">
        <f>IF(ISBLANK('Raw counts'!P61),"",IF('7'!$V60=1,IF('3'!P60='7'!$V60,"Sol",'4'!P60),IF('7'!$V60=2,IF('3'!P60&lt;='7'!$V60,"Dua",'4'!P60),IF('7'!$V60&gt;=3,IF('3'!P60&lt;='7'!$V60,"Shr",'4'!P60),'4'!P60))))</f>
        <v/>
      </c>
      <c r="Q61" s="19" t="str">
        <f>IF(ISBLANK('Raw counts'!Q61),"",IF('7'!$V60=1,IF('3'!Q60='7'!$V60,"Sol",'4'!Q60),IF('7'!$V60=2,IF('3'!Q60&lt;='7'!$V60,"Dua",'4'!Q60),IF('7'!$V60&gt;=3,IF('3'!Q60&lt;='7'!$V60,"Shr",'4'!Q60),'4'!Q60))))</f>
        <v/>
      </c>
      <c r="R61" s="19" t="str">
        <f>IF(ISBLANK('Raw counts'!R61),"",IF('7'!$V60=1,IF('3'!R60='7'!$V60,"Sol",'4'!R60),IF('7'!$V60=2,IF('3'!R60&lt;='7'!$V60,"Dua",'4'!R60),IF('7'!$V60&gt;=3,IF('3'!R60&lt;='7'!$V60,"Shr",'4'!R60),'4'!R60))))</f>
        <v/>
      </c>
      <c r="S61" s="19" t="str">
        <f>IF(ISBLANK('Raw counts'!S61),"",IF('7'!$V60=1,IF('3'!S60='7'!$V60,"Sol",'4'!S60),IF('7'!$V60=2,IF('3'!S60&lt;='7'!$V60,"Dua",'4'!S60),IF('7'!$V60&gt;=3,IF('3'!S60&lt;='7'!$V60,"Shr",'4'!S60),'4'!S60))))</f>
        <v/>
      </c>
      <c r="T61" s="19" t="str">
        <f>IF(ISBLANK('Raw counts'!T61),"",IF('7'!$V60=1,IF('3'!T60='7'!$V60,"Sol",'4'!T60),IF('7'!$V60=2,IF('3'!T60&lt;='7'!$V60,"Dua",'4'!T60),IF('7'!$V60&gt;=3,IF('3'!T60&lt;='7'!$V60,"Shr",'4'!T60),'4'!T60))))</f>
        <v/>
      </c>
      <c r="U61" s="19" t="str">
        <f>IF(ISBLANK('Raw counts'!U61),"",IF('7'!$V60=1,IF('3'!U60='7'!$V60,"Sol",'4'!U60),IF('7'!$V60=2,IF('3'!U60&lt;='7'!$V60,"Dua",'4'!U60),IF('7'!$V60&gt;=3,IF('3'!U60&lt;='7'!$V60,"Shr",'4'!U60),'4'!U60))))</f>
        <v/>
      </c>
    </row>
    <row r="62" spans="1:21" x14ac:dyDescent="0.15">
      <c r="A62" s="18" t="str">
        <f>IF(ISBLANK('Raw counts'!A62),"",'Raw counts'!A62)</f>
        <v>Attr58</v>
      </c>
      <c r="B62" s="19" t="str">
        <f>IF(ISBLANK('Raw counts'!B62),"",IF('7'!$V61=1,IF('3'!B61='7'!$V61,"Sol",'4'!B61),IF('7'!$V61=2,IF('3'!B61&lt;='7'!$V61,"Dua",'4'!B61),IF('7'!$V61&gt;=3,IF('3'!B61&lt;='7'!$V61,"Shr",'4'!B61),'4'!B61))))</f>
        <v/>
      </c>
      <c r="C62" s="19" t="str">
        <f>IF(ISBLANK('Raw counts'!C62),"",IF('7'!$V61=1,IF('3'!C61='7'!$V61,"Sol",'4'!C61),IF('7'!$V61=2,IF('3'!C61&lt;='7'!$V61,"Dua",'4'!C61),IF('7'!$V61&gt;=3,IF('3'!C61&lt;='7'!$V61,"Shr",'4'!C61),'4'!C61))))</f>
        <v/>
      </c>
      <c r="D62" s="19" t="str">
        <f>IF(ISBLANK('Raw counts'!D62),"",IF('7'!$V61=1,IF('3'!D61='7'!$V61,"Sol",'4'!D61),IF('7'!$V61=2,IF('3'!D61&lt;='7'!$V61,"Dua",'4'!D61),IF('7'!$V61&gt;=3,IF('3'!D61&lt;='7'!$V61,"Shr",'4'!D61),'4'!D61))))</f>
        <v/>
      </c>
      <c r="E62" s="19" t="str">
        <f>IF(ISBLANK('Raw counts'!E62),"",IF('7'!$V61=1,IF('3'!E61='7'!$V61,"Sol",'4'!E61),IF('7'!$V61=2,IF('3'!E61&lt;='7'!$V61,"Dua",'4'!E61),IF('7'!$V61&gt;=3,IF('3'!E61&lt;='7'!$V61,"Shr",'4'!E61),'4'!E61))))</f>
        <v/>
      </c>
      <c r="F62" s="19" t="str">
        <f>IF(ISBLANK('Raw counts'!F62),"",IF('7'!$V61=1,IF('3'!F61='7'!$V61,"Sol",'4'!F61),IF('7'!$V61=2,IF('3'!F61&lt;='7'!$V61,"Dua",'4'!F61),IF('7'!$V61&gt;=3,IF('3'!F61&lt;='7'!$V61,"Shr",'4'!F61),'4'!F61))))</f>
        <v/>
      </c>
      <c r="G62" s="19" t="str">
        <f>IF(ISBLANK('Raw counts'!G62),"",IF('7'!$V61=1,IF('3'!G61='7'!$V61,"Sol",'4'!G61),IF('7'!$V61=2,IF('3'!G61&lt;='7'!$V61,"Dua",'4'!G61),IF('7'!$V61&gt;=3,IF('3'!G61&lt;='7'!$V61,"Shr",'4'!G61),'4'!G61))))</f>
        <v/>
      </c>
      <c r="H62" s="19" t="str">
        <f>IF(ISBLANK('Raw counts'!H62),"",IF('7'!$V61=1,IF('3'!H61='7'!$V61,"Sol",'4'!H61),IF('7'!$V61=2,IF('3'!H61&lt;='7'!$V61,"Dua",'4'!H61),IF('7'!$V61&gt;=3,IF('3'!H61&lt;='7'!$V61,"Shr",'4'!H61),'4'!H61))))</f>
        <v/>
      </c>
      <c r="I62" s="19" t="str">
        <f>IF(ISBLANK('Raw counts'!I62),"",IF('7'!$V61=1,IF('3'!I61='7'!$V61,"Sol",'4'!I61),IF('7'!$V61=2,IF('3'!I61&lt;='7'!$V61,"Dua",'4'!I61),IF('7'!$V61&gt;=3,IF('3'!I61&lt;='7'!$V61,"Shr",'4'!I61),'4'!I61))))</f>
        <v/>
      </c>
      <c r="J62" s="19" t="str">
        <f>IF(ISBLANK('Raw counts'!J62),"",IF('7'!$V61=1,IF('3'!J61='7'!$V61,"Sol",'4'!J61),IF('7'!$V61=2,IF('3'!J61&lt;='7'!$V61,"Dua",'4'!J61),IF('7'!$V61&gt;=3,IF('3'!J61&lt;='7'!$V61,"Shr",'4'!J61),'4'!J61))))</f>
        <v/>
      </c>
      <c r="K62" s="19" t="str">
        <f>IF(ISBLANK('Raw counts'!K62),"",IF('7'!$V61=1,IF('3'!K61='7'!$V61,"Sol",'4'!K61),IF('7'!$V61=2,IF('3'!K61&lt;='7'!$V61,"Dua",'4'!K61),IF('7'!$V61&gt;=3,IF('3'!K61&lt;='7'!$V61,"Shr",'4'!K61),'4'!K61))))</f>
        <v/>
      </c>
      <c r="L62" s="19" t="str">
        <f>IF(ISBLANK('Raw counts'!L62),"",IF('7'!$V61=1,IF('3'!L61='7'!$V61,"Sol",'4'!L61),IF('7'!$V61=2,IF('3'!L61&lt;='7'!$V61,"Dua",'4'!L61),IF('7'!$V61&gt;=3,IF('3'!L61&lt;='7'!$V61,"Shr",'4'!L61),'4'!L61))))</f>
        <v/>
      </c>
      <c r="M62" s="19" t="str">
        <f>IF(ISBLANK('Raw counts'!M62),"",IF('7'!$V61=1,IF('3'!M61='7'!$V61,"Sol",'4'!M61),IF('7'!$V61=2,IF('3'!M61&lt;='7'!$V61,"Dua",'4'!M61),IF('7'!$V61&gt;=3,IF('3'!M61&lt;='7'!$V61,"Shr",'4'!M61),'4'!M61))))</f>
        <v/>
      </c>
      <c r="N62" s="19" t="str">
        <f>IF(ISBLANK('Raw counts'!N62),"",IF('7'!$V61=1,IF('3'!N61='7'!$V61,"Sol",'4'!N61),IF('7'!$V61=2,IF('3'!N61&lt;='7'!$V61,"Dua",'4'!N61),IF('7'!$V61&gt;=3,IF('3'!N61&lt;='7'!$V61,"Shr",'4'!N61),'4'!N61))))</f>
        <v/>
      </c>
      <c r="O62" s="19" t="str">
        <f>IF(ISBLANK('Raw counts'!O62),"",IF('7'!$V61=1,IF('3'!O61='7'!$V61,"Sol",'4'!O61),IF('7'!$V61=2,IF('3'!O61&lt;='7'!$V61,"Dua",'4'!O61),IF('7'!$V61&gt;=3,IF('3'!O61&lt;='7'!$V61,"Shr",'4'!O61),'4'!O61))))</f>
        <v/>
      </c>
      <c r="P62" s="19" t="str">
        <f>IF(ISBLANK('Raw counts'!P62),"",IF('7'!$V61=1,IF('3'!P61='7'!$V61,"Sol",'4'!P61),IF('7'!$V61=2,IF('3'!P61&lt;='7'!$V61,"Dua",'4'!P61),IF('7'!$V61&gt;=3,IF('3'!P61&lt;='7'!$V61,"Shr",'4'!P61),'4'!P61))))</f>
        <v/>
      </c>
      <c r="Q62" s="19" t="str">
        <f>IF(ISBLANK('Raw counts'!Q62),"",IF('7'!$V61=1,IF('3'!Q61='7'!$V61,"Sol",'4'!Q61),IF('7'!$V61=2,IF('3'!Q61&lt;='7'!$V61,"Dua",'4'!Q61),IF('7'!$V61&gt;=3,IF('3'!Q61&lt;='7'!$V61,"Shr",'4'!Q61),'4'!Q61))))</f>
        <v/>
      </c>
      <c r="R62" s="19" t="str">
        <f>IF(ISBLANK('Raw counts'!R62),"",IF('7'!$V61=1,IF('3'!R61='7'!$V61,"Sol",'4'!R61),IF('7'!$V61=2,IF('3'!R61&lt;='7'!$V61,"Dua",'4'!R61),IF('7'!$V61&gt;=3,IF('3'!R61&lt;='7'!$V61,"Shr",'4'!R61),'4'!R61))))</f>
        <v/>
      </c>
      <c r="S62" s="19" t="str">
        <f>IF(ISBLANK('Raw counts'!S62),"",IF('7'!$V61=1,IF('3'!S61='7'!$V61,"Sol",'4'!S61),IF('7'!$V61=2,IF('3'!S61&lt;='7'!$V61,"Dua",'4'!S61),IF('7'!$V61&gt;=3,IF('3'!S61&lt;='7'!$V61,"Shr",'4'!S61),'4'!S61))))</f>
        <v/>
      </c>
      <c r="T62" s="19" t="str">
        <f>IF(ISBLANK('Raw counts'!T62),"",IF('7'!$V61=1,IF('3'!T61='7'!$V61,"Sol",'4'!T61),IF('7'!$V61=2,IF('3'!T61&lt;='7'!$V61,"Dua",'4'!T61),IF('7'!$V61&gt;=3,IF('3'!T61&lt;='7'!$V61,"Shr",'4'!T61),'4'!T61))))</f>
        <v/>
      </c>
      <c r="U62" s="19" t="str">
        <f>IF(ISBLANK('Raw counts'!U62),"",IF('7'!$V61=1,IF('3'!U61='7'!$V61,"Sol",'4'!U61),IF('7'!$V61=2,IF('3'!U61&lt;='7'!$V61,"Dua",'4'!U61),IF('7'!$V61&gt;=3,IF('3'!U61&lt;='7'!$V61,"Shr",'4'!U61),'4'!U61))))</f>
        <v/>
      </c>
    </row>
    <row r="63" spans="1:21" x14ac:dyDescent="0.15">
      <c r="A63" s="18" t="str">
        <f>IF(ISBLANK('Raw counts'!A63),"",'Raw counts'!A63)</f>
        <v>Attr59</v>
      </c>
      <c r="B63" s="19" t="str">
        <f>IF(ISBLANK('Raw counts'!B63),"",IF('7'!$V62=1,IF('3'!B62='7'!$V62,"Sol",'4'!B62),IF('7'!$V62=2,IF('3'!B62&lt;='7'!$V62,"Dua",'4'!B62),IF('7'!$V62&gt;=3,IF('3'!B62&lt;='7'!$V62,"Shr",'4'!B62),'4'!B62))))</f>
        <v/>
      </c>
      <c r="C63" s="19" t="str">
        <f>IF(ISBLANK('Raw counts'!C63),"",IF('7'!$V62=1,IF('3'!C62='7'!$V62,"Sol",'4'!C62),IF('7'!$V62=2,IF('3'!C62&lt;='7'!$V62,"Dua",'4'!C62),IF('7'!$V62&gt;=3,IF('3'!C62&lt;='7'!$V62,"Shr",'4'!C62),'4'!C62))))</f>
        <v/>
      </c>
      <c r="D63" s="19" t="str">
        <f>IF(ISBLANK('Raw counts'!D63),"",IF('7'!$V62=1,IF('3'!D62='7'!$V62,"Sol",'4'!D62),IF('7'!$V62=2,IF('3'!D62&lt;='7'!$V62,"Dua",'4'!D62),IF('7'!$V62&gt;=3,IF('3'!D62&lt;='7'!$V62,"Shr",'4'!D62),'4'!D62))))</f>
        <v/>
      </c>
      <c r="E63" s="19" t="str">
        <f>IF(ISBLANK('Raw counts'!E63),"",IF('7'!$V62=1,IF('3'!E62='7'!$V62,"Sol",'4'!E62),IF('7'!$V62=2,IF('3'!E62&lt;='7'!$V62,"Dua",'4'!E62),IF('7'!$V62&gt;=3,IF('3'!E62&lt;='7'!$V62,"Shr",'4'!E62),'4'!E62))))</f>
        <v/>
      </c>
      <c r="F63" s="19" t="str">
        <f>IF(ISBLANK('Raw counts'!F63),"",IF('7'!$V62=1,IF('3'!F62='7'!$V62,"Sol",'4'!F62),IF('7'!$V62=2,IF('3'!F62&lt;='7'!$V62,"Dua",'4'!F62),IF('7'!$V62&gt;=3,IF('3'!F62&lt;='7'!$V62,"Shr",'4'!F62),'4'!F62))))</f>
        <v/>
      </c>
      <c r="G63" s="19" t="str">
        <f>IF(ISBLANK('Raw counts'!G63),"",IF('7'!$V62=1,IF('3'!G62='7'!$V62,"Sol",'4'!G62),IF('7'!$V62=2,IF('3'!G62&lt;='7'!$V62,"Dua",'4'!G62),IF('7'!$V62&gt;=3,IF('3'!G62&lt;='7'!$V62,"Shr",'4'!G62),'4'!G62))))</f>
        <v/>
      </c>
      <c r="H63" s="19" t="str">
        <f>IF(ISBLANK('Raw counts'!H63),"",IF('7'!$V62=1,IF('3'!H62='7'!$V62,"Sol",'4'!H62),IF('7'!$V62=2,IF('3'!H62&lt;='7'!$V62,"Dua",'4'!H62),IF('7'!$V62&gt;=3,IF('3'!H62&lt;='7'!$V62,"Shr",'4'!H62),'4'!H62))))</f>
        <v/>
      </c>
      <c r="I63" s="19" t="str">
        <f>IF(ISBLANK('Raw counts'!I63),"",IF('7'!$V62=1,IF('3'!I62='7'!$V62,"Sol",'4'!I62),IF('7'!$V62=2,IF('3'!I62&lt;='7'!$V62,"Dua",'4'!I62),IF('7'!$V62&gt;=3,IF('3'!I62&lt;='7'!$V62,"Shr",'4'!I62),'4'!I62))))</f>
        <v/>
      </c>
      <c r="J63" s="19" t="str">
        <f>IF(ISBLANK('Raw counts'!J63),"",IF('7'!$V62=1,IF('3'!J62='7'!$V62,"Sol",'4'!J62),IF('7'!$V62=2,IF('3'!J62&lt;='7'!$V62,"Dua",'4'!J62),IF('7'!$V62&gt;=3,IF('3'!J62&lt;='7'!$V62,"Shr",'4'!J62),'4'!J62))))</f>
        <v/>
      </c>
      <c r="K63" s="19" t="str">
        <f>IF(ISBLANK('Raw counts'!K63),"",IF('7'!$V62=1,IF('3'!K62='7'!$V62,"Sol",'4'!K62),IF('7'!$V62=2,IF('3'!K62&lt;='7'!$V62,"Dua",'4'!K62),IF('7'!$V62&gt;=3,IF('3'!K62&lt;='7'!$V62,"Shr",'4'!K62),'4'!K62))))</f>
        <v/>
      </c>
      <c r="L63" s="19" t="str">
        <f>IF(ISBLANK('Raw counts'!L63),"",IF('7'!$V62=1,IF('3'!L62='7'!$V62,"Sol",'4'!L62),IF('7'!$V62=2,IF('3'!L62&lt;='7'!$V62,"Dua",'4'!L62),IF('7'!$V62&gt;=3,IF('3'!L62&lt;='7'!$V62,"Shr",'4'!L62),'4'!L62))))</f>
        <v/>
      </c>
      <c r="M63" s="19" t="str">
        <f>IF(ISBLANK('Raw counts'!M63),"",IF('7'!$V62=1,IF('3'!M62='7'!$V62,"Sol",'4'!M62),IF('7'!$V62=2,IF('3'!M62&lt;='7'!$V62,"Dua",'4'!M62),IF('7'!$V62&gt;=3,IF('3'!M62&lt;='7'!$V62,"Shr",'4'!M62),'4'!M62))))</f>
        <v/>
      </c>
      <c r="N63" s="19" t="str">
        <f>IF(ISBLANK('Raw counts'!N63),"",IF('7'!$V62=1,IF('3'!N62='7'!$V62,"Sol",'4'!N62),IF('7'!$V62=2,IF('3'!N62&lt;='7'!$V62,"Dua",'4'!N62),IF('7'!$V62&gt;=3,IF('3'!N62&lt;='7'!$V62,"Shr",'4'!N62),'4'!N62))))</f>
        <v/>
      </c>
      <c r="O63" s="19" t="str">
        <f>IF(ISBLANK('Raw counts'!O63),"",IF('7'!$V62=1,IF('3'!O62='7'!$V62,"Sol",'4'!O62),IF('7'!$V62=2,IF('3'!O62&lt;='7'!$V62,"Dua",'4'!O62),IF('7'!$V62&gt;=3,IF('3'!O62&lt;='7'!$V62,"Shr",'4'!O62),'4'!O62))))</f>
        <v/>
      </c>
      <c r="P63" s="19" t="str">
        <f>IF(ISBLANK('Raw counts'!P63),"",IF('7'!$V62=1,IF('3'!P62='7'!$V62,"Sol",'4'!P62),IF('7'!$V62=2,IF('3'!P62&lt;='7'!$V62,"Dua",'4'!P62),IF('7'!$V62&gt;=3,IF('3'!P62&lt;='7'!$V62,"Shr",'4'!P62),'4'!P62))))</f>
        <v/>
      </c>
      <c r="Q63" s="19" t="str">
        <f>IF(ISBLANK('Raw counts'!Q63),"",IF('7'!$V62=1,IF('3'!Q62='7'!$V62,"Sol",'4'!Q62),IF('7'!$V62=2,IF('3'!Q62&lt;='7'!$V62,"Dua",'4'!Q62),IF('7'!$V62&gt;=3,IF('3'!Q62&lt;='7'!$V62,"Shr",'4'!Q62),'4'!Q62))))</f>
        <v/>
      </c>
      <c r="R63" s="19" t="str">
        <f>IF(ISBLANK('Raw counts'!R63),"",IF('7'!$V62=1,IF('3'!R62='7'!$V62,"Sol",'4'!R62),IF('7'!$V62=2,IF('3'!R62&lt;='7'!$V62,"Dua",'4'!R62),IF('7'!$V62&gt;=3,IF('3'!R62&lt;='7'!$V62,"Shr",'4'!R62),'4'!R62))))</f>
        <v/>
      </c>
      <c r="S63" s="19" t="str">
        <f>IF(ISBLANK('Raw counts'!S63),"",IF('7'!$V62=1,IF('3'!S62='7'!$V62,"Sol",'4'!S62),IF('7'!$V62=2,IF('3'!S62&lt;='7'!$V62,"Dua",'4'!S62),IF('7'!$V62&gt;=3,IF('3'!S62&lt;='7'!$V62,"Shr",'4'!S62),'4'!S62))))</f>
        <v/>
      </c>
      <c r="T63" s="19" t="str">
        <f>IF(ISBLANK('Raw counts'!T63),"",IF('7'!$V62=1,IF('3'!T62='7'!$V62,"Sol",'4'!T62),IF('7'!$V62=2,IF('3'!T62&lt;='7'!$V62,"Dua",'4'!T62),IF('7'!$V62&gt;=3,IF('3'!T62&lt;='7'!$V62,"Shr",'4'!T62),'4'!T62))))</f>
        <v/>
      </c>
      <c r="U63" s="19" t="str">
        <f>IF(ISBLANK('Raw counts'!U63),"",IF('7'!$V62=1,IF('3'!U62='7'!$V62,"Sol",'4'!U62),IF('7'!$V62=2,IF('3'!U62&lt;='7'!$V62,"Dua",'4'!U62),IF('7'!$V62&gt;=3,IF('3'!U62&lt;='7'!$V62,"Shr",'4'!U62),'4'!U62))))</f>
        <v/>
      </c>
    </row>
    <row r="64" spans="1:21" x14ac:dyDescent="0.15">
      <c r="A64" s="18" t="str">
        <f>IF(ISBLANK('Raw counts'!A64),"",'Raw counts'!A64)</f>
        <v>Attr60</v>
      </c>
      <c r="B64" s="19" t="str">
        <f>IF(ISBLANK('Raw counts'!B64),"",IF('7'!$V63=1,IF('3'!B63='7'!$V63,"Sol",'4'!B63),IF('7'!$V63=2,IF('3'!B63&lt;='7'!$V63,"Dua",'4'!B63),IF('7'!$V63&gt;=3,IF('3'!B63&lt;='7'!$V63,"Shr",'4'!B63),'4'!B63))))</f>
        <v/>
      </c>
      <c r="C64" s="19" t="str">
        <f>IF(ISBLANK('Raw counts'!C64),"",IF('7'!$V63=1,IF('3'!C63='7'!$V63,"Sol",'4'!C63),IF('7'!$V63=2,IF('3'!C63&lt;='7'!$V63,"Dua",'4'!C63),IF('7'!$V63&gt;=3,IF('3'!C63&lt;='7'!$V63,"Shr",'4'!C63),'4'!C63))))</f>
        <v/>
      </c>
      <c r="D64" s="19" t="str">
        <f>IF(ISBLANK('Raw counts'!D64),"",IF('7'!$V63=1,IF('3'!D63='7'!$V63,"Sol",'4'!D63),IF('7'!$V63=2,IF('3'!D63&lt;='7'!$V63,"Dua",'4'!D63),IF('7'!$V63&gt;=3,IF('3'!D63&lt;='7'!$V63,"Shr",'4'!D63),'4'!D63))))</f>
        <v/>
      </c>
      <c r="E64" s="19" t="str">
        <f>IF(ISBLANK('Raw counts'!E64),"",IF('7'!$V63=1,IF('3'!E63='7'!$V63,"Sol",'4'!E63),IF('7'!$V63=2,IF('3'!E63&lt;='7'!$V63,"Dua",'4'!E63),IF('7'!$V63&gt;=3,IF('3'!E63&lt;='7'!$V63,"Shr",'4'!E63),'4'!E63))))</f>
        <v/>
      </c>
      <c r="F64" s="19" t="str">
        <f>IF(ISBLANK('Raw counts'!F64),"",IF('7'!$V63=1,IF('3'!F63='7'!$V63,"Sol",'4'!F63),IF('7'!$V63=2,IF('3'!F63&lt;='7'!$V63,"Dua",'4'!F63),IF('7'!$V63&gt;=3,IF('3'!F63&lt;='7'!$V63,"Shr",'4'!F63),'4'!F63))))</f>
        <v/>
      </c>
      <c r="G64" s="19" t="str">
        <f>IF(ISBLANK('Raw counts'!G64),"",IF('7'!$V63=1,IF('3'!G63='7'!$V63,"Sol",'4'!G63),IF('7'!$V63=2,IF('3'!G63&lt;='7'!$V63,"Dua",'4'!G63),IF('7'!$V63&gt;=3,IF('3'!G63&lt;='7'!$V63,"Shr",'4'!G63),'4'!G63))))</f>
        <v/>
      </c>
      <c r="H64" s="19" t="str">
        <f>IF(ISBLANK('Raw counts'!H64),"",IF('7'!$V63=1,IF('3'!H63='7'!$V63,"Sol",'4'!H63),IF('7'!$V63=2,IF('3'!H63&lt;='7'!$V63,"Dua",'4'!H63),IF('7'!$V63&gt;=3,IF('3'!H63&lt;='7'!$V63,"Shr",'4'!H63),'4'!H63))))</f>
        <v/>
      </c>
      <c r="I64" s="19" t="str">
        <f>IF(ISBLANK('Raw counts'!I64),"",IF('7'!$V63=1,IF('3'!I63='7'!$V63,"Sol",'4'!I63),IF('7'!$V63=2,IF('3'!I63&lt;='7'!$V63,"Dua",'4'!I63),IF('7'!$V63&gt;=3,IF('3'!I63&lt;='7'!$V63,"Shr",'4'!I63),'4'!I63))))</f>
        <v/>
      </c>
      <c r="J64" s="19" t="str">
        <f>IF(ISBLANK('Raw counts'!J64),"",IF('7'!$V63=1,IF('3'!J63='7'!$V63,"Sol",'4'!J63),IF('7'!$V63=2,IF('3'!J63&lt;='7'!$V63,"Dua",'4'!J63),IF('7'!$V63&gt;=3,IF('3'!J63&lt;='7'!$V63,"Shr",'4'!J63),'4'!J63))))</f>
        <v/>
      </c>
      <c r="K64" s="19" t="str">
        <f>IF(ISBLANK('Raw counts'!K64),"",IF('7'!$V63=1,IF('3'!K63='7'!$V63,"Sol",'4'!K63),IF('7'!$V63=2,IF('3'!K63&lt;='7'!$V63,"Dua",'4'!K63),IF('7'!$V63&gt;=3,IF('3'!K63&lt;='7'!$V63,"Shr",'4'!K63),'4'!K63))))</f>
        <v/>
      </c>
      <c r="L64" s="19" t="str">
        <f>IF(ISBLANK('Raw counts'!L64),"",IF('7'!$V63=1,IF('3'!L63='7'!$V63,"Sol",'4'!L63),IF('7'!$V63=2,IF('3'!L63&lt;='7'!$V63,"Dua",'4'!L63),IF('7'!$V63&gt;=3,IF('3'!L63&lt;='7'!$V63,"Shr",'4'!L63),'4'!L63))))</f>
        <v/>
      </c>
      <c r="M64" s="19" t="str">
        <f>IF(ISBLANK('Raw counts'!M64),"",IF('7'!$V63=1,IF('3'!M63='7'!$V63,"Sol",'4'!M63),IF('7'!$V63=2,IF('3'!M63&lt;='7'!$V63,"Dua",'4'!M63),IF('7'!$V63&gt;=3,IF('3'!M63&lt;='7'!$V63,"Shr",'4'!M63),'4'!M63))))</f>
        <v/>
      </c>
      <c r="N64" s="19" t="str">
        <f>IF(ISBLANK('Raw counts'!N64),"",IF('7'!$V63=1,IF('3'!N63='7'!$V63,"Sol",'4'!N63),IF('7'!$V63=2,IF('3'!N63&lt;='7'!$V63,"Dua",'4'!N63),IF('7'!$V63&gt;=3,IF('3'!N63&lt;='7'!$V63,"Shr",'4'!N63),'4'!N63))))</f>
        <v/>
      </c>
      <c r="O64" s="19" t="str">
        <f>IF(ISBLANK('Raw counts'!O64),"",IF('7'!$V63=1,IF('3'!O63='7'!$V63,"Sol",'4'!O63),IF('7'!$V63=2,IF('3'!O63&lt;='7'!$V63,"Dua",'4'!O63),IF('7'!$V63&gt;=3,IF('3'!O63&lt;='7'!$V63,"Shr",'4'!O63),'4'!O63))))</f>
        <v/>
      </c>
      <c r="P64" s="19" t="str">
        <f>IF(ISBLANK('Raw counts'!P64),"",IF('7'!$V63=1,IF('3'!P63='7'!$V63,"Sol",'4'!P63),IF('7'!$V63=2,IF('3'!P63&lt;='7'!$V63,"Dua",'4'!P63),IF('7'!$V63&gt;=3,IF('3'!P63&lt;='7'!$V63,"Shr",'4'!P63),'4'!P63))))</f>
        <v/>
      </c>
      <c r="Q64" s="19" t="str">
        <f>IF(ISBLANK('Raw counts'!Q64),"",IF('7'!$V63=1,IF('3'!Q63='7'!$V63,"Sol",'4'!Q63),IF('7'!$V63=2,IF('3'!Q63&lt;='7'!$V63,"Dua",'4'!Q63),IF('7'!$V63&gt;=3,IF('3'!Q63&lt;='7'!$V63,"Shr",'4'!Q63),'4'!Q63))))</f>
        <v/>
      </c>
      <c r="R64" s="19" t="str">
        <f>IF(ISBLANK('Raw counts'!R64),"",IF('7'!$V63=1,IF('3'!R63='7'!$V63,"Sol",'4'!R63),IF('7'!$V63=2,IF('3'!R63&lt;='7'!$V63,"Dua",'4'!R63),IF('7'!$V63&gt;=3,IF('3'!R63&lt;='7'!$V63,"Shr",'4'!R63),'4'!R63))))</f>
        <v/>
      </c>
      <c r="S64" s="19" t="str">
        <f>IF(ISBLANK('Raw counts'!S64),"",IF('7'!$V63=1,IF('3'!S63='7'!$V63,"Sol",'4'!S63),IF('7'!$V63=2,IF('3'!S63&lt;='7'!$V63,"Dua",'4'!S63),IF('7'!$V63&gt;=3,IF('3'!S63&lt;='7'!$V63,"Shr",'4'!S63),'4'!S63))))</f>
        <v/>
      </c>
      <c r="T64" s="19" t="str">
        <f>IF(ISBLANK('Raw counts'!T64),"",IF('7'!$V63=1,IF('3'!T63='7'!$V63,"Sol",'4'!T63),IF('7'!$V63=2,IF('3'!T63&lt;='7'!$V63,"Dua",'4'!T63),IF('7'!$V63&gt;=3,IF('3'!T63&lt;='7'!$V63,"Shr",'4'!T63),'4'!T63))))</f>
        <v/>
      </c>
      <c r="U64" s="19" t="str">
        <f>IF(ISBLANK('Raw counts'!U64),"",IF('7'!$V63=1,IF('3'!U63='7'!$V63,"Sol",'4'!U63),IF('7'!$V63=2,IF('3'!U63&lt;='7'!$V63,"Dua",'4'!U63),IF('7'!$V63&gt;=3,IF('3'!U63&lt;='7'!$V63,"Shr",'4'!U63),'4'!U63))))</f>
        <v/>
      </c>
    </row>
  </sheetData>
  <sheetProtection formatRows="0"/>
  <mergeCells count="1">
    <mergeCell ref="B1:U1"/>
  </mergeCells>
  <phoneticPr fontId="28" type="noConversion"/>
  <conditionalFormatting sqref="B5:U64">
    <cfRule type="cellIs" dxfId="4" priority="1" operator="equal">
      <formula>"-1"</formula>
    </cfRule>
    <cfRule type="cellIs" dxfId="3" priority="2" operator="equal">
      <formula>"+1"</formula>
    </cfRule>
    <cfRule type="cellIs" dxfId="2" priority="3" operator="equal">
      <formula>"shr"</formula>
    </cfRule>
    <cfRule type="cellIs" dxfId="1" priority="4" operator="equal">
      <formula>"dua"</formula>
    </cfRule>
    <cfRule type="cellIs" dxfId="0" priority="5" operator="equal">
      <formula>"sol"</formula>
    </cfRule>
  </conditionalFormatting>
  <pageMargins left="0.39370078740157483" right="0.39370078740157483" top="0.59055118110236227" bottom="0.59055118110236227" header="0.31496062992125984" footer="0.31496062992125984"/>
  <pageSetup paperSize="9" scale="88" fitToHeight="0" orientation="landscape" r:id="rId1"/>
  <headerFooter>
    <oddHeader>&amp;C&amp;"Arial,常规"&amp;10&amp;F</oddHeader>
    <oddFooter>&amp;L&amp;"Arial,常规"&amp;10&amp;A&amp;C&amp;"Arial,常规"&amp;10Page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5</vt:i4>
      </vt:variant>
    </vt:vector>
  </HeadingPairs>
  <TitlesOfParts>
    <vt:vector size="15" baseType="lpstr">
      <vt:lpstr>Raw counts</vt:lpstr>
      <vt:lpstr>2</vt:lpstr>
      <vt:lpstr>3</vt:lpstr>
      <vt:lpstr>4</vt:lpstr>
      <vt:lpstr>5</vt:lpstr>
      <vt:lpstr>6</vt:lpstr>
      <vt:lpstr>7</vt:lpstr>
      <vt:lpstr>8</vt:lpstr>
      <vt:lpstr>Brand_Strength</vt:lpstr>
      <vt:lpstr>PoD_PoP</vt:lpstr>
      <vt:lpstr>PoD_PoP!Print_Area</vt:lpstr>
      <vt:lpstr>'Raw counts'!Print_Area</vt:lpstr>
      <vt:lpstr>Brand_Strength!Print_Titles</vt:lpstr>
      <vt:lpstr>PoD_PoP!Print_Titles</vt:lpstr>
      <vt:lpstr>'Raw counts'!Print_Titles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Aleck Xie</dc:creator>
  <cp:lastModifiedBy>XiaoYu Zheng</cp:lastModifiedBy>
  <cp:lastPrinted>2014-06-30T07:54:41Z</cp:lastPrinted>
  <dcterms:created xsi:type="dcterms:W3CDTF">2011-08-19T03:32:13Z</dcterms:created>
  <dcterms:modified xsi:type="dcterms:W3CDTF">2016-12-27T15:31:26Z</dcterms:modified>
</cp:coreProperties>
</file>